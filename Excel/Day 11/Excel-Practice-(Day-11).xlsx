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Data Analyst\Excel\Day 11\"/>
    </mc:Choice>
  </mc:AlternateContent>
  <xr:revisionPtr revIDLastSave="0" documentId="13_ncr:1_{E275EFA4-0FD4-4529-827F-5F45378AF2CD}" xr6:coauthVersionLast="47" xr6:coauthVersionMax="47" xr10:uidLastSave="{00000000-0000-0000-0000-000000000000}"/>
  <bookViews>
    <workbookView xWindow="-120" yWindow="-120" windowWidth="29040" windowHeight="16440" tabRatio="678" firstSheet="17" activeTab="21" xr2:uid="{00000000-000D-0000-FFFF-FFFF00000000}"/>
  </bookViews>
  <sheets>
    <sheet name="Raw Data" sheetId="25" r:id="rId1"/>
    <sheet name="Formulaes" sheetId="26" r:id="rId2"/>
    <sheet name="Mark Sheet" sheetId="27" r:id="rId3"/>
    <sheet name="Clipboard" sheetId="28" r:id="rId4"/>
    <sheet name="Sales Data" sheetId="29" r:id="rId5"/>
    <sheet name="Filter" sheetId="30" r:id="rId6"/>
    <sheet name="Table" sheetId="31" r:id="rId7"/>
    <sheet name="fill" sheetId="32" r:id="rId8"/>
    <sheet name="Go to Special" sheetId="33" r:id="rId9"/>
    <sheet name="Paste Special With Find&amp;Replace" sheetId="34" r:id="rId10"/>
    <sheet name="Sheet1" sheetId="35" r:id="rId11"/>
    <sheet name="Clear" sheetId="36" r:id="rId12"/>
    <sheet name="Cell Referencing" sheetId="37" r:id="rId13"/>
    <sheet name="Text Formulas Notes" sheetId="38" r:id="rId14"/>
    <sheet name="Text Formulas Practice" sheetId="39" r:id="rId15"/>
    <sheet name="Statistical Formulas Notes" sheetId="40" r:id="rId16"/>
    <sheet name="Statistical Formulas Practice" sheetId="42" r:id="rId17"/>
    <sheet name="Date &amp; Time Formulas Notes" sheetId="43" r:id="rId18"/>
    <sheet name="Date &amp; Time Practice" sheetId="44" r:id="rId19"/>
    <sheet name="Logical Formulaes Notes" sheetId="45" r:id="rId20"/>
    <sheet name="Logical Formulaes Practice" sheetId="46" r:id="rId21"/>
    <sheet name="Sum, Count, Average (IF), A.T" sheetId="41" r:id="rId22"/>
  </sheets>
  <definedNames>
    <definedName name="_xlnm._FilterDatabase" localSheetId="5" hidden="1">Filter!$A$1:$F$38</definedName>
    <definedName name="_xlnm._FilterDatabase" localSheetId="21" hidden="1">'Sum, Count, Average (IF), A.T'!$B$3:$C$103</definedName>
    <definedName name="Slicer_Department1">#N/A</definedName>
    <definedName name="Slicer_Region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9" i="41" l="1"/>
  <c r="M50" i="41"/>
  <c r="M51" i="41"/>
  <c r="M52" i="41"/>
  <c r="M53" i="41"/>
  <c r="M54" i="41"/>
  <c r="M55" i="41"/>
  <c r="M56" i="41"/>
  <c r="M57" i="41"/>
  <c r="L49" i="41"/>
  <c r="L50" i="41"/>
  <c r="L51" i="41"/>
  <c r="L52" i="41"/>
  <c r="L53" i="41"/>
  <c r="L54" i="41"/>
  <c r="L55" i="41"/>
  <c r="L56" i="41"/>
  <c r="L57" i="41"/>
  <c r="M48" i="41"/>
  <c r="L48" i="41"/>
  <c r="J4" i="46"/>
  <c r="K4" i="46"/>
  <c r="L4" i="46"/>
  <c r="M4" i="46" a="1"/>
  <c r="M4" i="46"/>
  <c r="N4" i="46" a="1"/>
  <c r="N4" i="46"/>
  <c r="O4" i="46" a="1"/>
  <c r="O4" i="46"/>
  <c r="P4" i="46" a="1"/>
  <c r="P4" i="46" s="1"/>
  <c r="Q4" i="46" a="1"/>
  <c r="Q4" i="46"/>
  <c r="J5" i="46"/>
  <c r="K5" i="46"/>
  <c r="L5" i="46"/>
  <c r="M5" i="46" a="1"/>
  <c r="M5" i="46"/>
  <c r="N5" i="46" a="1"/>
  <c r="N5" i="46"/>
  <c r="O5" i="46" a="1"/>
  <c r="O5" i="46"/>
  <c r="P5" i="46" a="1"/>
  <c r="P5" i="46" s="1"/>
  <c r="Q5" i="46" a="1"/>
  <c r="Q5" i="46"/>
  <c r="J6" i="46"/>
  <c r="K6" i="46"/>
  <c r="L6" i="46"/>
  <c r="M6" i="46" a="1"/>
  <c r="M6" i="46"/>
  <c r="P6" i="46" s="1" a="1"/>
  <c r="P6" i="46" s="1"/>
  <c r="N6" i="46" a="1"/>
  <c r="N6" i="46"/>
  <c r="O6" i="46" a="1"/>
  <c r="O6" i="46" s="1"/>
  <c r="Q6" i="46" a="1"/>
  <c r="Q6" i="46"/>
  <c r="J7" i="46"/>
  <c r="K7" i="46"/>
  <c r="L7" i="46"/>
  <c r="M7" i="46" a="1"/>
  <c r="M7" i="46"/>
  <c r="N7" i="46" a="1"/>
  <c r="N7" i="46"/>
  <c r="O7" i="46" a="1"/>
  <c r="O7" i="46"/>
  <c r="P7" i="46" a="1"/>
  <c r="P7" i="46"/>
  <c r="Q7" i="46" a="1"/>
  <c r="Q7" i="46"/>
  <c r="J8" i="46"/>
  <c r="K8" i="46"/>
  <c r="L8" i="46"/>
  <c r="M8" i="46" a="1"/>
  <c r="M8" i="46"/>
  <c r="N8" i="46" a="1"/>
  <c r="N8" i="46"/>
  <c r="O8" i="46" a="1"/>
  <c r="O8" i="46"/>
  <c r="P8" i="46" a="1"/>
  <c r="P8" i="46"/>
  <c r="Q8" i="46" a="1"/>
  <c r="Q8" i="46"/>
  <c r="J9" i="46"/>
  <c r="K9" i="46"/>
  <c r="L9" i="46"/>
  <c r="M9" i="46" a="1"/>
  <c r="M9" i="46"/>
  <c r="N9" i="46" a="1"/>
  <c r="N9" i="46"/>
  <c r="O9" i="46" a="1"/>
  <c r="O9" i="46"/>
  <c r="P9" i="46" a="1"/>
  <c r="P9" i="46" s="1"/>
  <c r="Q9" i="46" a="1"/>
  <c r="Q9" i="46"/>
  <c r="J10" i="46"/>
  <c r="K10" i="46"/>
  <c r="L10" i="46"/>
  <c r="M10" i="46" a="1"/>
  <c r="M10" i="46" s="1"/>
  <c r="P10" i="46" s="1" a="1"/>
  <c r="P10" i="46" s="1"/>
  <c r="N10" i="46" a="1"/>
  <c r="N10" i="46" s="1"/>
  <c r="O10" i="46" a="1"/>
  <c r="O10" i="46"/>
  <c r="Q10" i="46" a="1"/>
  <c r="Q10" i="46" s="1"/>
  <c r="J11" i="46"/>
  <c r="K11" i="46"/>
  <c r="L11" i="46"/>
  <c r="M11" i="46" a="1"/>
  <c r="M11" i="46"/>
  <c r="N11" i="46" a="1"/>
  <c r="N11" i="46"/>
  <c r="O11" i="46" a="1"/>
  <c r="O11" i="46"/>
  <c r="P11" i="46" a="1"/>
  <c r="P11" i="46"/>
  <c r="Q11" i="46" a="1"/>
  <c r="Q11" i="46"/>
  <c r="J12" i="46"/>
  <c r="K12" i="46"/>
  <c r="L12" i="46"/>
  <c r="M12" i="46" a="1"/>
  <c r="M12" i="46"/>
  <c r="N12" i="46" a="1"/>
  <c r="N12" i="46"/>
  <c r="O12" i="46" a="1"/>
  <c r="O12" i="46"/>
  <c r="P12" i="46" a="1"/>
  <c r="P12" i="46" s="1"/>
  <c r="Q12" i="46" a="1"/>
  <c r="Q12" i="46"/>
  <c r="J13" i="46"/>
  <c r="K13" i="46"/>
  <c r="L13" i="46"/>
  <c r="M13" i="46" a="1"/>
  <c r="M13" i="46"/>
  <c r="N13" i="46" a="1"/>
  <c r="N13" i="46"/>
  <c r="O13" i="46" a="1"/>
  <c r="O13" i="46"/>
  <c r="P13" i="46" a="1"/>
  <c r="P13" i="46" s="1"/>
  <c r="Q13" i="46" a="1"/>
  <c r="Q13" i="46"/>
  <c r="J14" i="46"/>
  <c r="K14" i="46"/>
  <c r="L14" i="46"/>
  <c r="M14" i="46" a="1"/>
  <c r="M14" i="46"/>
  <c r="P14" i="46" s="1" a="1"/>
  <c r="P14" i="46" s="1"/>
  <c r="N14" i="46" a="1"/>
  <c r="N14" i="46"/>
  <c r="O14" i="46" a="1"/>
  <c r="O14" i="46" s="1"/>
  <c r="Q14" i="46" a="1"/>
  <c r="Q14" i="46"/>
  <c r="J15" i="46"/>
  <c r="K15" i="46"/>
  <c r="L15" i="46"/>
  <c r="M15" i="46" a="1"/>
  <c r="M15" i="46"/>
  <c r="N15" i="46" a="1"/>
  <c r="N15" i="46"/>
  <c r="O15" i="46" a="1"/>
  <c r="O15" i="46"/>
  <c r="P15" i="46" a="1"/>
  <c r="P15" i="46"/>
  <c r="Q15" i="46" a="1"/>
  <c r="Q15" i="46"/>
  <c r="J16" i="46"/>
  <c r="K16" i="46"/>
  <c r="L16" i="46"/>
  <c r="M16" i="46" a="1"/>
  <c r="M16" i="46"/>
  <c r="N16" i="46" a="1"/>
  <c r="N16" i="46"/>
  <c r="O16" i="46" a="1"/>
  <c r="O16" i="46"/>
  <c r="P16" i="46" a="1"/>
  <c r="P16" i="46"/>
  <c r="Q16" i="46" a="1"/>
  <c r="Q16" i="46"/>
  <c r="J17" i="46"/>
  <c r="K17" i="46"/>
  <c r="L17" i="46"/>
  <c r="M17" i="46" a="1"/>
  <c r="M17" i="46"/>
  <c r="N17" i="46" a="1"/>
  <c r="N17" i="46"/>
  <c r="O17" i="46" a="1"/>
  <c r="O17" i="46"/>
  <c r="P17" i="46" a="1"/>
  <c r="P17" i="46" s="1"/>
  <c r="Q17" i="46" a="1"/>
  <c r="Q17" i="46"/>
  <c r="J18" i="46"/>
  <c r="K18" i="46"/>
  <c r="L18" i="46"/>
  <c r="M18" i="46" a="1"/>
  <c r="M18" i="46" s="1"/>
  <c r="P18" i="46" s="1" a="1"/>
  <c r="P18" i="46" s="1"/>
  <c r="N18" i="46" a="1"/>
  <c r="N18" i="46" s="1"/>
  <c r="O18" i="46" a="1"/>
  <c r="O18" i="46"/>
  <c r="Q18" i="46" a="1"/>
  <c r="Q18" i="46" s="1"/>
  <c r="E24" i="46"/>
  <c r="F24" i="46"/>
  <c r="G24" i="46"/>
  <c r="H24" i="46"/>
  <c r="I24" i="46"/>
  <c r="E25" i="46"/>
  <c r="F25" i="46"/>
  <c r="G25" i="46"/>
  <c r="H25" i="46"/>
  <c r="I25" i="46"/>
  <c r="E26" i="46"/>
  <c r="F26" i="46"/>
  <c r="G26" i="46"/>
  <c r="H26" i="46"/>
  <c r="I26" i="46"/>
  <c r="E27" i="46"/>
  <c r="F27" i="46"/>
  <c r="G27" i="46"/>
  <c r="H27" i="46"/>
  <c r="I27" i="46"/>
  <c r="E28" i="46"/>
  <c r="F28" i="46"/>
  <c r="G28" i="46"/>
  <c r="H28" i="46"/>
  <c r="I28" i="46"/>
  <c r="E29" i="46"/>
  <c r="F29" i="46"/>
  <c r="G29" i="46"/>
  <c r="H29" i="46"/>
  <c r="I29" i="46"/>
  <c r="E30" i="46"/>
  <c r="F30" i="46"/>
  <c r="G30" i="46"/>
  <c r="H30" i="46"/>
  <c r="I30" i="46"/>
  <c r="E31" i="46"/>
  <c r="F31" i="46"/>
  <c r="G31" i="46"/>
  <c r="H31" i="46"/>
  <c r="I31" i="46"/>
  <c r="E32" i="46"/>
  <c r="F32" i="46"/>
  <c r="G32" i="46"/>
  <c r="H32" i="46"/>
  <c r="I32" i="46"/>
  <c r="E33" i="46"/>
  <c r="F33" i="46"/>
  <c r="G33" i="46"/>
  <c r="H33" i="46"/>
  <c r="I33" i="46"/>
  <c r="E34" i="46"/>
  <c r="F34" i="46"/>
  <c r="G34" i="46"/>
  <c r="H34" i="46"/>
  <c r="I34" i="46"/>
  <c r="E35" i="46"/>
  <c r="F35" i="46"/>
  <c r="G35" i="46"/>
  <c r="H35" i="46"/>
  <c r="I35" i="46"/>
  <c r="E36" i="46"/>
  <c r="F36" i="46"/>
  <c r="G36" i="46"/>
  <c r="H36" i="46"/>
  <c r="I36" i="46"/>
  <c r="E37" i="46"/>
  <c r="F37" i="46"/>
  <c r="G37" i="46"/>
  <c r="H37" i="46"/>
  <c r="I37" i="46"/>
  <c r="E38" i="46"/>
  <c r="F38" i="46"/>
  <c r="G38" i="46"/>
  <c r="H38" i="46"/>
  <c r="I38" i="46"/>
  <c r="D4" i="44"/>
  <c r="D5" i="44"/>
  <c r="D6" i="44"/>
  <c r="C10" i="44"/>
  <c r="D10" i="44"/>
  <c r="E10" i="44"/>
  <c r="F10" i="44"/>
  <c r="G10" i="44"/>
  <c r="C11" i="44"/>
  <c r="D11" i="44"/>
  <c r="E11" i="44"/>
  <c r="F11" i="44"/>
  <c r="G11" i="44"/>
  <c r="C12" i="44"/>
  <c r="D12" i="44"/>
  <c r="E12" i="44"/>
  <c r="F12" i="44"/>
  <c r="G12" i="44"/>
  <c r="C13" i="44"/>
  <c r="D13" i="44"/>
  <c r="E13" i="44"/>
  <c r="F13" i="44"/>
  <c r="G13" i="44"/>
  <c r="C14" i="44"/>
  <c r="D14" i="44"/>
  <c r="E14" i="44"/>
  <c r="F14" i="44"/>
  <c r="G14" i="44"/>
  <c r="C15" i="44"/>
  <c r="D15" i="44"/>
  <c r="E15" i="44"/>
  <c r="F15" i="44"/>
  <c r="G15" i="44"/>
  <c r="C16" i="44"/>
  <c r="D16" i="44"/>
  <c r="E16" i="44"/>
  <c r="F16" i="44"/>
  <c r="G16" i="44"/>
  <c r="C17" i="44"/>
  <c r="D17" i="44"/>
  <c r="E17" i="44"/>
  <c r="F17" i="44"/>
  <c r="G17" i="44"/>
  <c r="C18" i="44"/>
  <c r="D18" i="44"/>
  <c r="E18" i="44"/>
  <c r="F18" i="44"/>
  <c r="G18" i="44"/>
  <c r="C19" i="44"/>
  <c r="D19" i="44"/>
  <c r="E19" i="44"/>
  <c r="F19" i="44"/>
  <c r="G19" i="44"/>
  <c r="C20" i="44"/>
  <c r="D20" i="44"/>
  <c r="E20" i="44"/>
  <c r="F20" i="44"/>
  <c r="G20" i="44"/>
  <c r="C21" i="44"/>
  <c r="D21" i="44"/>
  <c r="E21" i="44"/>
  <c r="F21" i="44"/>
  <c r="G21" i="44"/>
  <c r="C22" i="44"/>
  <c r="D22" i="44"/>
  <c r="E22" i="44"/>
  <c r="F22" i="44"/>
  <c r="G22" i="44"/>
  <c r="C23" i="44"/>
  <c r="D23" i="44"/>
  <c r="E23" i="44"/>
  <c r="F23" i="44"/>
  <c r="G23" i="44"/>
  <c r="C24" i="44"/>
  <c r="D24" i="44"/>
  <c r="E24" i="44"/>
  <c r="F24" i="44"/>
  <c r="G24" i="44"/>
  <c r="C25" i="44"/>
  <c r="D25" i="44"/>
  <c r="E25" i="44"/>
  <c r="F25" i="44"/>
  <c r="G25" i="44"/>
  <c r="C26" i="44"/>
  <c r="D26" i="44"/>
  <c r="E26" i="44"/>
  <c r="F26" i="44"/>
  <c r="G26" i="44"/>
  <c r="C27" i="44"/>
  <c r="D27" i="44"/>
  <c r="E27" i="44"/>
  <c r="F27" i="44"/>
  <c r="G27" i="44"/>
  <c r="B32" i="44"/>
  <c r="C32" i="44" s="1"/>
  <c r="F32" i="44"/>
  <c r="B33" i="44"/>
  <c r="C33" i="44" s="1"/>
  <c r="F33" i="44"/>
  <c r="B34" i="44"/>
  <c r="C34" i="44" s="1"/>
  <c r="F34" i="44"/>
  <c r="B35" i="44"/>
  <c r="C35" i="44" s="1"/>
  <c r="F35" i="44"/>
  <c r="B36" i="44"/>
  <c r="C36" i="44" s="1"/>
  <c r="F36" i="44"/>
  <c r="B37" i="44"/>
  <c r="C37" i="44" s="1"/>
  <c r="F37" i="44"/>
  <c r="B38" i="44"/>
  <c r="C38" i="44" s="1"/>
  <c r="F38" i="44"/>
  <c r="B39" i="44"/>
  <c r="C39" i="44" s="1"/>
  <c r="F39" i="44"/>
  <c r="B40" i="44"/>
  <c r="C40" i="44" s="1"/>
  <c r="F40" i="44"/>
  <c r="B41" i="44"/>
  <c r="C41" i="44" s="1"/>
  <c r="F41" i="44"/>
  <c r="B42" i="44"/>
  <c r="C42" i="44" s="1"/>
  <c r="F42" i="44"/>
  <c r="B43" i="44"/>
  <c r="C43" i="44" s="1"/>
  <c r="F43" i="44"/>
  <c r="B44" i="44"/>
  <c r="E44" i="44" s="1"/>
  <c r="F44" i="44"/>
  <c r="B45" i="44"/>
  <c r="C45" i="44" s="1"/>
  <c r="F45" i="44"/>
  <c r="B46" i="44"/>
  <c r="C46" i="44" s="1"/>
  <c r="F46" i="44"/>
  <c r="B47" i="44"/>
  <c r="C47" i="44" s="1"/>
  <c r="F47" i="44"/>
  <c r="B48" i="44"/>
  <c r="E48" i="44" s="1"/>
  <c r="F48" i="44"/>
  <c r="B49" i="44"/>
  <c r="C49" i="44" s="1"/>
  <c r="F49" i="44"/>
  <c r="D54" i="44"/>
  <c r="E54" i="44"/>
  <c r="F54" i="44"/>
  <c r="G54" i="44"/>
  <c r="H54" i="44"/>
  <c r="I54" i="44"/>
  <c r="D55" i="44"/>
  <c r="E55" i="44"/>
  <c r="F55" i="44"/>
  <c r="G55" i="44"/>
  <c r="H55" i="44"/>
  <c r="I55" i="44"/>
  <c r="D56" i="44"/>
  <c r="E56" i="44"/>
  <c r="F56" i="44"/>
  <c r="G56" i="44"/>
  <c r="H56" i="44"/>
  <c r="I56" i="44"/>
  <c r="D57" i="44"/>
  <c r="E57" i="44"/>
  <c r="F57" i="44"/>
  <c r="G57" i="44"/>
  <c r="H57" i="44"/>
  <c r="I57" i="44"/>
  <c r="D58" i="44"/>
  <c r="E58" i="44"/>
  <c r="F58" i="44"/>
  <c r="G58" i="44"/>
  <c r="H58" i="44"/>
  <c r="I58" i="44"/>
  <c r="D59" i="44"/>
  <c r="E59" i="44"/>
  <c r="F59" i="44"/>
  <c r="G59" i="44"/>
  <c r="H59" i="44"/>
  <c r="I59" i="44"/>
  <c r="D60" i="44"/>
  <c r="E60" i="44"/>
  <c r="F60" i="44"/>
  <c r="G60" i="44"/>
  <c r="H60" i="44"/>
  <c r="I60" i="44"/>
  <c r="D61" i="44"/>
  <c r="E61" i="44"/>
  <c r="F61" i="44"/>
  <c r="G61" i="44"/>
  <c r="H61" i="44"/>
  <c r="I61" i="44"/>
  <c r="D62" i="44"/>
  <c r="E62" i="44"/>
  <c r="F62" i="44"/>
  <c r="G62" i="44"/>
  <c r="H62" i="44"/>
  <c r="I62" i="44"/>
  <c r="D63" i="44"/>
  <c r="E63" i="44"/>
  <c r="F63" i="44"/>
  <c r="G63" i="44"/>
  <c r="H63" i="44"/>
  <c r="I63" i="44"/>
  <c r="D64" i="44"/>
  <c r="E64" i="44"/>
  <c r="F64" i="44"/>
  <c r="G64" i="44"/>
  <c r="H64" i="44"/>
  <c r="I64" i="44"/>
  <c r="D65" i="44"/>
  <c r="E65" i="44"/>
  <c r="F65" i="44"/>
  <c r="G65" i="44"/>
  <c r="H65" i="44"/>
  <c r="I65" i="44"/>
  <c r="D66" i="44"/>
  <c r="E66" i="44"/>
  <c r="F66" i="44"/>
  <c r="G66" i="44"/>
  <c r="H66" i="44"/>
  <c r="I66" i="44"/>
  <c r="D67" i="44"/>
  <c r="E67" i="44"/>
  <c r="F67" i="44"/>
  <c r="G67" i="44"/>
  <c r="H67" i="44"/>
  <c r="I67" i="44"/>
  <c r="D68" i="44"/>
  <c r="E68" i="44"/>
  <c r="F68" i="44"/>
  <c r="G68" i="44"/>
  <c r="H68" i="44"/>
  <c r="I68" i="44"/>
  <c r="D69" i="44"/>
  <c r="E69" i="44"/>
  <c r="F69" i="44"/>
  <c r="G69" i="44"/>
  <c r="H69" i="44"/>
  <c r="I69" i="44"/>
  <c r="D70" i="44"/>
  <c r="E70" i="44"/>
  <c r="F70" i="44"/>
  <c r="G70" i="44"/>
  <c r="H70" i="44"/>
  <c r="I70" i="44"/>
  <c r="D71" i="44"/>
  <c r="E71" i="44"/>
  <c r="F71" i="44"/>
  <c r="G71" i="44"/>
  <c r="H71" i="44"/>
  <c r="I71" i="44"/>
  <c r="D77" i="44"/>
  <c r="E77" i="44"/>
  <c r="F77" i="44"/>
  <c r="G77" i="44"/>
  <c r="D78" i="44"/>
  <c r="E78" i="44"/>
  <c r="F78" i="44"/>
  <c r="G78" i="44"/>
  <c r="D79" i="44"/>
  <c r="E79" i="44"/>
  <c r="F79" i="44"/>
  <c r="G79" i="44"/>
  <c r="D80" i="44"/>
  <c r="E80" i="44"/>
  <c r="F80" i="44"/>
  <c r="G80" i="44"/>
  <c r="D81" i="44"/>
  <c r="E81" i="44"/>
  <c r="F81" i="44"/>
  <c r="G81" i="44"/>
  <c r="D82" i="44"/>
  <c r="E82" i="44"/>
  <c r="F82" i="44"/>
  <c r="G82" i="44"/>
  <c r="D83" i="44"/>
  <c r="E83" i="44"/>
  <c r="F83" i="44"/>
  <c r="G83" i="44"/>
  <c r="D84" i="44"/>
  <c r="E84" i="44"/>
  <c r="F84" i="44"/>
  <c r="G84" i="44"/>
  <c r="D85" i="44"/>
  <c r="E85" i="44"/>
  <c r="F85" i="44"/>
  <c r="G85" i="44"/>
  <c r="D86" i="44"/>
  <c r="E86" i="44"/>
  <c r="F86" i="44"/>
  <c r="G86" i="44"/>
  <c r="D87" i="44"/>
  <c r="E87" i="44"/>
  <c r="F87" i="44"/>
  <c r="G87" i="44"/>
  <c r="D88" i="44"/>
  <c r="E88" i="44"/>
  <c r="F88" i="44"/>
  <c r="G88" i="44"/>
  <c r="D89" i="44"/>
  <c r="E89" i="44"/>
  <c r="F89" i="44"/>
  <c r="G89" i="44"/>
  <c r="D90" i="44"/>
  <c r="E90" i="44"/>
  <c r="F90" i="44"/>
  <c r="G90" i="44"/>
  <c r="D91" i="44"/>
  <c r="E91" i="44"/>
  <c r="F91" i="44"/>
  <c r="G91" i="44"/>
  <c r="D92" i="44"/>
  <c r="E92" i="44"/>
  <c r="F92" i="44"/>
  <c r="G92" i="44"/>
  <c r="D93" i="44"/>
  <c r="E93" i="44"/>
  <c r="F93" i="44"/>
  <c r="G93" i="44"/>
  <c r="D94" i="44"/>
  <c r="E94" i="44"/>
  <c r="F94" i="44"/>
  <c r="G94" i="44"/>
  <c r="D98" i="44"/>
  <c r="E98" i="44"/>
  <c r="F98" i="44"/>
  <c r="D99" i="44"/>
  <c r="E99" i="44"/>
  <c r="F99" i="44"/>
  <c r="D100" i="44"/>
  <c r="E100" i="44"/>
  <c r="F100" i="44"/>
  <c r="D101" i="44"/>
  <c r="E101" i="44"/>
  <c r="F101" i="44"/>
  <c r="D102" i="44"/>
  <c r="E102" i="44"/>
  <c r="F102" i="44"/>
  <c r="D103" i="44"/>
  <c r="E103" i="44"/>
  <c r="F103" i="44"/>
  <c r="D104" i="44"/>
  <c r="E104" i="44"/>
  <c r="F104" i="44"/>
  <c r="D105" i="44"/>
  <c r="E105" i="44"/>
  <c r="F105" i="44"/>
  <c r="D106" i="44"/>
  <c r="E106" i="44"/>
  <c r="F106" i="44"/>
  <c r="D107" i="44"/>
  <c r="E107" i="44"/>
  <c r="F107" i="44"/>
  <c r="D108" i="44"/>
  <c r="E108" i="44"/>
  <c r="F108" i="44"/>
  <c r="D109" i="44"/>
  <c r="E109" i="44"/>
  <c r="F109" i="44"/>
  <c r="D110" i="44"/>
  <c r="E110" i="44"/>
  <c r="F110" i="44"/>
  <c r="D111" i="44"/>
  <c r="E111" i="44"/>
  <c r="F111" i="44"/>
  <c r="D112" i="44"/>
  <c r="E112" i="44"/>
  <c r="F112" i="44"/>
  <c r="D113" i="44"/>
  <c r="E113" i="44"/>
  <c r="F113" i="44"/>
  <c r="D114" i="44"/>
  <c r="E114" i="44"/>
  <c r="F114" i="44"/>
  <c r="D115" i="44"/>
  <c r="E115" i="44"/>
  <c r="F115" i="44"/>
  <c r="C119" i="44"/>
  <c r="D119" i="44" s="1"/>
  <c r="C120" i="44"/>
  <c r="E120" i="44" s="1"/>
  <c r="B4" i="42"/>
  <c r="C4" i="42"/>
  <c r="D4" i="42"/>
  <c r="B5" i="42"/>
  <c r="C5" i="42"/>
  <c r="D5" i="42"/>
  <c r="H5" i="42"/>
  <c r="B6" i="42"/>
  <c r="C6" i="42"/>
  <c r="D6" i="42"/>
  <c r="H6" i="42"/>
  <c r="B7" i="42"/>
  <c r="C7" i="42"/>
  <c r="D7" i="42"/>
  <c r="H7" i="42"/>
  <c r="B8" i="42"/>
  <c r="C8" i="42"/>
  <c r="D8" i="42"/>
  <c r="H8" i="42"/>
  <c r="B9" i="42"/>
  <c r="C9" i="42"/>
  <c r="D9" i="42"/>
  <c r="H9" i="42"/>
  <c r="B10" i="42"/>
  <c r="C10" i="42"/>
  <c r="D10" i="42"/>
  <c r="H10" i="42"/>
  <c r="B11" i="42"/>
  <c r="C11" i="42"/>
  <c r="D11" i="42"/>
  <c r="H11" i="42"/>
  <c r="B12" i="42"/>
  <c r="C12" i="42"/>
  <c r="D12" i="42"/>
  <c r="H12" i="42"/>
  <c r="B13" i="42"/>
  <c r="C13" i="42"/>
  <c r="D13" i="42"/>
  <c r="H13" i="42"/>
  <c r="H14" i="42"/>
  <c r="B18" i="42"/>
  <c r="C18" i="42"/>
  <c r="D18" i="42"/>
  <c r="B19" i="42"/>
  <c r="C19" i="42"/>
  <c r="D19" i="42"/>
  <c r="H19" i="42"/>
  <c r="L19" i="42"/>
  <c r="M19" i="42"/>
  <c r="B20" i="42"/>
  <c r="C20" i="42"/>
  <c r="D20" i="42"/>
  <c r="H20" i="42"/>
  <c r="L20" i="42"/>
  <c r="M20" i="42"/>
  <c r="B21" i="42"/>
  <c r="C21" i="42"/>
  <c r="D21" i="42"/>
  <c r="H21" i="42"/>
  <c r="L21" i="42"/>
  <c r="M21" i="42"/>
  <c r="B22" i="42"/>
  <c r="C22" i="42"/>
  <c r="D22" i="42"/>
  <c r="H22" i="42"/>
  <c r="L22" i="42"/>
  <c r="M22" i="42"/>
  <c r="B23" i="42"/>
  <c r="C23" i="42"/>
  <c r="D23" i="42"/>
  <c r="H23" i="42"/>
  <c r="L23" i="42"/>
  <c r="M23" i="42"/>
  <c r="B24" i="42"/>
  <c r="C24" i="42"/>
  <c r="D24" i="42"/>
  <c r="H24" i="42"/>
  <c r="L24" i="42"/>
  <c r="M24" i="42"/>
  <c r="B25" i="42"/>
  <c r="C25" i="42"/>
  <c r="D25" i="42"/>
  <c r="H25" i="42"/>
  <c r="L25" i="42"/>
  <c r="M25" i="42"/>
  <c r="B26" i="42"/>
  <c r="C26" i="42"/>
  <c r="D26" i="42"/>
  <c r="H26" i="42"/>
  <c r="L26" i="42"/>
  <c r="M26" i="42"/>
  <c r="B27" i="42"/>
  <c r="C27" i="42"/>
  <c r="D27" i="42"/>
  <c r="H27" i="42"/>
  <c r="L27" i="42"/>
  <c r="M27" i="42"/>
  <c r="H28" i="42"/>
  <c r="L28" i="42"/>
  <c r="M28" i="42"/>
  <c r="B31" i="42" a="1"/>
  <c r="B31" i="42" s="1"/>
  <c r="H32" i="42"/>
  <c r="H33" i="42"/>
  <c r="L33" i="42"/>
  <c r="M33" i="42"/>
  <c r="N33" i="42"/>
  <c r="H34" i="42"/>
  <c r="L34" i="42"/>
  <c r="M34" i="42"/>
  <c r="N34" i="42"/>
  <c r="H35" i="42"/>
  <c r="L35" i="42"/>
  <c r="M35" i="42"/>
  <c r="N35" i="42"/>
  <c r="H36" i="42"/>
  <c r="L36" i="42"/>
  <c r="M36" i="42"/>
  <c r="N36" i="42"/>
  <c r="H37" i="42"/>
  <c r="L37" i="42"/>
  <c r="M37" i="42"/>
  <c r="N37" i="42"/>
  <c r="H38" i="42"/>
  <c r="L38" i="42"/>
  <c r="M38" i="42"/>
  <c r="N38" i="42"/>
  <c r="H39" i="42"/>
  <c r="L39" i="42"/>
  <c r="M39" i="42"/>
  <c r="N39" i="42"/>
  <c r="H40" i="42"/>
  <c r="L40" i="42"/>
  <c r="M40" i="42"/>
  <c r="N40" i="42"/>
  <c r="H41" i="42"/>
  <c r="L41" i="42"/>
  <c r="M41" i="42"/>
  <c r="N41" i="42"/>
  <c r="L42" i="42"/>
  <c r="M42" i="42"/>
  <c r="N42" i="42"/>
  <c r="H45" i="42" a="1"/>
  <c r="H45" i="42" s="1"/>
  <c r="L47" i="42"/>
  <c r="M47" i="42"/>
  <c r="N47" i="42"/>
  <c r="O47" i="42"/>
  <c r="P47" i="42"/>
  <c r="L48" i="42"/>
  <c r="M48" i="42"/>
  <c r="N48" i="42"/>
  <c r="O48" i="42"/>
  <c r="P48" i="42"/>
  <c r="L49" i="42"/>
  <c r="M49" i="42"/>
  <c r="N49" i="42"/>
  <c r="O49" i="42"/>
  <c r="P49" i="42"/>
  <c r="L50" i="42"/>
  <c r="M50" i="42"/>
  <c r="N50" i="42"/>
  <c r="O50" i="42"/>
  <c r="P50" i="42"/>
  <c r="L51" i="42"/>
  <c r="M51" i="42" s="1"/>
  <c r="N51" i="42"/>
  <c r="O51" i="42"/>
  <c r="P51" i="42"/>
  <c r="L52" i="42"/>
  <c r="M52" i="42" s="1"/>
  <c r="N52" i="42"/>
  <c r="O52" i="42"/>
  <c r="P52" i="42"/>
  <c r="L53" i="42"/>
  <c r="M53" i="42" s="1"/>
  <c r="N53" i="42"/>
  <c r="O53" i="42"/>
  <c r="P53" i="42"/>
  <c r="L54" i="42"/>
  <c r="M54" i="42" s="1"/>
  <c r="N54" i="42"/>
  <c r="O54" i="42"/>
  <c r="P54" i="42"/>
  <c r="L55" i="42"/>
  <c r="M55" i="42"/>
  <c r="N55" i="42"/>
  <c r="O55" i="42"/>
  <c r="P55" i="42"/>
  <c r="L56" i="42"/>
  <c r="M56" i="42"/>
  <c r="N56" i="42"/>
  <c r="O56" i="42"/>
  <c r="P56" i="42"/>
  <c r="F4" i="41"/>
  <c r="G4" i="41"/>
  <c r="H4" i="41"/>
  <c r="F5" i="41"/>
  <c r="G5" i="41"/>
  <c r="H5" i="41"/>
  <c r="F6" i="41"/>
  <c r="G6" i="41"/>
  <c r="H6" i="41"/>
  <c r="F7" i="41"/>
  <c r="G7" i="41"/>
  <c r="H7" i="41"/>
  <c r="F8" i="41"/>
  <c r="G8" i="41"/>
  <c r="H8" i="41"/>
  <c r="F9" i="41"/>
  <c r="F14" i="41" s="1"/>
  <c r="G9" i="41"/>
  <c r="H9" i="41"/>
  <c r="F10" i="41"/>
  <c r="G10" i="41"/>
  <c r="H10" i="41"/>
  <c r="F11" i="41"/>
  <c r="G11" i="41"/>
  <c r="H11" i="41"/>
  <c r="F12" i="41"/>
  <c r="G12" i="41"/>
  <c r="H12" i="41"/>
  <c r="F13" i="41"/>
  <c r="G13" i="41"/>
  <c r="H13" i="41"/>
  <c r="C104" i="41"/>
  <c r="C4" i="39"/>
  <c r="F4" i="39"/>
  <c r="I4" i="39"/>
  <c r="C5" i="39"/>
  <c r="F5" i="39"/>
  <c r="I5" i="39"/>
  <c r="C6" i="39"/>
  <c r="F6" i="39"/>
  <c r="I6" i="39"/>
  <c r="C7" i="39"/>
  <c r="F7" i="39"/>
  <c r="I7" i="39"/>
  <c r="C8" i="39"/>
  <c r="F8" i="39"/>
  <c r="I8" i="39"/>
  <c r="C9" i="39"/>
  <c r="F9" i="39"/>
  <c r="I9" i="39"/>
  <c r="C10" i="39"/>
  <c r="F10" i="39"/>
  <c r="I10" i="39"/>
  <c r="C11" i="39"/>
  <c r="F11" i="39"/>
  <c r="I11" i="39"/>
  <c r="C12" i="39"/>
  <c r="F12" i="39"/>
  <c r="I12" i="39"/>
  <c r="C18" i="39"/>
  <c r="F18" i="39"/>
  <c r="C19" i="39"/>
  <c r="F19" i="39"/>
  <c r="C20" i="39"/>
  <c r="F20" i="39"/>
  <c r="C21" i="39"/>
  <c r="F21" i="39"/>
  <c r="C22" i="39"/>
  <c r="F22" i="39"/>
  <c r="C23" i="39"/>
  <c r="F23" i="39"/>
  <c r="C24" i="39"/>
  <c r="F24" i="39"/>
  <c r="C25" i="39"/>
  <c r="F25" i="39"/>
  <c r="C26" i="39"/>
  <c r="F26" i="39"/>
  <c r="C34" i="39"/>
  <c r="F34" i="39"/>
  <c r="I34" i="39"/>
  <c r="C35" i="39"/>
  <c r="F35" i="39"/>
  <c r="I35" i="39"/>
  <c r="C36" i="39"/>
  <c r="F36" i="39"/>
  <c r="I36" i="39"/>
  <c r="C37" i="39"/>
  <c r="F37" i="39"/>
  <c r="I37" i="39"/>
  <c r="C38" i="39"/>
  <c r="F38" i="39"/>
  <c r="I38" i="39"/>
  <c r="C39" i="39"/>
  <c r="F39" i="39"/>
  <c r="I39" i="39"/>
  <c r="C40" i="39"/>
  <c r="F40" i="39"/>
  <c r="I40" i="39"/>
  <c r="C41" i="39"/>
  <c r="F41" i="39"/>
  <c r="I41" i="39"/>
  <c r="C42" i="39"/>
  <c r="F42" i="39"/>
  <c r="I42" i="39"/>
  <c r="M47" i="39"/>
  <c r="Q47" i="39"/>
  <c r="U47" i="39"/>
  <c r="Y47" i="39"/>
  <c r="M48" i="39"/>
  <c r="Q48" i="39"/>
  <c r="U48" i="39"/>
  <c r="Y48" i="39"/>
  <c r="M49" i="39"/>
  <c r="Q49" i="39"/>
  <c r="U49" i="39"/>
  <c r="Y49" i="39"/>
  <c r="M50" i="39"/>
  <c r="Q50" i="39"/>
  <c r="U50" i="39"/>
  <c r="Y50" i="39"/>
  <c r="M51" i="39"/>
  <c r="Q51" i="39"/>
  <c r="U51" i="39"/>
  <c r="Y51" i="39"/>
  <c r="M52" i="39"/>
  <c r="Q52" i="39"/>
  <c r="U52" i="39"/>
  <c r="Y52" i="39"/>
  <c r="M53" i="39"/>
  <c r="Q53" i="39"/>
  <c r="U53" i="39"/>
  <c r="Y53" i="39"/>
  <c r="M54" i="39"/>
  <c r="Q54" i="39"/>
  <c r="U54" i="39"/>
  <c r="Y54" i="39"/>
  <c r="M55" i="39"/>
  <c r="Q55" i="39"/>
  <c r="U55" i="39"/>
  <c r="Y55" i="39"/>
  <c r="M56" i="39"/>
  <c r="Q56" i="39"/>
  <c r="U56" i="39"/>
  <c r="Y56" i="39"/>
  <c r="C77" i="39"/>
  <c r="F77" i="39"/>
  <c r="I77" i="39"/>
  <c r="L77" i="39"/>
  <c r="C78" i="39"/>
  <c r="F78" i="39"/>
  <c r="I78" i="39"/>
  <c r="L78" i="39"/>
  <c r="C79" i="39"/>
  <c r="F79" i="39"/>
  <c r="I79" i="39"/>
  <c r="L79" i="39"/>
  <c r="C80" i="39"/>
  <c r="F80" i="39"/>
  <c r="I80" i="39"/>
  <c r="L80" i="39"/>
  <c r="C81" i="39"/>
  <c r="F81" i="39"/>
  <c r="I81" i="39"/>
  <c r="L81" i="39"/>
  <c r="C82" i="39"/>
  <c r="F82" i="39"/>
  <c r="I82" i="39"/>
  <c r="L82" i="39"/>
  <c r="C83" i="39"/>
  <c r="F83" i="39"/>
  <c r="I83" i="39"/>
  <c r="L83" i="39"/>
  <c r="C84" i="39"/>
  <c r="F84" i="39"/>
  <c r="I84" i="39"/>
  <c r="L84" i="39"/>
  <c r="C85" i="39"/>
  <c r="F85" i="39"/>
  <c r="I85" i="39"/>
  <c r="L85" i="39"/>
  <c r="C92" i="39"/>
  <c r="D92" i="39"/>
  <c r="G92" i="39"/>
  <c r="J92" i="39"/>
  <c r="C93" i="39"/>
  <c r="D93" i="39"/>
  <c r="C94" i="39"/>
  <c r="D94" i="39"/>
  <c r="C95" i="39"/>
  <c r="D95" i="39"/>
  <c r="C96" i="39"/>
  <c r="D96" i="39"/>
  <c r="C97" i="39"/>
  <c r="D97" i="39"/>
  <c r="C98" i="39"/>
  <c r="D98" i="39"/>
  <c r="G98" i="39"/>
  <c r="J98" i="39"/>
  <c r="C99" i="39"/>
  <c r="D99" i="39"/>
  <c r="C100" i="39"/>
  <c r="D100" i="39"/>
  <c r="H5" i="37"/>
  <c r="I5" i="37"/>
  <c r="J5" i="37"/>
  <c r="K5" i="37"/>
  <c r="L5" i="37"/>
  <c r="M5" i="37"/>
  <c r="H6" i="37"/>
  <c r="I6" i="37"/>
  <c r="J6" i="37"/>
  <c r="K6" i="37"/>
  <c r="L6" i="37"/>
  <c r="M6" i="37"/>
  <c r="H7" i="37"/>
  <c r="I7" i="37"/>
  <c r="J7" i="37"/>
  <c r="K7" i="37"/>
  <c r="L7" i="37"/>
  <c r="M7" i="37"/>
  <c r="H8" i="37"/>
  <c r="I8" i="37"/>
  <c r="J8" i="37"/>
  <c r="K8" i="37"/>
  <c r="L8" i="37"/>
  <c r="M8" i="37"/>
  <c r="H9" i="37"/>
  <c r="I9" i="37"/>
  <c r="J9" i="37"/>
  <c r="K9" i="37"/>
  <c r="L9" i="37"/>
  <c r="M9" i="37"/>
  <c r="H10" i="37"/>
  <c r="I10" i="37"/>
  <c r="J10" i="37"/>
  <c r="K10" i="37"/>
  <c r="L10" i="37"/>
  <c r="M10" i="37"/>
  <c r="H11" i="37"/>
  <c r="I11" i="37"/>
  <c r="J11" i="37"/>
  <c r="K11" i="37"/>
  <c r="L11" i="37"/>
  <c r="M11" i="37"/>
  <c r="H12" i="37"/>
  <c r="I12" i="37"/>
  <c r="J12" i="37"/>
  <c r="K12" i="37"/>
  <c r="L12" i="37"/>
  <c r="M12" i="37"/>
  <c r="H13" i="37"/>
  <c r="I13" i="37"/>
  <c r="J13" i="37"/>
  <c r="K13" i="37"/>
  <c r="L13" i="37"/>
  <c r="M13" i="37"/>
  <c r="H14" i="37"/>
  <c r="I14" i="37"/>
  <c r="J14" i="37"/>
  <c r="K14" i="37"/>
  <c r="L14" i="37"/>
  <c r="M14" i="37"/>
  <c r="H15" i="37"/>
  <c r="I15" i="37"/>
  <c r="J15" i="37"/>
  <c r="K15" i="37"/>
  <c r="L15" i="37"/>
  <c r="M15" i="37"/>
  <c r="H16" i="37"/>
  <c r="I16" i="37"/>
  <c r="J16" i="37"/>
  <c r="K16" i="37"/>
  <c r="L16" i="37"/>
  <c r="M16" i="37"/>
  <c r="H17" i="37"/>
  <c r="I17" i="37"/>
  <c r="J17" i="37"/>
  <c r="K17" i="37"/>
  <c r="L17" i="37"/>
  <c r="M17" i="37"/>
  <c r="H18" i="37"/>
  <c r="I18" i="37"/>
  <c r="J18" i="37"/>
  <c r="K18" i="37"/>
  <c r="L18" i="37"/>
  <c r="M18" i="37"/>
  <c r="H19" i="37"/>
  <c r="I19" i="37"/>
  <c r="J19" i="37"/>
  <c r="K19" i="37"/>
  <c r="L19" i="37"/>
  <c r="M19" i="37"/>
  <c r="H27" i="37"/>
  <c r="I27" i="37"/>
  <c r="H28" i="37"/>
  <c r="I28" i="37"/>
  <c r="H29" i="37"/>
  <c r="I29" i="37"/>
  <c r="H30" i="37"/>
  <c r="I30" i="37"/>
  <c r="H31" i="37"/>
  <c r="I31" i="37"/>
  <c r="H32" i="37"/>
  <c r="I32" i="37"/>
  <c r="H33" i="37"/>
  <c r="I33" i="37"/>
  <c r="H34" i="37"/>
  <c r="I34" i="37"/>
  <c r="H35" i="37"/>
  <c r="I35" i="37"/>
  <c r="H36" i="37"/>
  <c r="I36" i="37"/>
  <c r="H37" i="37"/>
  <c r="I37" i="37"/>
  <c r="H38" i="37"/>
  <c r="I38" i="37"/>
  <c r="H39" i="37"/>
  <c r="I39" i="37"/>
  <c r="H40" i="37"/>
  <c r="I40" i="37"/>
  <c r="H41" i="37"/>
  <c r="I41" i="37"/>
  <c r="A8" i="36"/>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47" i="36" s="1"/>
  <c r="A48" i="36" s="1"/>
  <c r="A49" i="36" s="1"/>
  <c r="A50" i="36" s="1"/>
  <c r="A51" i="36" s="1"/>
  <c r="A52" i="36" s="1"/>
  <c r="A53" i="36" s="1"/>
  <c r="A54" i="36" s="1"/>
  <c r="A55" i="36" s="1"/>
  <c r="A56" i="36" s="1"/>
  <c r="H8" i="36"/>
  <c r="H9" i="36" s="1"/>
  <c r="H10" i="36" s="1"/>
  <c r="H11" i="36" s="1"/>
  <c r="H12" i="36" s="1"/>
  <c r="H13" i="36" s="1"/>
  <c r="H14" i="36" s="1"/>
  <c r="H15" i="36" s="1"/>
  <c r="H16" i="36" s="1"/>
  <c r="H17" i="36" s="1"/>
  <c r="H18" i="36" s="1"/>
  <c r="H19" i="36" s="1"/>
  <c r="H20" i="36" s="1"/>
  <c r="H21" i="36" s="1"/>
  <c r="H22" i="36" s="1"/>
  <c r="H23" i="36" s="1"/>
  <c r="H24" i="36" s="1"/>
  <c r="H25" i="36" s="1"/>
  <c r="H26" i="36" s="1"/>
  <c r="H27" i="36" s="1"/>
  <c r="H28" i="36" s="1"/>
  <c r="H29" i="36" s="1"/>
  <c r="H30" i="36" s="1"/>
  <c r="H31" i="36" s="1"/>
  <c r="H32" i="36" s="1"/>
  <c r="H33" i="36" s="1"/>
  <c r="H34" i="36" s="1"/>
  <c r="H35" i="36" s="1"/>
  <c r="H36" i="36" s="1"/>
  <c r="H37" i="36" s="1"/>
  <c r="H38" i="36" s="1"/>
  <c r="H39" i="36" s="1"/>
  <c r="H40" i="36" s="1"/>
  <c r="H41" i="36" s="1"/>
  <c r="H42" i="36" s="1"/>
  <c r="H43" i="36" s="1"/>
  <c r="H44" i="36" s="1"/>
  <c r="H45" i="36" s="1"/>
  <c r="H46" i="36" s="1"/>
  <c r="H47" i="36" s="1"/>
  <c r="H48" i="36" s="1"/>
  <c r="H49" i="36" s="1"/>
  <c r="H50" i="36" s="1"/>
  <c r="H51" i="36" s="1"/>
  <c r="H52" i="36" s="1"/>
  <c r="H53" i="36" s="1"/>
  <c r="H54" i="36" s="1"/>
  <c r="H55" i="36" s="1"/>
  <c r="H56" i="36" s="1"/>
  <c r="X2" i="34"/>
  <c r="H3" i="34"/>
  <c r="AB4" i="34" s="1"/>
  <c r="X3" i="34"/>
  <c r="Y3" i="34"/>
  <c r="Z3" i="34"/>
  <c r="AA3" i="34"/>
  <c r="AB3" i="34"/>
  <c r="AC3" i="34"/>
  <c r="H4" i="34"/>
  <c r="AB5" i="34" s="1"/>
  <c r="X4" i="34"/>
  <c r="Y4" i="34"/>
  <c r="Z4" i="34"/>
  <c r="AA4" i="34"/>
  <c r="AC4" i="34"/>
  <c r="H5" i="34"/>
  <c r="AB6" i="34" s="1"/>
  <c r="X5" i="34"/>
  <c r="Y5" i="34"/>
  <c r="Z5" i="34"/>
  <c r="AA5" i="34"/>
  <c r="H6" i="34"/>
  <c r="AB7" i="34" s="1"/>
  <c r="X6" i="34"/>
  <c r="Y6" i="34"/>
  <c r="Z6" i="34"/>
  <c r="AA6" i="34"/>
  <c r="H7" i="34"/>
  <c r="AB8" i="34" s="1"/>
  <c r="X7" i="34"/>
  <c r="Y7" i="34"/>
  <c r="Z7" i="34"/>
  <c r="AA7" i="34"/>
  <c r="H8" i="34"/>
  <c r="AB9" i="34" s="1"/>
  <c r="X8" i="34"/>
  <c r="Y8" i="34"/>
  <c r="Z8" i="34"/>
  <c r="AA8" i="34"/>
  <c r="H9" i="34"/>
  <c r="AB10" i="34" s="1"/>
  <c r="X9" i="34"/>
  <c r="Y9" i="34"/>
  <c r="Z9" i="34"/>
  <c r="AA9" i="34"/>
  <c r="H10" i="34"/>
  <c r="AB11" i="34" s="1"/>
  <c r="X10" i="34"/>
  <c r="Y10" i="34"/>
  <c r="Z10" i="34"/>
  <c r="AA10" i="34"/>
  <c r="H11" i="34"/>
  <c r="AB12" i="34" s="1"/>
  <c r="X11" i="34"/>
  <c r="Y11" i="34"/>
  <c r="Z11" i="34"/>
  <c r="AA11" i="34"/>
  <c r="H12" i="34"/>
  <c r="AB13" i="34" s="1"/>
  <c r="X12" i="34"/>
  <c r="Y12" i="34"/>
  <c r="Z12" i="34"/>
  <c r="AA12" i="34"/>
  <c r="H13" i="34"/>
  <c r="AB14" i="34" s="1"/>
  <c r="X13" i="34"/>
  <c r="Y13" i="34"/>
  <c r="Z13" i="34"/>
  <c r="AA13" i="34"/>
  <c r="H14" i="34"/>
  <c r="AB15" i="34" s="1"/>
  <c r="X14" i="34"/>
  <c r="Y14" i="34"/>
  <c r="Z14" i="34"/>
  <c r="AA14" i="34"/>
  <c r="H15" i="34"/>
  <c r="AB16" i="34" s="1"/>
  <c r="X15" i="34"/>
  <c r="Y15" i="34"/>
  <c r="Z15" i="34"/>
  <c r="AA15" i="34"/>
  <c r="H16" i="34"/>
  <c r="AB17" i="34" s="1"/>
  <c r="X16" i="34"/>
  <c r="Y16" i="34"/>
  <c r="Z16" i="34"/>
  <c r="AA16" i="34"/>
  <c r="X17" i="34"/>
  <c r="Y17" i="34"/>
  <c r="Z17" i="34"/>
  <c r="AA17" i="34"/>
  <c r="H2" i="33"/>
  <c r="I2" i="33"/>
  <c r="J2" i="33"/>
  <c r="H3" i="33"/>
  <c r="I3" i="33"/>
  <c r="J3" i="33"/>
  <c r="H4" i="33"/>
  <c r="I4" i="33"/>
  <c r="J4" i="33"/>
  <c r="H5" i="33"/>
  <c r="I5" i="33"/>
  <c r="J5" i="33"/>
  <c r="H6" i="33"/>
  <c r="I6" i="33"/>
  <c r="J6" i="33"/>
  <c r="H7" i="33"/>
  <c r="I7" i="33"/>
  <c r="J7" i="33"/>
  <c r="H8" i="33"/>
  <c r="I8" i="33"/>
  <c r="J8" i="33"/>
  <c r="H9" i="33"/>
  <c r="I9" i="33"/>
  <c r="J9" i="33"/>
  <c r="H10" i="33"/>
  <c r="I10" i="33"/>
  <c r="J10" i="33"/>
  <c r="H11" i="33"/>
  <c r="I11" i="33" a="1"/>
  <c r="I11" i="33" s="1"/>
  <c r="J11" i="33"/>
  <c r="H12" i="33"/>
  <c r="I12" i="33"/>
  <c r="J12" i="33"/>
  <c r="H13" i="33"/>
  <c r="I13" i="33"/>
  <c r="J13" i="33"/>
  <c r="H14" i="33"/>
  <c r="I14" i="33"/>
  <c r="J14" i="33"/>
  <c r="H15" i="33"/>
  <c r="I15" i="33"/>
  <c r="J15" i="33"/>
  <c r="H16" i="33"/>
  <c r="I16" i="33"/>
  <c r="J16" i="33"/>
  <c r="H17" i="33"/>
  <c r="I17" i="33"/>
  <c r="J17" i="33"/>
  <c r="H18" i="33"/>
  <c r="I18" i="33"/>
  <c r="J18" i="33"/>
  <c r="H19" i="33"/>
  <c r="I19" i="33"/>
  <c r="J19" i="33"/>
  <c r="H20" i="33"/>
  <c r="I20" i="33"/>
  <c r="J20" i="33"/>
  <c r="H21" i="33"/>
  <c r="I21" i="33"/>
  <c r="J21" i="33"/>
  <c r="H22" i="33"/>
  <c r="I22" i="33" a="1"/>
  <c r="I22" i="33" s="1"/>
  <c r="J22" i="33"/>
  <c r="H23" i="33"/>
  <c r="I23" i="33"/>
  <c r="J23" i="33"/>
  <c r="H24" i="33"/>
  <c r="I24" i="33"/>
  <c r="J24" i="33"/>
  <c r="H25" i="33"/>
  <c r="I25" i="33"/>
  <c r="J25" i="33"/>
  <c r="H26" i="33"/>
  <c r="I26" i="33"/>
  <c r="J26" i="33"/>
  <c r="H27" i="33"/>
  <c r="I27" i="33"/>
  <c r="J27" i="33"/>
  <c r="H28" i="33"/>
  <c r="I28" i="33"/>
  <c r="J28" i="33"/>
  <c r="H29" i="33"/>
  <c r="I29" i="33" a="1"/>
  <c r="I29" i="33" s="1"/>
  <c r="J29" i="33"/>
  <c r="H30" i="33"/>
  <c r="I30" i="33"/>
  <c r="J30" i="33"/>
  <c r="H31" i="33"/>
  <c r="I31" i="33"/>
  <c r="J31" i="33"/>
  <c r="H32" i="33"/>
  <c r="I32" i="33"/>
  <c r="J32" i="33"/>
  <c r="H33" i="33"/>
  <c r="I33" i="33"/>
  <c r="J33" i="33"/>
  <c r="H34" i="33"/>
  <c r="I34" i="33"/>
  <c r="J34" i="33"/>
  <c r="H35" i="33"/>
  <c r="I35" i="33"/>
  <c r="J35" i="33"/>
  <c r="H36" i="33"/>
  <c r="I36" i="33"/>
  <c r="J36" i="33"/>
  <c r="H37" i="33"/>
  <c r="I37" i="33"/>
  <c r="J37" i="33"/>
  <c r="H38" i="33"/>
  <c r="I38" i="33"/>
  <c r="J38" i="33"/>
  <c r="H39" i="33"/>
  <c r="I39" i="33"/>
  <c r="J39" i="33"/>
  <c r="H40" i="33"/>
  <c r="I40" i="33"/>
  <c r="J40" i="33"/>
  <c r="H41" i="33"/>
  <c r="I41" i="33"/>
  <c r="J41" i="33"/>
  <c r="H42" i="33"/>
  <c r="I42" i="33"/>
  <c r="J42" i="33"/>
  <c r="H43" i="33"/>
  <c r="I43" i="33"/>
  <c r="J43" i="33"/>
  <c r="H44" i="33"/>
  <c r="I44" i="33"/>
  <c r="J44" i="33"/>
  <c r="H45" i="33"/>
  <c r="I45" i="33"/>
  <c r="J45" i="33"/>
  <c r="H46" i="33"/>
  <c r="I46" i="33"/>
  <c r="J46" i="33"/>
  <c r="H47" i="33"/>
  <c r="I47" i="33"/>
  <c r="J47" i="33"/>
  <c r="H48" i="33"/>
  <c r="I48" i="33"/>
  <c r="J48" i="33"/>
  <c r="H49" i="33"/>
  <c r="I49" i="33"/>
  <c r="J49" i="33"/>
  <c r="H50" i="33"/>
  <c r="I50" i="33"/>
  <c r="J50" i="33"/>
  <c r="H51" i="33"/>
  <c r="I51" i="33"/>
  <c r="J51" i="33"/>
  <c r="H57" i="33"/>
  <c r="I57" i="33"/>
  <c r="H58" i="33"/>
  <c r="I58" i="33"/>
  <c r="H59" i="33"/>
  <c r="I59" i="33"/>
  <c r="H60" i="33"/>
  <c r="I60" i="33"/>
  <c r="H61" i="33"/>
  <c r="I61" i="33"/>
  <c r="H62" i="33"/>
  <c r="I62" i="33"/>
  <c r="H63" i="33"/>
  <c r="I63" i="33"/>
  <c r="H64" i="33"/>
  <c r="I64" i="33"/>
  <c r="H65" i="33"/>
  <c r="I65" i="33"/>
  <c r="H66" i="33"/>
  <c r="I66" i="33" a="1"/>
  <c r="I66" i="33" s="1"/>
  <c r="H67" i="33"/>
  <c r="I67" i="33"/>
  <c r="H68" i="33"/>
  <c r="I68" i="33"/>
  <c r="H69" i="33"/>
  <c r="I69" i="33"/>
  <c r="H70" i="33"/>
  <c r="I70" i="33"/>
  <c r="H71" i="33"/>
  <c r="I71" i="33"/>
  <c r="H72" i="33"/>
  <c r="I72" i="33"/>
  <c r="H73" i="33"/>
  <c r="I73" i="33"/>
  <c r="H74" i="33"/>
  <c r="I74" i="33"/>
  <c r="H75" i="33"/>
  <c r="I75" i="33"/>
  <c r="H76" i="33"/>
  <c r="I76" i="33"/>
  <c r="H77" i="33"/>
  <c r="I77" i="33" a="1"/>
  <c r="I77" i="33" s="1"/>
  <c r="H78" i="33"/>
  <c r="I78" i="33"/>
  <c r="H79" i="33"/>
  <c r="I79" i="33"/>
  <c r="H80" i="33"/>
  <c r="I80" i="33"/>
  <c r="H81" i="33"/>
  <c r="I81" i="33"/>
  <c r="H82" i="33"/>
  <c r="I82" i="33"/>
  <c r="H83" i="33"/>
  <c r="I83" i="33"/>
  <c r="H84" i="33"/>
  <c r="I84" i="33" a="1"/>
  <c r="I84" i="33" s="1"/>
  <c r="H85" i="33"/>
  <c r="I85" i="33"/>
  <c r="H86" i="33"/>
  <c r="I86" i="33"/>
  <c r="H87" i="33"/>
  <c r="I87" i="33"/>
  <c r="H88" i="33"/>
  <c r="I88" i="33"/>
  <c r="H89" i="33"/>
  <c r="I89" i="33"/>
  <c r="H90" i="33"/>
  <c r="I90" i="33"/>
  <c r="H91" i="33"/>
  <c r="I91" i="33"/>
  <c r="H92" i="33"/>
  <c r="I92" i="33"/>
  <c r="H93" i="33"/>
  <c r="I93" i="33"/>
  <c r="H94" i="33"/>
  <c r="I94" i="33"/>
  <c r="H95" i="33"/>
  <c r="I95" i="33"/>
  <c r="H96" i="33"/>
  <c r="I96" i="33"/>
  <c r="H97" i="33"/>
  <c r="I97" i="33"/>
  <c r="H98" i="33"/>
  <c r="I98" i="33"/>
  <c r="H99" i="33"/>
  <c r="I99" i="33"/>
  <c r="H100" i="33"/>
  <c r="I100" i="33"/>
  <c r="H101" i="33"/>
  <c r="I101" i="33"/>
  <c r="H102" i="33"/>
  <c r="I102" i="33"/>
  <c r="H103" i="33"/>
  <c r="I103" i="33"/>
  <c r="H104" i="33"/>
  <c r="I104" i="33"/>
  <c r="H105" i="33"/>
  <c r="I105" i="33"/>
  <c r="H106" i="33"/>
  <c r="I106" i="33"/>
  <c r="H114" i="33"/>
  <c r="I114" i="33"/>
  <c r="H115" i="33"/>
  <c r="I115" i="33"/>
  <c r="H116" i="33"/>
  <c r="I116" i="33"/>
  <c r="H117" i="33"/>
  <c r="I117" i="33"/>
  <c r="H118" i="33"/>
  <c r="I118" i="33"/>
  <c r="H119" i="33"/>
  <c r="I119" i="33"/>
  <c r="H120" i="33"/>
  <c r="I120" i="33"/>
  <c r="H121" i="33"/>
  <c r="I121" i="33"/>
  <c r="H122" i="33"/>
  <c r="I122" i="33" a="1"/>
  <c r="I122" i="33" s="1"/>
  <c r="H123" i="33"/>
  <c r="I123" i="33"/>
  <c r="H124" i="33"/>
  <c r="I124" i="33"/>
  <c r="H125" i="33"/>
  <c r="I125" i="33"/>
  <c r="H126" i="33"/>
  <c r="I126" i="33"/>
  <c r="H127" i="33"/>
  <c r="I127" i="33"/>
  <c r="H128" i="33"/>
  <c r="I128" i="33"/>
  <c r="H129" i="33"/>
  <c r="I129" i="33"/>
  <c r="H130" i="33"/>
  <c r="I130" i="33"/>
  <c r="H131" i="33"/>
  <c r="I131" i="33"/>
  <c r="H132" i="33"/>
  <c r="I132" i="33" a="1"/>
  <c r="I132" i="33" s="1"/>
  <c r="H133" i="33"/>
  <c r="I133" i="33"/>
  <c r="H134" i="33"/>
  <c r="I134" i="33"/>
  <c r="H135" i="33"/>
  <c r="I135" i="33"/>
  <c r="H136" i="33"/>
  <c r="I136" i="33"/>
  <c r="H137" i="33"/>
  <c r="I137" i="33"/>
  <c r="H138" i="33"/>
  <c r="I138" i="33" a="1"/>
  <c r="I138" i="33" s="1"/>
  <c r="H139" i="33"/>
  <c r="I139" i="33"/>
  <c r="H140" i="33"/>
  <c r="I140" i="33"/>
  <c r="H141" i="33"/>
  <c r="I141" i="33"/>
  <c r="H142" i="33"/>
  <c r="I142" i="33"/>
  <c r="H143" i="33"/>
  <c r="I143" i="33"/>
  <c r="H144" i="33"/>
  <c r="I144" i="33"/>
  <c r="H145" i="33"/>
  <c r="I145" i="33"/>
  <c r="H146" i="33"/>
  <c r="I146" i="33"/>
  <c r="H147" i="33"/>
  <c r="I147" i="33"/>
  <c r="H148" i="33"/>
  <c r="I148" i="33"/>
  <c r="H149" i="33"/>
  <c r="I149" i="33"/>
  <c r="H150" i="33"/>
  <c r="I150" i="33"/>
  <c r="H151" i="33"/>
  <c r="I151" i="33"/>
  <c r="H152" i="33"/>
  <c r="I152" i="33"/>
  <c r="H153" i="33"/>
  <c r="I153" i="33"/>
  <c r="H154" i="33"/>
  <c r="I154" i="33"/>
  <c r="H155" i="33"/>
  <c r="I155" i="33"/>
  <c r="H156" i="33"/>
  <c r="I156" i="33"/>
  <c r="H157" i="33"/>
  <c r="I157" i="33"/>
  <c r="H158" i="33"/>
  <c r="I158" i="33"/>
  <c r="D175" i="33"/>
  <c r="F179" i="33"/>
  <c r="C60" i="32" a="1"/>
  <c r="C60" i="32" s="1"/>
  <c r="F39" i="31"/>
  <c r="A3" i="29"/>
  <c r="K3" i="29"/>
  <c r="A4" i="29"/>
  <c r="K4" i="29"/>
  <c r="K5" i="29" s="1"/>
  <c r="K6" i="29" s="1"/>
  <c r="K7" i="29" s="1"/>
  <c r="K8" i="29" s="1"/>
  <c r="K9" i="29" s="1"/>
  <c r="K10" i="29" s="1"/>
  <c r="K11" i="29" s="1"/>
  <c r="K12" i="29" s="1"/>
  <c r="K13" i="29" s="1"/>
  <c r="K14" i="29" s="1"/>
  <c r="K15" i="29" s="1"/>
  <c r="K16" i="29" s="1"/>
  <c r="K17" i="29" s="1"/>
  <c r="K18" i="29" s="1"/>
  <c r="K19" i="29" s="1"/>
  <c r="K20" i="29" s="1"/>
  <c r="K21" i="29" s="1"/>
  <c r="K22" i="29" s="1"/>
  <c r="K23" i="29" s="1"/>
  <c r="K24" i="29" s="1"/>
  <c r="K25" i="29" s="1"/>
  <c r="K26" i="29" s="1"/>
  <c r="K27" i="29" s="1"/>
  <c r="K28" i="29" s="1"/>
  <c r="K29" i="29" s="1"/>
  <c r="K30" i="29" s="1"/>
  <c r="K31" i="29" s="1"/>
  <c r="K32" i="29" s="1"/>
  <c r="K33" i="29" s="1"/>
  <c r="K34" i="29" s="1"/>
  <c r="K35" i="29" s="1"/>
  <c r="K36" i="29" s="1"/>
  <c r="K37" i="29" s="1"/>
  <c r="K38" i="29" s="1"/>
  <c r="K39" i="29" s="1"/>
  <c r="K40" i="29" s="1"/>
  <c r="K41" i="29" s="1"/>
  <c r="K42" i="29" s="1"/>
  <c r="K43" i="29" s="1"/>
  <c r="K44" i="29" s="1"/>
  <c r="K45" i="29" s="1"/>
  <c r="K46" i="29" s="1"/>
  <c r="K47" i="29" s="1"/>
  <c r="K48" i="29" s="1"/>
  <c r="K49" i="29" s="1"/>
  <c r="K50" i="29" s="1"/>
  <c r="K51" i="29" s="1"/>
  <c r="A5" i="29"/>
  <c r="A6" i="29"/>
  <c r="A7" i="29" s="1"/>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7" i="29"/>
  <c r="A58" i="29"/>
  <c r="A59" i="29"/>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3" i="28"/>
  <c r="F3" i="28"/>
  <c r="A4" i="28"/>
  <c r="F4" i="28"/>
  <c r="F5" i="28" s="1"/>
  <c r="F6" i="28" s="1"/>
  <c r="F7" i="28" s="1"/>
  <c r="F8" i="28" s="1"/>
  <c r="F9" i="28" s="1"/>
  <c r="F10" i="28" s="1"/>
  <c r="F11" i="28" s="1"/>
  <c r="F12" i="28" s="1"/>
  <c r="F13" i="28" s="1"/>
  <c r="F14" i="28" s="1"/>
  <c r="F15" i="28" s="1"/>
  <c r="F16" i="28" s="1"/>
  <c r="F17" i="28" s="1"/>
  <c r="F18" i="28" s="1"/>
  <c r="F19" i="28" s="1"/>
  <c r="F20" i="28" s="1"/>
  <c r="F21" i="28" s="1"/>
  <c r="F22" i="28" s="1"/>
  <c r="F23" i="28" s="1"/>
  <c r="A5" i="28"/>
  <c r="A6" i="28" s="1"/>
  <c r="A7" i="28" s="1"/>
  <c r="A8" i="28" s="1"/>
  <c r="A9" i="28" s="1"/>
  <c r="A10" i="28" s="1"/>
  <c r="A11" i="28" s="1"/>
  <c r="A12" i="28" s="1"/>
  <c r="A13" i="28" s="1"/>
  <c r="A14" i="28" s="1"/>
  <c r="A15" i="28" s="1"/>
  <c r="A16" i="28" s="1"/>
  <c r="A17" i="28" s="1"/>
  <c r="A18" i="28" s="1"/>
  <c r="A19" i="28" s="1"/>
  <c r="A20" i="28" s="1"/>
  <c r="A21" i="28" s="1"/>
  <c r="A22" i="28" s="1"/>
  <c r="A23" i="28" s="1"/>
  <c r="D2" i="27"/>
  <c r="E2" i="27"/>
  <c r="C3" i="27"/>
  <c r="D3" i="27"/>
  <c r="F3" i="27"/>
  <c r="D4" i="27"/>
  <c r="E4" i="27"/>
  <c r="C5" i="27"/>
  <c r="D5" i="27"/>
  <c r="F5" i="27"/>
  <c r="C6" i="27"/>
  <c r="D6" i="27"/>
  <c r="F6" i="27"/>
  <c r="D7" i="27"/>
  <c r="E7" i="27"/>
  <c r="F7" i="27"/>
  <c r="C8" i="27"/>
  <c r="F8" i="27"/>
  <c r="C9" i="27"/>
  <c r="D9" i="27"/>
  <c r="E9" i="27"/>
  <c r="F9" i="27"/>
  <c r="C10" i="27"/>
  <c r="E10" i="27"/>
  <c r="C11" i="27"/>
  <c r="D11" i="27"/>
  <c r="E11" i="27"/>
  <c r="F11" i="27"/>
  <c r="C12" i="27"/>
  <c r="D12" i="27"/>
  <c r="E12" i="27"/>
  <c r="C13" i="27"/>
  <c r="D13" i="27"/>
  <c r="F13" i="27"/>
  <c r="C14" i="27"/>
  <c r="D14" i="27"/>
  <c r="F14" i="27"/>
  <c r="E15" i="27"/>
  <c r="G15" i="27" s="1"/>
  <c r="A3" i="26"/>
  <c r="C3" i="26" s="1"/>
  <c r="B3" i="26"/>
  <c r="A4" i="26"/>
  <c r="B4" i="26"/>
  <c r="B5" i="26" s="1"/>
  <c r="B6" i="26" s="1"/>
  <c r="B7" i="26" s="1"/>
  <c r="B8" i="26" s="1"/>
  <c r="B9" i="26" s="1"/>
  <c r="B10" i="26" s="1"/>
  <c r="B11" i="26" s="1"/>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36" i="26" s="1"/>
  <c r="B37" i="26" s="1"/>
  <c r="B38" i="26" s="1"/>
  <c r="B39" i="26" s="1"/>
  <c r="B40" i="26" s="1"/>
  <c r="B41" i="26" s="1"/>
  <c r="B42" i="26" s="1"/>
  <c r="D44" i="44" l="1"/>
  <c r="D32" i="44"/>
  <c r="E36" i="44"/>
  <c r="D36" i="44"/>
  <c r="D120" i="44"/>
  <c r="D48" i="44"/>
  <c r="D41" i="44"/>
  <c r="E32" i="44"/>
  <c r="E40" i="44"/>
  <c r="D40" i="44"/>
  <c r="E49" i="44"/>
  <c r="C48" i="44"/>
  <c r="E45" i="44"/>
  <c r="C44" i="44"/>
  <c r="E41" i="44"/>
  <c r="E37" i="44"/>
  <c r="E33" i="44"/>
  <c r="E119" i="44"/>
  <c r="D49" i="44"/>
  <c r="D45" i="44"/>
  <c r="D37" i="44"/>
  <c r="D33" i="44"/>
  <c r="E46" i="44"/>
  <c r="E42" i="44"/>
  <c r="E38" i="44"/>
  <c r="E34" i="44"/>
  <c r="D46" i="44"/>
  <c r="D42" i="44"/>
  <c r="D38" i="44"/>
  <c r="D34" i="44"/>
  <c r="E47" i="44"/>
  <c r="E43" i="44"/>
  <c r="E39" i="44"/>
  <c r="E35" i="44"/>
  <c r="D47" i="44"/>
  <c r="D43" i="44"/>
  <c r="D39" i="44"/>
  <c r="D35" i="44"/>
  <c r="H7" i="27"/>
  <c r="I8" i="27"/>
  <c r="H4" i="27"/>
  <c r="H11" i="27"/>
  <c r="H10" i="27"/>
  <c r="G5" i="27"/>
  <c r="G2" i="27"/>
  <c r="G4" i="27"/>
  <c r="H9" i="27"/>
  <c r="G9" i="27"/>
  <c r="G11" i="27"/>
  <c r="G6" i="27"/>
  <c r="I3" i="27"/>
  <c r="G12" i="27"/>
  <c r="G14" i="27"/>
  <c r="G13" i="27"/>
  <c r="I11" i="27"/>
  <c r="H3" i="27"/>
  <c r="I7" i="27"/>
  <c r="H15" i="27"/>
  <c r="H12" i="27"/>
  <c r="G8" i="27"/>
  <c r="G10" i="27"/>
  <c r="G3" i="27"/>
  <c r="I15" i="27"/>
  <c r="I12" i="27"/>
  <c r="G7" i="27"/>
  <c r="I4" i="27"/>
  <c r="I13" i="27"/>
  <c r="I9" i="27"/>
  <c r="H8" i="27"/>
  <c r="I5" i="27"/>
  <c r="H13" i="27"/>
  <c r="H5" i="27"/>
  <c r="I2" i="27"/>
  <c r="I14" i="27"/>
  <c r="I6" i="27"/>
  <c r="H2" i="27"/>
  <c r="I10" i="27"/>
  <c r="H14" i="27"/>
  <c r="H6" i="27"/>
  <c r="C4" i="26"/>
  <c r="D4" i="26"/>
  <c r="E4" i="26" s="1"/>
  <c r="H4" i="26" s="1"/>
  <c r="A5" i="26"/>
  <c r="D3" i="26"/>
  <c r="G49" i="44" l="1"/>
  <c r="G32" i="44"/>
  <c r="G39" i="44"/>
  <c r="G38" i="44"/>
  <c r="G44" i="44"/>
  <c r="G40" i="44"/>
  <c r="G37" i="44"/>
  <c r="G43" i="44"/>
  <c r="G42" i="44"/>
  <c r="G48" i="44"/>
  <c r="G36" i="44"/>
  <c r="G41" i="44"/>
  <c r="G47" i="44"/>
  <c r="G46" i="44"/>
  <c r="G45" i="44"/>
  <c r="G35" i="44"/>
  <c r="G34" i="44"/>
  <c r="G33" i="44"/>
  <c r="K4" i="26"/>
  <c r="A6" i="26"/>
  <c r="C5" i="26"/>
  <c r="D5" i="26" s="1"/>
  <c r="F3" i="26"/>
  <c r="G3" i="26"/>
  <c r="F4" i="26"/>
  <c r="G4" i="26"/>
  <c r="E3" i="26"/>
  <c r="H3" i="26" l="1"/>
  <c r="K3" i="26" s="1"/>
  <c r="A7" i="26"/>
  <c r="C6" i="26"/>
  <c r="D6" i="26"/>
  <c r="E6" i="26"/>
  <c r="H6" i="26" s="1"/>
  <c r="L4" i="26"/>
  <c r="I4" i="26"/>
  <c r="J4" i="26"/>
  <c r="I3" i="26"/>
  <c r="L3" i="26"/>
  <c r="E5" i="26"/>
  <c r="H5" i="26" s="1"/>
  <c r="G6" i="26" l="1"/>
  <c r="F6" i="26"/>
  <c r="C7" i="26"/>
  <c r="E7" i="26" s="1"/>
  <c r="H7" i="26" s="1"/>
  <c r="D7" i="26"/>
  <c r="A8" i="26"/>
  <c r="G5" i="26"/>
  <c r="K5" i="26"/>
  <c r="N4" i="26"/>
  <c r="M4" i="26"/>
  <c r="J3" i="26"/>
  <c r="M3" i="26" s="1"/>
  <c r="F5" i="26"/>
  <c r="F7" i="26" l="1"/>
  <c r="G7" i="26"/>
  <c r="I5" i="26"/>
  <c r="J5" i="26"/>
  <c r="M5" i="26" s="1"/>
  <c r="L5" i="26"/>
  <c r="I6" i="26"/>
  <c r="J6" i="26"/>
  <c r="L6" i="26"/>
  <c r="C8" i="26"/>
  <c r="D8" i="26"/>
  <c r="E8" i="26"/>
  <c r="H8" i="26" s="1"/>
  <c r="A9" i="26"/>
  <c r="K6" i="26"/>
  <c r="M6" i="26" s="1"/>
  <c r="N3" i="26"/>
  <c r="N6" i="26" l="1"/>
  <c r="N5" i="26"/>
  <c r="I7" i="26"/>
  <c r="M7" i="26" s="1"/>
  <c r="J7" i="26"/>
  <c r="L7" i="26"/>
  <c r="F8" i="26"/>
  <c r="G8" i="26"/>
  <c r="A10" i="26"/>
  <c r="C9" i="26"/>
  <c r="E9" i="26" s="1"/>
  <c r="H9" i="26" s="1"/>
  <c r="D9" i="26"/>
  <c r="K8" i="26"/>
  <c r="K7" i="26"/>
  <c r="F9" i="26" l="1"/>
  <c r="G9" i="26"/>
  <c r="A11" i="26"/>
  <c r="C10" i="26"/>
  <c r="D10" i="26" s="1"/>
  <c r="M8" i="26"/>
  <c r="N8" i="26" s="1"/>
  <c r="N7" i="26"/>
  <c r="L8" i="26"/>
  <c r="J8" i="26"/>
  <c r="I8" i="26"/>
  <c r="M9" i="26" l="1"/>
  <c r="C11" i="26"/>
  <c r="D11" i="26"/>
  <c r="E11" i="26"/>
  <c r="H11" i="26" s="1"/>
  <c r="A12" i="26"/>
  <c r="J9" i="26"/>
  <c r="I9" i="26"/>
  <c r="N9" i="26" s="1"/>
  <c r="L9" i="26"/>
  <c r="E10" i="26"/>
  <c r="H10" i="26" s="1"/>
  <c r="K9" i="26"/>
  <c r="F11" i="26" l="1"/>
  <c r="G11" i="26"/>
  <c r="G10" i="26"/>
  <c r="K10" i="26" s="1"/>
  <c r="K11" i="26"/>
  <c r="C12" i="26"/>
  <c r="D12" i="26" s="1"/>
  <c r="A13" i="26"/>
  <c r="F10" i="26"/>
  <c r="M11" i="26" l="1"/>
  <c r="N11" i="26"/>
  <c r="I10" i="26"/>
  <c r="M10" i="26" s="1"/>
  <c r="J10" i="26"/>
  <c r="L10" i="26"/>
  <c r="E12" i="26"/>
  <c r="H12" i="26" s="1"/>
  <c r="A14" i="26"/>
  <c r="C13" i="26"/>
  <c r="D13" i="26" s="1"/>
  <c r="I11" i="26"/>
  <c r="J11" i="26"/>
  <c r="L11" i="26"/>
  <c r="E13" i="26" l="1"/>
  <c r="H13" i="26" s="1"/>
  <c r="A15" i="26"/>
  <c r="C14" i="26"/>
  <c r="N10" i="26"/>
  <c r="G12" i="26"/>
  <c r="F12" i="26"/>
  <c r="D14" i="26" l="1"/>
  <c r="L12" i="26"/>
  <c r="I12" i="26"/>
  <c r="J12" i="26"/>
  <c r="K13" i="26"/>
  <c r="D15" i="26"/>
  <c r="C15" i="26"/>
  <c r="A16" i="26"/>
  <c r="G13" i="26"/>
  <c r="M12" i="26"/>
  <c r="K12" i="26"/>
  <c r="N12" i="26" s="1"/>
  <c r="F13" i="26"/>
  <c r="C16" i="26" l="1"/>
  <c r="E16" i="26" s="1"/>
  <c r="D16" i="26"/>
  <c r="A17" i="26"/>
  <c r="G14" i="26"/>
  <c r="F14" i="26"/>
  <c r="E15" i="26"/>
  <c r="H15" i="26" s="1"/>
  <c r="I13" i="26"/>
  <c r="M13" i="26" s="1"/>
  <c r="J13" i="26"/>
  <c r="L13" i="26"/>
  <c r="E14" i="26"/>
  <c r="H14" i="26" s="1"/>
  <c r="H16" i="26" l="1"/>
  <c r="K16" i="26" s="1"/>
  <c r="N13" i="26"/>
  <c r="F16" i="26"/>
  <c r="G16" i="26"/>
  <c r="J14" i="26"/>
  <c r="L14" i="26"/>
  <c r="I14" i="26"/>
  <c r="G15" i="26"/>
  <c r="K14" i="26"/>
  <c r="M14" i="26" s="1"/>
  <c r="N14" i="26" s="1"/>
  <c r="F15" i="26"/>
  <c r="A18" i="26"/>
  <c r="C17" i="26"/>
  <c r="E17" i="26" s="1"/>
  <c r="H17" i="26" s="1"/>
  <c r="D17" i="26"/>
  <c r="F17" i="26" l="1"/>
  <c r="G17" i="26"/>
  <c r="I15" i="26"/>
  <c r="M15" i="26" s="1"/>
  <c r="N15" i="26" s="1"/>
  <c r="J15" i="26"/>
  <c r="L15" i="26"/>
  <c r="K15" i="26"/>
  <c r="A19" i="26"/>
  <c r="C18" i="26"/>
  <c r="E18" i="26" s="1"/>
  <c r="D18" i="26"/>
  <c r="L16" i="26"/>
  <c r="I16" i="26"/>
  <c r="M16" i="26" s="1"/>
  <c r="J16" i="26"/>
  <c r="H18" i="26" l="1"/>
  <c r="I17" i="26"/>
  <c r="J17" i="26"/>
  <c r="M17" i="26" s="1"/>
  <c r="L17" i="26"/>
  <c r="K17" i="26"/>
  <c r="G18" i="26"/>
  <c r="F18" i="26"/>
  <c r="A20" i="26"/>
  <c r="C19" i="26"/>
  <c r="D19" i="26" s="1"/>
  <c r="N16" i="26"/>
  <c r="N17" i="26" l="1"/>
  <c r="C20" i="26"/>
  <c r="D20" i="26"/>
  <c r="A21" i="26"/>
  <c r="E19" i="26"/>
  <c r="H19" i="26" s="1"/>
  <c r="J18" i="26"/>
  <c r="L18" i="26"/>
  <c r="I18" i="26"/>
  <c r="M18" i="26" s="1"/>
  <c r="K18" i="26"/>
  <c r="N18" i="26" l="1"/>
  <c r="A22" i="26"/>
  <c r="C21" i="26"/>
  <c r="E21" i="26" s="1"/>
  <c r="H21" i="26" s="1"/>
  <c r="D21" i="26"/>
  <c r="F19" i="26"/>
  <c r="G19" i="26"/>
  <c r="E20" i="26"/>
  <c r="F21" i="26" l="1"/>
  <c r="G21" i="26"/>
  <c r="K21" i="26" s="1"/>
  <c r="I19" i="26"/>
  <c r="M19" i="26" s="1"/>
  <c r="N19" i="26" s="1"/>
  <c r="J19" i="26"/>
  <c r="L19" i="26"/>
  <c r="A23" i="26"/>
  <c r="C22" i="26"/>
  <c r="D22" i="26"/>
  <c r="E22" i="26"/>
  <c r="H22" i="26" s="1"/>
  <c r="K19" i="26"/>
  <c r="H20" i="26"/>
  <c r="G20" i="26"/>
  <c r="F20" i="26"/>
  <c r="L20" i="26" l="1"/>
  <c r="I20" i="26"/>
  <c r="J20" i="26"/>
  <c r="G22" i="26"/>
  <c r="K22" i="26" s="1"/>
  <c r="F22" i="26"/>
  <c r="I21" i="26"/>
  <c r="L21" i="26"/>
  <c r="J21" i="26"/>
  <c r="K20" i="26"/>
  <c r="M20" i="26" s="1"/>
  <c r="N20" i="26" s="1"/>
  <c r="D23" i="26"/>
  <c r="A24" i="26"/>
  <c r="C23" i="26"/>
  <c r="E23" i="26" l="1"/>
  <c r="C24" i="26"/>
  <c r="D24" i="26"/>
  <c r="A25" i="26"/>
  <c r="M21" i="26"/>
  <c r="N21" i="26" s="1"/>
  <c r="J22" i="26"/>
  <c r="I22" i="26"/>
  <c r="M22" i="26" s="1"/>
  <c r="N22" i="26" s="1"/>
  <c r="L22" i="26"/>
  <c r="H23" i="26" l="1"/>
  <c r="F24" i="26"/>
  <c r="G24" i="26"/>
  <c r="G23" i="26"/>
  <c r="F23" i="26"/>
  <c r="E24" i="26"/>
  <c r="H24" i="26" s="1"/>
  <c r="C25" i="26"/>
  <c r="E25" i="26" s="1"/>
  <c r="H25" i="26" s="1"/>
  <c r="D25" i="26"/>
  <c r="A26" i="26"/>
  <c r="I23" i="26" l="1"/>
  <c r="J23" i="26"/>
  <c r="M23" i="26" s="1"/>
  <c r="N23" i="26" s="1"/>
  <c r="L23" i="26"/>
  <c r="C26" i="26"/>
  <c r="A27" i="26"/>
  <c r="F25" i="26"/>
  <c r="G25" i="26"/>
  <c r="L24" i="26"/>
  <c r="J24" i="26"/>
  <c r="I24" i="26"/>
  <c r="K23" i="26"/>
  <c r="K24" i="26"/>
  <c r="M25" i="26" l="1"/>
  <c r="I25" i="26"/>
  <c r="J25" i="26"/>
  <c r="L25" i="26"/>
  <c r="D26" i="26"/>
  <c r="D27" i="26"/>
  <c r="E27" i="26"/>
  <c r="H27" i="26" s="1"/>
  <c r="A28" i="26"/>
  <c r="C27" i="26"/>
  <c r="K25" i="26"/>
  <c r="N25" i="26" s="1"/>
  <c r="M24" i="26"/>
  <c r="N24" i="26" s="1"/>
  <c r="E26" i="26" l="1"/>
  <c r="F27" i="26"/>
  <c r="G27" i="26"/>
  <c r="A29" i="26"/>
  <c r="C28" i="26"/>
  <c r="C29" i="26" l="1"/>
  <c r="A30" i="26"/>
  <c r="D29" i="26"/>
  <c r="E29" i="26"/>
  <c r="H29" i="26" s="1"/>
  <c r="G26" i="26"/>
  <c r="D28" i="26"/>
  <c r="J27" i="26"/>
  <c r="L27" i="26"/>
  <c r="I27" i="26"/>
  <c r="M27" i="26" s="1"/>
  <c r="N27" i="26" s="1"/>
  <c r="H26" i="26"/>
  <c r="K26" i="26" s="1"/>
  <c r="F26" i="26"/>
  <c r="K27" i="26"/>
  <c r="F29" i="26" l="1"/>
  <c r="G29" i="26"/>
  <c r="C30" i="26"/>
  <c r="A31" i="26"/>
  <c r="F28" i="26"/>
  <c r="G28" i="26"/>
  <c r="J26" i="26"/>
  <c r="M26" i="26" s="1"/>
  <c r="N26" i="26" s="1"/>
  <c r="I26" i="26"/>
  <c r="L26" i="26"/>
  <c r="E28" i="26"/>
  <c r="E30" i="26" l="1"/>
  <c r="H30" i="26" s="1"/>
  <c r="J28" i="26"/>
  <c r="I29" i="26"/>
  <c r="J29" i="26"/>
  <c r="L29" i="26"/>
  <c r="K29" i="26"/>
  <c r="M29" i="26" s="1"/>
  <c r="N29" i="26" s="1"/>
  <c r="H28" i="26"/>
  <c r="K28" i="26" s="1"/>
  <c r="D31" i="26"/>
  <c r="E31" i="26"/>
  <c r="H31" i="26" s="1"/>
  <c r="C31" i="26"/>
  <c r="A32" i="26"/>
  <c r="D30" i="26"/>
  <c r="I28" i="26" l="1"/>
  <c r="F31" i="26"/>
  <c r="G31" i="26"/>
  <c r="L28" i="26"/>
  <c r="K31" i="26"/>
  <c r="F30" i="26"/>
  <c r="G30" i="26"/>
  <c r="K30" i="26" s="1"/>
  <c r="A33" i="26"/>
  <c r="C32" i="26"/>
  <c r="D32" i="26" s="1"/>
  <c r="E32" i="26" l="1"/>
  <c r="H32" i="26" s="1"/>
  <c r="C33" i="26"/>
  <c r="D33" i="26" s="1"/>
  <c r="A34" i="26"/>
  <c r="J31" i="26"/>
  <c r="L31" i="26"/>
  <c r="I31" i="26"/>
  <c r="M31" i="26" s="1"/>
  <c r="N31" i="26" s="1"/>
  <c r="M28" i="26"/>
  <c r="N28" i="26" s="1"/>
  <c r="J30" i="26"/>
  <c r="M30" i="26" s="1"/>
  <c r="N30" i="26" s="1"/>
  <c r="I30" i="26"/>
  <c r="L30" i="26"/>
  <c r="G32" i="26" l="1"/>
  <c r="E33" i="26"/>
  <c r="H33" i="26" s="1"/>
  <c r="F32" i="26"/>
  <c r="K32" i="26"/>
  <c r="C34" i="26"/>
  <c r="D34" i="26"/>
  <c r="A35" i="26"/>
  <c r="E34" i="26"/>
  <c r="H34" i="26" s="1"/>
  <c r="F34" i="26" l="1"/>
  <c r="G34" i="26"/>
  <c r="L32" i="26"/>
  <c r="I32" i="26"/>
  <c r="J32" i="26"/>
  <c r="G33" i="26"/>
  <c r="D35" i="26"/>
  <c r="C35" i="26"/>
  <c r="A36" i="26"/>
  <c r="F33" i="26"/>
  <c r="E35" i="26" l="1"/>
  <c r="J34" i="26"/>
  <c r="I34" i="26"/>
  <c r="N34" i="26" s="1"/>
  <c r="L34" i="26"/>
  <c r="K34" i="26"/>
  <c r="I33" i="26"/>
  <c r="L33" i="26"/>
  <c r="J33" i="26"/>
  <c r="M32" i="26"/>
  <c r="N32" i="26" s="1"/>
  <c r="A37" i="26"/>
  <c r="C36" i="26"/>
  <c r="D36" i="26" s="1"/>
  <c r="M34" i="26"/>
  <c r="K33" i="26"/>
  <c r="H35" i="26" l="1"/>
  <c r="K35" i="26" s="1"/>
  <c r="E36" i="26"/>
  <c r="H36" i="26" s="1"/>
  <c r="M33" i="26"/>
  <c r="N33" i="26" s="1"/>
  <c r="G35" i="26"/>
  <c r="D37" i="26"/>
  <c r="C37" i="26"/>
  <c r="A38" i="26"/>
  <c r="F35" i="26"/>
  <c r="C38" i="26" l="1"/>
  <c r="E38" i="26" s="1"/>
  <c r="D38" i="26"/>
  <c r="A39" i="26"/>
  <c r="E37" i="26"/>
  <c r="H37" i="26" s="1"/>
  <c r="G36" i="26"/>
  <c r="J35" i="26"/>
  <c r="L35" i="26"/>
  <c r="I35" i="26"/>
  <c r="F36" i="26"/>
  <c r="H38" i="26" l="1"/>
  <c r="C39" i="26"/>
  <c r="D39" i="26" s="1"/>
  <c r="A40" i="26"/>
  <c r="L36" i="26"/>
  <c r="J36" i="26"/>
  <c r="I36" i="26"/>
  <c r="F38" i="26"/>
  <c r="G38" i="26"/>
  <c r="K36" i="26"/>
  <c r="M36" i="26" s="1"/>
  <c r="G37" i="26"/>
  <c r="M35" i="26"/>
  <c r="N35" i="26" s="1"/>
  <c r="F37" i="26"/>
  <c r="E39" i="26" l="1"/>
  <c r="H39" i="26" s="1"/>
  <c r="M37" i="26"/>
  <c r="N37" i="26"/>
  <c r="N36" i="26"/>
  <c r="I37" i="26"/>
  <c r="J37" i="26"/>
  <c r="L37" i="26"/>
  <c r="K38" i="26"/>
  <c r="J38" i="26"/>
  <c r="I38" i="26"/>
  <c r="M38" i="26" s="1"/>
  <c r="L38" i="26"/>
  <c r="K37" i="26"/>
  <c r="A41" i="26"/>
  <c r="C40" i="26"/>
  <c r="D40" i="26" s="1"/>
  <c r="E40" i="26" l="1"/>
  <c r="H40" i="26" s="1"/>
  <c r="N38" i="26"/>
  <c r="A42" i="26"/>
  <c r="C41" i="26"/>
  <c r="D41" i="26" s="1"/>
  <c r="G39" i="26"/>
  <c r="F39" i="26"/>
  <c r="J39" i="26" l="1"/>
  <c r="L39" i="26"/>
  <c r="I39" i="26"/>
  <c r="M39" i="26"/>
  <c r="K39" i="26"/>
  <c r="G40" i="26"/>
  <c r="K40" i="26"/>
  <c r="C42" i="26"/>
  <c r="D42" i="26"/>
  <c r="E42" i="26"/>
  <c r="H42" i="26" s="1"/>
  <c r="E41" i="26"/>
  <c r="H41" i="26" s="1"/>
  <c r="F40" i="26"/>
  <c r="N39" i="26" l="1"/>
  <c r="L40" i="26"/>
  <c r="I40" i="26"/>
  <c r="M40" i="26" s="1"/>
  <c r="J40" i="26"/>
  <c r="G41" i="26"/>
  <c r="F42" i="26"/>
  <c r="G42" i="26"/>
  <c r="F41" i="26"/>
  <c r="I41" i="26" l="1"/>
  <c r="L41" i="26"/>
  <c r="J41" i="26"/>
  <c r="M41" i="26" s="1"/>
  <c r="N41" i="26" s="1"/>
  <c r="N40" i="26"/>
  <c r="J42" i="26"/>
  <c r="M42" i="26" s="1"/>
  <c r="L42" i="26"/>
  <c r="I42" i="26"/>
  <c r="G43" i="26"/>
  <c r="K42" i="26"/>
  <c r="K41" i="26"/>
  <c r="F43" i="26"/>
  <c r="N42" i="2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<sst xmlns="http://schemas.openxmlformats.org/spreadsheetml/2006/main" count="5084" uniqueCount="1253">
  <si>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</si>
  <si>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</si>
  <si>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</si>
  <si>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</si>
  <si>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</si>
  <si>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</si>
  <si>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</si>
  <si>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</si>
  <si>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</si>
  <si>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</si>
  <si>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</si>
  <si>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</si>
  <si>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</si>
  <si>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</si>
  <si>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</si>
  <si>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</si>
  <si>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</si>
  <si>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</si>
  <si>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</si>
  <si>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</si>
  <si>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</si>
  <si>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</si>
  <si>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</si>
  <si>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</si>
  <si>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</si>
  <si>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</si>
  <si>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</si>
  <si>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</si>
  <si>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</si>
  <si>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</si>
  <si>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</si>
  <si>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</si>
  <si>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</si>
  <si>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</si>
  <si>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</si>
  <si>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</si>
  <si>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</si>
  <si>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</si>
  <si>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</si>
  <si>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</si>
  <si>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</si>
  <si>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</si>
  <si>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</si>
  <si>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</si>
  <si>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</si>
  <si>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</si>
  <si>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</si>
  <si>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</si>
  <si>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</si>
  <si>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</si>
  <si>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</si>
  <si>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</si>
  <si>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</si>
  <si>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</si>
  <si>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</si>
  <si>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</si>
  <si>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</si>
  <si>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</si>
  <si>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</si>
  <si>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</si>
  <si>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</si>
  <si>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</si>
  <si>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</si>
  <si>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</si>
  <si>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</si>
  <si>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</si>
  <si>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</si>
  <si>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</si>
  <si>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</si>
  <si>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</si>
  <si>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</si>
  <si>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</si>
  <si>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</si>
  <si>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</si>
  <si>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</si>
  <si>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</si>
  <si>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</si>
  <si>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</si>
  <si>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</si>
  <si>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</si>
  <si>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</si>
  <si>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</si>
  <si>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</si>
  <si>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</si>
  <si>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</si>
  <si>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</si>
  <si>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</si>
  <si>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</si>
  <si>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</si>
  <si>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</si>
  <si>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</si>
  <si>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</si>
  <si>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</si>
  <si>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</si>
  <si>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</si>
  <si>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</si>
  <si>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</si>
  <si>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</si>
  <si>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</si>
  <si>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</si>
  <si>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</si>
  <si>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</si>
  <si>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</si>
  <si>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</si>
  <si>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</si>
  <si>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</si>
  <si>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</si>
  <si>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</si>
  <si>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</si>
  <si>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</si>
  <si>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</si>
  <si>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</si>
  <si>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</si>
  <si>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</si>
  <si>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</si>
  <si>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</si>
  <si>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</si>
  <si>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</si>
  <si>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</si>
  <si>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</si>
  <si>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</si>
  <si>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</si>
  <si>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</si>
  <si>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</si>
  <si>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</si>
  <si>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</si>
  <si>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</si>
  <si>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</si>
  <si>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</si>
  <si>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</si>
  <si>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</si>
  <si>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</si>
  <si>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</si>
  <si>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</si>
  <si>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</si>
  <si>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</si>
  <si>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</si>
  <si>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</si>
  <si>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</si>
  <si>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</si>
  <si>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</si>
  <si>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</si>
  <si>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</si>
  <si>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</si>
  <si>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</si>
  <si>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</si>
  <si>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</si>
  <si>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</si>
  <si>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</si>
  <si>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</si>
  <si>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</si>
  <si>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</si>
  <si>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</si>
  <si>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</si>
  <si>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</si>
  <si>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</si>
  <si>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</si>
  <si>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</si>
  <si>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</si>
  <si>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</si>
  <si>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</si>
  <si>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</si>
  <si>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</si>
  <si>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</si>
  <si>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</si>
  <si>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</si>
  <si>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</si>
  <si>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</si>
  <si>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</si>
  <si>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</si>
  <si>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</si>
  <si>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</si>
  <si>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</si>
  <si>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</si>
  <si>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</si>
  <si>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</si>
  <si>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</si>
  <si>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</si>
  <si>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</si>
  <si>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</si>
  <si>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</si>
  <si>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</si>
  <si>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</si>
  <si>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</si>
  <si>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</si>
  <si>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</si>
  <si>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</si>
  <si>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</si>
  <si>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</si>
  <si>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</si>
  <si>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</si>
  <si>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</si>
  <si>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</si>
  <si>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</si>
  <si>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</si>
  <si>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</si>
  <si>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</si>
  <si>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</si>
  <si>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</si>
  <si>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</si>
  <si>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</si>
  <si>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</si>
  <si>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</si>
  <si>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</si>
  <si>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</si>
  <si>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</si>
  <si>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</si>
  <si>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</si>
  <si>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</si>
  <si>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</si>
  <si>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</si>
  <si>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</si>
  <si>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</si>
  <si>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</si>
  <si>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</si>
  <si>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</si>
  <si>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</si>
  <si>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</si>
  <si>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</si>
  <si>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</si>
  <si>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</si>
  <si>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</si>
  <si>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</si>
  <si>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</si>
  <si>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</si>
  <si>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</si>
  <si>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</si>
  <si>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</si>
  <si>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</si>
  <si>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</si>
  <si>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</si>
  <si>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</si>
  <si>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</si>
  <si>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</si>
  <si>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</si>
  <si>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</si>
  <si>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</si>
  <si>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</si>
  <si>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</si>
  <si>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</si>
  <si>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</si>
  <si>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</si>
  <si>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</si>
  <si>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</si>
  <si>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</si>
  <si>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</si>
  <si>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</si>
  <si>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</si>
  <si>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</si>
  <si>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</si>
  <si>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</si>
  <si>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</si>
  <si>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</si>
  <si>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</si>
  <si>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</si>
  <si>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</si>
  <si>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</si>
  <si>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</si>
  <si>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</si>
  <si>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</si>
  <si>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</si>
  <si>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</si>
  <si>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</si>
  <si>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</si>
  <si>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</si>
  <si>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</si>
  <si>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</si>
  <si>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</si>
  <si>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</si>
  <si>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</si>
  <si>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</si>
  <si>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</si>
  <si>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</si>
  <si>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</si>
  <si>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</si>
  <si>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</si>
  <si>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</si>
  <si>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</si>
  <si>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</si>
  <si>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</si>
  <si>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</si>
  <si>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</si>
  <si>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</si>
  <si>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</si>
  <si>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</si>
  <si>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</si>
  <si>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</si>
  <si>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</si>
  <si>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</si>
  <si>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</si>
  <si>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</si>
  <si>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</si>
  <si>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</si>
  <si>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</si>
  <si>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</si>
  <si>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</si>
  <si>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</si>
  <si>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</si>
  <si>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</si>
  <si>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</si>
  <si>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</si>
  <si>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</si>
  <si>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</si>
  <si>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</si>
  <si>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</si>
  <si>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</si>
  <si>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</si>
  <si>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</si>
  <si>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</si>
  <si>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</si>
  <si>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</si>
  <si>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</si>
  <si>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</si>
  <si>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</si>
  <si>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</si>
  <si>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</si>
  <si>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</si>
  <si>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</si>
  <si>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</si>
  <si>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</si>
  <si>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</si>
  <si>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</si>
  <si>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</si>
  <si>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</si>
  <si>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</si>
  <si>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</si>
  <si>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</si>
  <si>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</si>
  <si>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</si>
  <si>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</si>
  <si>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</si>
  <si>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</si>
  <si>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</si>
  <si>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</si>
  <si>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</si>
  <si>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</si>
  <si>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</si>
  <si>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</si>
  <si>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</si>
  <si>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</si>
  <si>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</si>
  <si>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</si>
  <si>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</si>
  <si>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</si>
  <si>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</si>
  <si>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</si>
  <si>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</si>
  <si>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</si>
  <si>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</si>
  <si>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</si>
  <si>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</si>
  <si>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</si>
  <si>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</si>
  <si>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</si>
  <si>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</si>
  <si>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</si>
  <si>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</si>
  <si>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</si>
  <si>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</si>
  <si>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</si>
  <si>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</si>
  <si>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</si>
  <si>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</si>
  <si>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</si>
  <si>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</si>
  <si>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</si>
  <si>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</si>
  <si>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</si>
  <si>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</si>
  <si>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</si>
  <si>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</si>
  <si>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</si>
  <si>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</si>
  <si>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</si>
  <si>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</si>
  <si>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</si>
  <si>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</si>
  <si>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</si>
  <si>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</si>
  <si>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</si>
  <si>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</si>
  <si>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</si>
  <si>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</si>
  <si>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</si>
  <si>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</si>
  <si>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</si>
  <si>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</si>
  <si>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</si>
  <si>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</si>
  <si>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</si>
  <si>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</si>
  <si>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</si>
  <si>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</si>
  <si>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</si>
  <si>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</si>
  <si>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</si>
  <si>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</si>
  <si>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</si>
  <si>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</si>
  <si>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</si>
  <si>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</si>
  <si>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</si>
  <si>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</si>
  <si>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</si>
  <si>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</si>
  <si>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</si>
  <si>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</si>
  <si>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</si>
  <si>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</si>
  <si>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</si>
  <si>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</si>
  <si>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</si>
  <si>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</si>
  <si>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</si>
  <si>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</si>
  <si>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</si>
  <si>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</si>
  <si>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</si>
  <si>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</si>
  <si>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</si>
  <si>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</si>
  <si>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</si>
  <si>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</si>
  <si>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</si>
  <si>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</si>
  <si>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</si>
  <si>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</si>
  <si>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</si>
  <si>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</si>
  <si>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</si>
  <si>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</si>
  <si>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</si>
  <si>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</si>
  <si>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</si>
  <si>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</si>
  <si>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</si>
  <si>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</si>
  <si>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</si>
  <si>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</si>
  <si>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</si>
  <si>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</si>
  <si>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</si>
  <si>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</si>
  <si>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</si>
  <si>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</si>
  <si>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</si>
  <si>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</si>
  <si>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</si>
  <si>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</si>
  <si>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</si>
  <si>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</si>
  <si>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</si>
  <si>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</si>
  <si>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</si>
  <si>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</si>
  <si>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</si>
  <si>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</si>
  <si>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</si>
  <si>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</si>
  <si>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</si>
  <si>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</si>
  <si>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</si>
  <si>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</si>
  <si>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</si>
  <si>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</si>
  <si>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</si>
  <si>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</si>
  <si>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</si>
  <si>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</si>
  <si>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</si>
  <si>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</si>
  <si>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</si>
  <si>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</si>
  <si>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</si>
  <si>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</si>
  <si>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</si>
  <si>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</si>
  <si>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</si>
  <si>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</si>
  <si>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</si>
  <si>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</si>
  <si>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</si>
  <si>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</si>
  <si>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</si>
  <si>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</si>
  <si>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</si>
  <si>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</si>
  <si>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</si>
  <si>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</si>
  <si>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</si>
  <si>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</si>
  <si>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</si>
  <si>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</si>
  <si>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</si>
  <si>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</si>
  <si>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</si>
  <si>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</si>
  <si>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</si>
  <si>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</si>
  <si>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</si>
  <si>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</si>
  <si>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</si>
  <si>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</si>
  <si>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</si>
  <si>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</si>
  <si>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</si>
  <si>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</si>
  <si>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</si>
  <si>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</si>
  <si>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</si>
  <si>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</si>
  <si>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</si>
  <si>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</si>
  <si>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</si>
  <si>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</si>
  <si>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</si>
  <si>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</si>
  <si>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</si>
  <si>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</si>
  <si>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</si>
  <si>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</si>
  <si>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</si>
  <si>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</si>
  <si>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</si>
  <si>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</si>
  <si>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</si>
  <si>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</si>
  <si>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</si>
  <si>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</si>
  <si>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</si>
  <si>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</si>
  <si>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</si>
  <si>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</si>
  <si>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</si>
  <si>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</si>
  <si>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</si>
  <si>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</si>
  <si>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</si>
  <si>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</si>
  <si>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</si>
  <si>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</si>
  <si>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</si>
  <si>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</si>
  <si>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</si>
  <si>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</si>
  <si>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</si>
  <si>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</si>
  <si>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</si>
  <si>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</si>
  <si>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</si>
  <si>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</si>
  <si>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</si>
  <si>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</si>
  <si>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</si>
  <si>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</si>
  <si>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</si>
  <si>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</si>
  <si>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</si>
  <si>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</si>
  <si>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</si>
  <si>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</si>
  <si>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</si>
  <si>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</si>
  <si>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</si>
  <si>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</si>
  <si>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</si>
  <si>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</si>
  <si>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</si>
  <si>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</si>
  <si>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</si>
  <si>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</si>
  <si>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</si>
  <si>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</si>
  <si>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</si>
  <si>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</si>
  <si>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</si>
  <si>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</si>
  <si>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</si>
  <si>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</si>
  <si>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</si>
  <si>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</si>
  <si>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</si>
  <si>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</si>
  <si>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</si>
  <si>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</si>
  <si>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</si>
  <si>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</si>
  <si>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</si>
  <si>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</si>
  <si>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</si>
  <si>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</si>
  <si>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</si>
  <si>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</si>
  <si>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</si>
  <si>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</si>
  <si>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</si>
  <si>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</si>
  <si>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</si>
  <si>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</si>
  <si>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</si>
  <si>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</si>
  <si>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</si>
  <si>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</si>
  <si>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</si>
  <si>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</si>
  <si>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</si>
  <si>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</si>
  <si>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</si>
  <si>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</si>
  <si>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</si>
  <si>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</si>
  <si>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</si>
  <si>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</si>
  <si>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</si>
  <si>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</si>
  <si>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</si>
  <si>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</si>
  <si>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</si>
  <si>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</si>
  <si>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</si>
  <si>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</si>
  <si>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</si>
  <si>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</si>
  <si>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</si>
  <si>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</si>
  <si>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</si>
  <si>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</si>
  <si>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</si>
  <si>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</si>
  <si>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</si>
  <si>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</si>
  <si>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</si>
  <si>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</si>
  <si>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</si>
  <si>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</si>
  <si>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</si>
  <si>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</si>
  <si>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</si>
  <si>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</si>
  <si>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</si>
  <si>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</si>
  <si>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</si>
  <si>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</si>
  <si>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</si>
  <si>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</si>
  <si>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</si>
  <si>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</si>
  <si>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</si>
  <si>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</si>
  <si>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</si>
  <si>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</si>
  <si>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</si>
  <si>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</si>
  <si>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</si>
  <si>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</si>
  <si>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</si>
  <si>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</si>
  <si>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</si>
  <si>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</si>
  <si>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</si>
  <si>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</si>
  <si>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</si>
  <si>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</si>
  <si>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</si>
  <si>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</si>
  <si>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</si>
  <si>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</si>
  <si>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</si>
  <si>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</si>
  <si>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</si>
  <si>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</si>
  <si>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</si>
  <si>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</si>
  <si>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</si>
  <si>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</si>
  <si>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</si>
  <si>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</si>
  <si>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</si>
  <si>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</si>
  <si>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</si>
  <si>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</si>
  <si>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</si>
  <si>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</si>
  <si>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</si>
  <si>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</si>
  <si>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</si>
  <si>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</si>
  <si>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</si>
  <si>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</si>
  <si>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</si>
  <si>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</si>
  <si>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</si>
  <si>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</si>
  <si>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</si>
  <si>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</si>
  <si>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</si>
  <si>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</si>
  <si>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</si>
  <si>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</si>
  <si>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</si>
  <si>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</si>
  <si>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</si>
  <si>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</si>
  <si>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</si>
  <si>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</si>
  <si>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</si>
  <si>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</si>
  <si>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</si>
  <si>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</si>
  <si>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</si>
  <si>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</si>
  <si>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</si>
  <si>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</si>
  <si>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</si>
  <si>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</si>
  <si>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</si>
  <si>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</si>
  <si>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</si>
  <si>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</si>
  <si>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</si>
  <si>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</si>
  <si>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</si>
  <si>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</si>
  <si>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</si>
  <si>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</si>
  <si>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</si>
  <si>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</si>
  <si>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</si>
  <si>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</si>
  <si>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</si>
  <si>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</si>
  <si>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</si>
  <si>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</si>
  <si>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</si>
  <si>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</si>
  <si>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</si>
  <si>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</si>
  <si>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</si>
  <si>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</si>
  <si>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</si>
  <si>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</si>
  <si>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</si>
  <si>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</si>
  <si>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</si>
  <si>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</si>
  <si>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</si>
  <si>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</si>
  <si>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</si>
  <si>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</si>
  <si>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</si>
  <si>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</si>
  <si>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</si>
  <si>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</si>
  <si>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</si>
  <si>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</si>
  <si>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</si>
  <si>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</si>
  <si>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</si>
  <si>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</si>
  <si>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</si>
  <si>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</si>
  <si>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</si>
  <si>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</si>
  <si>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</si>
  <si>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</si>
  <si>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</si>
  <si>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</si>
  <si>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</si>
  <si>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</si>
  <si>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</si>
  <si>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</si>
  <si>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</si>
  <si>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</si>
  <si>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</si>
  <si>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</si>
  <si>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</si>
  <si>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</si>
  <si>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</si>
  <si>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</si>
  <si>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</si>
  <si>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</si>
  <si>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</si>
  <si>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</si>
  <si>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</si>
  <si>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</si>
  <si>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</si>
  <si>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</si>
  <si>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</si>
  <si>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</si>
  <si>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</si>
  <si>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</si>
  <si>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</si>
  <si>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</si>
  <si>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</si>
  <si>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</si>
  <si>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</si>
  <si>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</si>
  <si>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</si>
  <si>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</si>
  <si>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</si>
  <si>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</si>
  <si>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</si>
  <si>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</si>
  <si>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</si>
  <si>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</si>
  <si>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</si>
  <si>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</si>
  <si>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</si>
  <si>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</si>
  <si>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</si>
  <si>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</si>
  <si>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</si>
  <si>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</si>
  <si>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</si>
  <si>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</si>
  <si>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</si>
  <si>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</si>
  <si>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</si>
  <si>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</si>
  <si>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</si>
  <si>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</si>
  <si>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</si>
  <si>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</si>
  <si>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</si>
  <si>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</si>
  <si>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</si>
  <si>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</si>
  <si>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</si>
  <si>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</si>
  <si>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</si>
  <si>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</si>
  <si>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</si>
  <si>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</si>
  <si>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</si>
  <si>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</si>
  <si>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</si>
  <si>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</si>
  <si>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</si>
  <si>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</si>
  <si>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</si>
  <si>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</si>
  <si>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</si>
  <si>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</si>
  <si>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</si>
  <si>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</si>
  <si>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</si>
  <si>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</si>
  <si>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</si>
  <si>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</si>
  <si>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</si>
  <si>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</si>
  <si>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</si>
  <si>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</si>
  <si>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</si>
  <si>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</si>
  <si>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</si>
  <si>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</si>
  <si>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</si>
  <si>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</si>
  <si>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</si>
  <si>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</si>
  <si>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</si>
  <si>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</si>
  <si>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</si>
  <si>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</si>
  <si>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</si>
  <si>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</si>
  <si>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</si>
  <si>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</si>
  <si>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</si>
  <si>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</si>
  <si>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</si>
  <si>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</si>
  <si>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</si>
  <si>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</si>
  <si>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</si>
  <si>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</si>
  <si>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</si>
  <si>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</si>
  <si>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</si>
  <si>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</si>
  <si>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</si>
  <si>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</si>
  <si>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</si>
  <si>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</si>
  <si>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</si>
  <si>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</si>
  <si>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</si>
  <si>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</si>
  <si>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</si>
  <si>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</si>
  <si>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</si>
  <si>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</si>
  <si>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</si>
  <si>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</si>
  <si>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</si>
  <si>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</si>
  <si>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</si>
  <si>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</si>
  <si>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</si>
  <si>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</si>
  <si>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</si>
  <si>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</si>
  <si>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</si>
  <si>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</si>
  <si>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</si>
  <si>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</si>
  <si>
    <t>CEILING</t>
  </si>
  <si>
    <t>CEILING(number, significance)</t>
  </si>
  <si>
    <t>Number ko next specified multiple tak round up karta hai</t>
  </si>
  <si>
    <t>Price/quantity rounding</t>
  </si>
  <si>
    <t xml:space="preserve"> =CEILING(12.3,1) → 13</t>
  </si>
  <si>
    <t>FLOOR,CEILING,MROUND</t>
  </si>
  <si>
    <t>ABS, MOD, POWER, SQRT</t>
  </si>
  <si>
    <t>-ABS</t>
  </si>
  <si>
    <t>TODAY</t>
  </si>
  <si>
    <t>TODAY()</t>
  </si>
  <si>
    <t>Aaj ki date deta hai</t>
  </si>
  <si>
    <t>Current date</t>
  </si>
  <si>
    <t>NOW</t>
  </si>
  <si>
    <t>NOW()</t>
  </si>
  <si>
    <t>Current date + time</t>
  </si>
  <si>
    <t>Live timestamp</t>
  </si>
  <si>
    <t>DATE</t>
  </si>
  <si>
    <t>DATE(year,month,day)</t>
  </si>
  <si>
    <t>Custom date banata hai</t>
  </si>
  <si>
    <t>Date creation</t>
  </si>
  <si>
    <t>DATE(2026,4,9)</t>
  </si>
  <si>
    <t>TIME</t>
  </si>
  <si>
    <t>TIME(hour,minute,second)</t>
  </si>
  <si>
    <t>Time create karta hai</t>
  </si>
  <si>
    <t>Custom time</t>
  </si>
  <si>
    <t>TIME(10,30,0)</t>
  </si>
  <si>
    <t>DAY</t>
  </si>
  <si>
    <t>DAY(date)</t>
  </si>
  <si>
    <t>Day nikaalta hai</t>
  </si>
  <si>
    <t>Extract day</t>
  </si>
  <si>
    <t>DAY(A1)</t>
  </si>
  <si>
    <t>MONTH</t>
  </si>
  <si>
    <t>MONTH(date)</t>
  </si>
  <si>
    <t>Month nikaalta hai</t>
  </si>
  <si>
    <t>Extract month</t>
  </si>
  <si>
    <t>MONTH(A1)</t>
  </si>
  <si>
    <t>YEAR</t>
  </si>
  <si>
    <t>YEAR(date)</t>
  </si>
  <si>
    <t>Year nikaalta hai</t>
  </si>
  <si>
    <t>Extract year</t>
  </si>
  <si>
    <t>YEAR(A1)</t>
  </si>
  <si>
    <t>HOUR</t>
  </si>
  <si>
    <t>HOUR(time)</t>
  </si>
  <si>
    <t>Hour nikaalta hai</t>
  </si>
  <si>
    <t>Time breakdown</t>
  </si>
  <si>
    <t>HOUR(A1)</t>
  </si>
  <si>
    <t>MINUTE</t>
  </si>
  <si>
    <t>MINUTE(time)</t>
  </si>
  <si>
    <t>Minute nikaalta hai</t>
  </si>
  <si>
    <t>MINUTE(A1)</t>
  </si>
  <si>
    <t>SECOND</t>
  </si>
  <si>
    <t>SECOND(time)</t>
  </si>
  <si>
    <t>Seconds nikaalta hai</t>
  </si>
  <si>
    <t>SECOND(A1)</t>
  </si>
  <si>
    <t>WEEKDAY</t>
  </si>
  <si>
    <t>WEEKDAY(date,[type])</t>
  </si>
  <si>
    <t>Week day number deta hai</t>
  </si>
  <si>
    <t>Day identify</t>
  </si>
  <si>
    <t>WEEKDAY(A1,2)</t>
  </si>
  <si>
    <t>WEEKNUM</t>
  </si>
  <si>
    <t>WEEKNUM(date,[type])</t>
  </si>
  <si>
    <t>Week number deta hai</t>
  </si>
  <si>
    <t>Weekly tracking</t>
  </si>
  <si>
    <t>WEEKNUM(A1)</t>
  </si>
  <si>
    <t>ISOWEEKNUM</t>
  </si>
  <si>
    <t>ISOWEEKNUM(date)</t>
  </si>
  <si>
    <t>ISO standard week number</t>
  </si>
  <si>
    <t>International reporting</t>
  </si>
  <si>
    <t>ISOWEEKNUM(A1)</t>
  </si>
  <si>
    <t>EDATE</t>
  </si>
  <si>
    <t>EDATE(start_date,months)</t>
  </si>
  <si>
    <t>Months add/subtract</t>
  </si>
  <si>
    <t>EMI planning</t>
  </si>
  <si>
    <t>EDATE(A1,1)</t>
  </si>
  <si>
    <t>EOMONTH</t>
  </si>
  <si>
    <t>EOMONTH(start_date,months)</t>
  </si>
  <si>
    <t>Month end date</t>
  </si>
  <si>
    <t>Month closing</t>
  </si>
  <si>
    <t>EOMONTH(A1,1)</t>
  </si>
  <si>
    <t>DATEDIF</t>
  </si>
  <si>
    <t>DATEDIF(start,end,unit)</t>
  </si>
  <si>
    <t>Date difference</t>
  </si>
  <si>
    <t>Age calc</t>
  </si>
  <si>
    <t>DATEDIF(A1,B1,"Y")</t>
  </si>
  <si>
    <t>DAYS</t>
  </si>
  <si>
    <t>DAYS(end,start)</t>
  </si>
  <si>
    <t>Total days difference</t>
  </si>
  <si>
    <t>Gap calc</t>
  </si>
  <si>
    <t>DAYS(B1,A1)</t>
  </si>
  <si>
    <t>DAYS360</t>
  </si>
  <si>
    <t>DAYS360(start,end)</t>
  </si>
  <si>
    <t>360-day basis calc</t>
  </si>
  <si>
    <t>DAYS360(A1,B1)</t>
  </si>
  <si>
    <t>NETWORKDAYS</t>
  </si>
  <si>
    <t>NETWORKDAYS(start,end,[holidays])</t>
  </si>
  <si>
    <t>Working days count</t>
  </si>
  <si>
    <t>Office days</t>
  </si>
  <si>
    <t>NETWORKDAYS(A1,B1)</t>
  </si>
  <si>
    <t>NETWORKDAYS.INTL</t>
  </si>
  <si>
    <t>NETWORKDAYS.INTL(start,end,[weekend],[holidays])</t>
  </si>
  <si>
    <t>Custom weekend ke saath working days</t>
  </si>
  <si>
    <t>Shift / custom week</t>
  </si>
  <si>
    <t>NETWORKDAYS.INTL(A1,B1,1)</t>
  </si>
  <si>
    <t>WORKDAY</t>
  </si>
  <si>
    <t>WORKDAY(start,days,[holidays])</t>
  </si>
  <si>
    <t>Future working date</t>
  </si>
  <si>
    <t>Deadline</t>
  </si>
  <si>
    <t>WORKDAY(A1,5)</t>
  </si>
  <si>
    <t>WORKDAY.INTL</t>
  </si>
  <si>
    <t>WORKDAY.INTL(start,days,[weekend],[holidays])</t>
  </si>
  <si>
    <t>Custom weekend ke saath working date</t>
  </si>
  <si>
    <t>Flexible planning</t>
  </si>
  <si>
    <t>WORKDAY.INTL(A1,5,1)</t>
  </si>
  <si>
    <t>YEARFRAC</t>
  </si>
  <si>
    <t>YEARFRAC(start,end,[basis])</t>
  </si>
  <si>
    <t>Years ka fraction</t>
  </si>
  <si>
    <t>Financial calc</t>
  </si>
  <si>
    <t>YEARFRAC(A1,B1)</t>
  </si>
  <si>
    <t>TEXT(value,format_text)</t>
  </si>
  <si>
    <t>Date format change karta hai</t>
  </si>
  <si>
    <t>Custom display</t>
  </si>
  <si>
    <t>TEXT(A1,"dd-mm-yyyy")</t>
  </si>
  <si>
    <t>TIMEVALUE</t>
  </si>
  <si>
    <t>TIMEVALUE(text)</t>
  </si>
  <si>
    <t>Text ko time me convert</t>
  </si>
  <si>
    <t>Time conversion</t>
  </si>
  <si>
    <t>TIMEVALUE("10:30 AM")</t>
  </si>
  <si>
    <t>DATEVALUE</t>
  </si>
  <si>
    <t>DATEVALUE(text)</t>
  </si>
  <si>
    <t>Text ko date me convert</t>
  </si>
  <si>
    <t>Date conversion</t>
  </si>
  <si>
    <t>DATEVALUE("09-Apr-2026")</t>
  </si>
  <si>
    <t>TODAY()+n</t>
  </si>
  <si>
    <t>Future/past date</t>
  </si>
  <si>
    <t>Planning</t>
  </si>
  <si>
    <t>TODAY()+728</t>
  </si>
  <si>
    <t>NOW()+n</t>
  </si>
  <si>
    <t>Future time/date</t>
  </si>
  <si>
    <t>Scheduling</t>
  </si>
  <si>
    <t>NOW()+1</t>
  </si>
  <si>
    <t>Text Split ,Ampersand ,Flashfill ,TextBeforeDelimiter, TextAfterDelimiter</t>
  </si>
  <si>
    <t>Day</t>
  </si>
  <si>
    <t>Year</t>
  </si>
  <si>
    <t>Hour</t>
  </si>
  <si>
    <t>Months</t>
  </si>
  <si>
    <t>Text</t>
  </si>
  <si>
    <t>Current Date</t>
  </si>
  <si>
    <t>Current Time</t>
  </si>
  <si>
    <t>DATE &amp; TIME</t>
  </si>
  <si>
    <t>Shortcut Key</t>
  </si>
  <si>
    <t>Formulae</t>
  </si>
  <si>
    <t>Miunte</t>
  </si>
  <si>
    <t>Second</t>
  </si>
  <si>
    <t>AM/PM</t>
  </si>
  <si>
    <t>Start Date</t>
  </si>
  <si>
    <t>End Date</t>
  </si>
  <si>
    <t>NETWORK DAYS</t>
  </si>
  <si>
    <t>NETWORKDAYS (HOLIDAYS)</t>
  </si>
  <si>
    <t>HOLIDAYS DATE</t>
  </si>
  <si>
    <t>NETWORK DAYS.INTL</t>
  </si>
  <si>
    <t>NETWORK DAYS.INTL (HOLIDAY)</t>
  </si>
  <si>
    <t>DAYS 360</t>
  </si>
  <si>
    <t>Workday</t>
  </si>
  <si>
    <t>Workday (holiday)</t>
  </si>
  <si>
    <t>Workday.intl</t>
  </si>
  <si>
    <t>WORK DAYS.INTL (HOLIDAY)</t>
  </si>
  <si>
    <t>DOB</t>
  </si>
  <si>
    <t>AGE (datedif)</t>
  </si>
  <si>
    <t>IF</t>
  </si>
  <si>
    <t>IF(condition,value_if_true,value_if_false)</t>
  </si>
  <si>
    <t>Condition check karta hai</t>
  </si>
  <si>
    <t>Decision making</t>
  </si>
  <si>
    <t>Pass</t>
  </si>
  <si>
    <t>IFS</t>
  </si>
  <si>
    <t>IFS(condition1,value1,condition2,value2,...)</t>
  </si>
  <si>
    <t>Multiple conditions check karta hai</t>
  </si>
  <si>
    <t>Multiple logic</t>
  </si>
  <si>
    <t>A</t>
  </si>
  <si>
    <t>AND</t>
  </si>
  <si>
    <t>AND(condition1,condition2,...)</t>
  </si>
  <si>
    <t>Sab conditions true honi chahiye</t>
  </si>
  <si>
    <t>Multi-condition check</t>
  </si>
  <si>
    <t>OR</t>
  </si>
  <si>
    <t>OR(condition1,condition2,...)</t>
  </si>
  <si>
    <t>Koi ek condition true ho</t>
  </si>
  <si>
    <t>Flexible check</t>
  </si>
  <si>
    <t>NOT</t>
  </si>
  <si>
    <t>NOT(condition)</t>
  </si>
  <si>
    <t>Result ko ulta kar deta hai</t>
  </si>
  <si>
    <t>Reverse logic</t>
  </si>
  <si>
    <t>IFERROR</t>
  </si>
  <si>
    <t>IFERROR(value,value_if_error)</t>
  </si>
  <si>
    <t>Error aaye toh alternate value deta hai</t>
  </si>
  <si>
    <t>Error handling</t>
  </si>
  <si>
    <t>Error</t>
  </si>
  <si>
    <t>IFNA</t>
  </si>
  <si>
    <t>IFNA(value,value_if_na)</t>
  </si>
  <si>
    <t>Sirf #N/A error handle karta hai</t>
  </si>
  <si>
    <t>Lookup errors</t>
  </si>
  <si>
    <t>=IFNA(VLOOKUP(...),"Not Found")</t>
  </si>
  <si>
    <t>SWITCH</t>
  </si>
  <si>
    <t>SWITCH(expression,value1,result1,...)</t>
  </si>
  <si>
    <t>Multiple matching conditions</t>
  </si>
  <si>
    <t>Cleaner IF alternative</t>
  </si>
  <si>
    <t>TRUE()</t>
  </si>
  <si>
    <t>TRUE return karta hai</t>
  </si>
  <si>
    <t>Logical testing</t>
  </si>
  <si>
    <t>FALSE()</t>
  </si>
  <si>
    <t>FALSE return karta hai</t>
  </si>
  <si>
    <t>ISBLANK</t>
  </si>
  <si>
    <t>ISBLANK(value)</t>
  </si>
  <si>
    <t>Blank check karta hai</t>
  </si>
  <si>
    <t>Missing data</t>
  </si>
  <si>
    <t>ISNUMBER</t>
  </si>
  <si>
    <t>ISNUMBER(value)</t>
  </si>
  <si>
    <t>Number check karta hai</t>
  </si>
  <si>
    <t>Data validation</t>
  </si>
  <si>
    <t>ISTEXT</t>
  </si>
  <si>
    <t>ISTEXT(value)</t>
  </si>
  <si>
    <t>Text check karta hai</t>
  </si>
  <si>
    <t>Data type check</t>
  </si>
  <si>
    <t>ISERROR</t>
  </si>
  <si>
    <t>ISERROR(value)</t>
  </si>
  <si>
    <t>Koi bhi error check karta hai</t>
  </si>
  <si>
    <t>Error detection</t>
  </si>
  <si>
    <t>ISNA</t>
  </si>
  <si>
    <t>ISNA(value)</t>
  </si>
  <si>
    <t>#N/A error check karta hai</t>
  </si>
  <si>
    <t>Lookup validation</t>
  </si>
  <si>
    <t>ISLOGICAL</t>
  </si>
  <si>
    <t>ISLOGICAL(value)</t>
  </si>
  <si>
    <t>TRUE/FALSE check karta hai</t>
  </si>
  <si>
    <t>Logical validation</t>
  </si>
  <si>
    <t>ISFORMULA</t>
  </si>
  <si>
    <t>ISFORMULA(reference)</t>
  </si>
  <si>
    <t>Cell me formula hai ya nahi</t>
  </si>
  <si>
    <t>Audit purpose</t>
  </si>
  <si>
    <t>EXACT</t>
  </si>
  <si>
    <t>EXACT(text1,text2)</t>
  </si>
  <si>
    <t>Case-sensitive match</t>
  </si>
  <si>
    <t>Exact comparison</t>
  </si>
  <si>
    <t>XOR</t>
  </si>
  <si>
    <t>XOR(condition1,condition2,...)</t>
  </si>
  <si>
    <t>Odd number of TRUE ho toh TRUE</t>
  </si>
  <si>
    <t>Advanced logic</t>
  </si>
  <si>
    <t>N</t>
  </si>
  <si>
    <t>N(value)</t>
  </si>
  <si>
    <t>TRUE=1, FALSE=0 convert karta hai</t>
  </si>
  <si>
    <t>Logical to number</t>
  </si>
  <si>
    <t>=N(TRUE) -&gt; 1</t>
  </si>
  <si>
    <t>Student Name</t>
  </si>
  <si>
    <t>RATING</t>
  </si>
  <si>
    <t>IF (AND)</t>
  </si>
  <si>
    <t>IF (OR)</t>
  </si>
  <si>
    <t>Grade</t>
  </si>
  <si>
    <t>C.P</t>
  </si>
  <si>
    <t>Marks Range</t>
  </si>
  <si>
    <t>Letter Grade</t>
  </si>
  <si>
    <t>Grade Point</t>
  </si>
  <si>
    <t>Remarks</t>
  </si>
  <si>
    <t>95 - 100</t>
  </si>
  <si>
    <t>A+</t>
  </si>
  <si>
    <t>Outstanding</t>
  </si>
  <si>
    <t>90 - 94</t>
  </si>
  <si>
    <t>Excellent</t>
  </si>
  <si>
    <t>85 - 89</t>
  </si>
  <si>
    <t>A-</t>
  </si>
  <si>
    <t>Very Good</t>
  </si>
  <si>
    <t>80 - 84</t>
  </si>
  <si>
    <t>B+</t>
  </si>
  <si>
    <t>Good</t>
  </si>
  <si>
    <t>75 - 79</t>
  </si>
  <si>
    <t>B</t>
  </si>
  <si>
    <t>Fair</t>
  </si>
  <si>
    <t>70 - 74</t>
  </si>
  <si>
    <t>B-</t>
  </si>
  <si>
    <t>Average</t>
  </si>
  <si>
    <t>65 - 69</t>
  </si>
  <si>
    <t>C+</t>
  </si>
  <si>
    <t>Below Average</t>
  </si>
  <si>
    <t>60 - 64</t>
  </si>
  <si>
    <t>C</t>
  </si>
  <si>
    <t>Satisfactory</t>
  </si>
  <si>
    <t>55 - 59</t>
  </si>
  <si>
    <t>C-</t>
  </si>
  <si>
    <t>&gt; 55 (50 - 54)</t>
  </si>
  <si>
    <t>PN</t>
  </si>
  <si>
    <t>-</t>
  </si>
  <si>
    <t>Passed Non-credit</t>
  </si>
  <si>
    <t>&lt; 50</t>
  </si>
  <si>
    <t>F</t>
  </si>
  <si>
    <t>Fail</t>
  </si>
  <si>
    <t>`</t>
  </si>
  <si>
    <t>GRADE POINT</t>
  </si>
  <si>
    <t>REMARKS</t>
  </si>
  <si>
    <t>GRADE POINT (SWITCH)</t>
  </si>
  <si>
    <t>GRADE SWITCH</t>
  </si>
  <si>
    <t>IF + TEXT</t>
  </si>
  <si>
    <t>IF(A1&gt;50,"High","Low")</t>
  </si>
  <si>
    <t>Text output decision</t>
  </si>
  <si>
    <t>Reporting</t>
  </si>
  <si>
    <t>Status generation</t>
  </si>
  <si>
    <t>IF + Multiple Conditions</t>
  </si>
  <si>
    <t>IF(A1&gt;90,"A",IF(A1&gt;75,"B",IF(A1&gt;50,"C","Fail")))</t>
  </si>
  <si>
    <t>Multi grading system</t>
  </si>
  <si>
    <t>Education / HR</t>
  </si>
  <si>
    <t>Grade system</t>
  </si>
  <si>
    <t>Party Names</t>
  </si>
  <si>
    <t>Total Sales</t>
  </si>
  <si>
    <t>Average Sale</t>
  </si>
  <si>
    <t>Count Of Sale</t>
  </si>
  <si>
    <t>SwiftNova Enterprises</t>
  </si>
  <si>
    <t>BluePeak Solutions</t>
  </si>
  <si>
    <t>EliteCrest Innovations</t>
  </si>
  <si>
    <t>QuantumByte Technologies</t>
  </si>
  <si>
    <t>GoldenLeaf Ventures</t>
  </si>
  <si>
    <t>UrbanNest Interiors</t>
  </si>
  <si>
    <t>Vertex Synergy</t>
  </si>
  <si>
    <t>EverGlow Essentials</t>
  </si>
  <si>
    <t>TruHarvest Organics</t>
  </si>
  <si>
    <t>StellarEdge Consulting</t>
  </si>
  <si>
    <t>Total Sale</t>
  </si>
  <si>
    <t>SUBTOTAL</t>
  </si>
  <si>
    <t>Attendance Tracker 365</t>
  </si>
  <si>
    <t>S no</t>
  </si>
  <si>
    <t>Students Name</t>
  </si>
  <si>
    <t>Mon</t>
  </si>
  <si>
    <t>Tue</t>
  </si>
  <si>
    <t>Wed</t>
  </si>
  <si>
    <t>Thu</t>
  </si>
  <si>
    <t>Fri</t>
  </si>
  <si>
    <t>Present</t>
  </si>
  <si>
    <t>Absent</t>
  </si>
  <si>
    <t>Muhammad Ahsan</t>
  </si>
  <si>
    <t>Ali Raza</t>
  </si>
  <si>
    <t>Fatima Noor</t>
  </si>
  <si>
    <t>Hassan Ahmed</t>
  </si>
  <si>
    <t>Sana Iqbal</t>
  </si>
  <si>
    <t>Maryam Shah</t>
  </si>
  <si>
    <t>Zainab Malik</t>
  </si>
  <si>
    <t>Legend: P = Present   |   A = Absent</t>
  </si>
  <si>
    <t>Attendance Tracker Normal</t>
  </si>
  <si>
    <t>☐</t>
  </si>
  <si>
    <t>P</t>
  </si>
  <si>
    <t xml:space="preserve">O </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</si>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</sst>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PKR]\ #,##0.00"/>
    <numFmt numFmtId="166" formatCode="dd/mm/yyyy"/>
    <numFmt numFmtId="167" formatCode="&quot;Rs. &quot;#,##0"/>
    <numFmt numFmtId="168" formatCode="&quot;Rs.&quot;\ #,##0"/>
    <numFmt numFmtId="169" formatCode="dd\-mm\-yyyy"/>
    <numFmt numFmtId="170" formatCode="dd"/>
    <numFmt numFmtId="171" formatCode="mm\-dd\-yyyy"/>
  </numFmts>
  <fonts count="32"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Arial"/>
      <family val="2"/>
    </font>
    <font>
      <i/>
      <sz val="11"/>
      <color rgb="FF666666"/>
      <name val="Calibri"/>
      <family val="2"/>
      <scheme val="minor"/>
    </font>
    <font>
      <b/>
      <sz val="11"/>
      <color rgb="FF000000"/>
      <name val="Calibri"/>
      <family val="2"/>
      <scheme val="minor"/>
    </font>
    <font>
      <b/>
      <sz val="11"/>
      <color rgb="FF1F4E78"/>
      <name val="Calibri"/>
      <family val="2"/>
      <scheme val="minor"/>
    </font>
    <font>
      <b/>
      <sz val="15"/>
      <color rgb="FFFFFFFF"/>
      <name val="Calibri"/>
      <family val="2"/>
      <scheme val="minor"/>
    </font>
    <font>
      <sz val="11"/>
      <color rgb="FF0070C0"/>
      <name val="Calibri"/>
      <family val="2"/>
      <scheme val="minor"/>
    </font>
    <font>
      <sz val="11"/>
      <color rgb="FF0070C0"/>
      <name val="Wingdings 2"/>
      <family val="1"/>
      <charset val="2"/>
    </font>
  </fonts>
  <fills count="49">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
      <patternFill patternType="solid">
        <fgColor rgb="FF8BC34A"/>
        <bgColor indexed="64"/>
      </patternFill>
    </fill>
    <fill>
      <patternFill patternType="solid">
        <fgColor rgb="FFD9D2E9"/>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0F5B6E"/>
        <bgColor indexed="64"/>
      </patternFill>
    </fill>
    <fill>
      <patternFill patternType="solid">
        <fgColor rgb="FFD9EAF0"/>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s>
  <borders count="86">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A6A6A6"/>
      </left>
      <right style="thin">
        <color rgb="FFA6A6A6"/>
      </right>
      <top style="medium">
        <color rgb="FFA6A6A6"/>
      </top>
      <bottom style="thin">
        <color rgb="FFA6A6A6"/>
      </bottom>
      <diagonal/>
    </border>
    <border>
      <left style="thin">
        <color rgb="FFA6A6A6"/>
      </left>
      <right style="thin">
        <color rgb="FFA6A6A6"/>
      </right>
      <top style="medium">
        <color rgb="FFA6A6A6"/>
      </top>
      <bottom style="thin">
        <color rgb="FFA6A6A6"/>
      </bottom>
      <diagonal/>
    </border>
    <border>
      <left style="thin">
        <color rgb="FFA6A6A6"/>
      </left>
      <right style="medium">
        <color rgb="FFA6A6A6"/>
      </right>
      <top style="medium">
        <color rgb="FFA6A6A6"/>
      </top>
      <bottom style="thin">
        <color rgb="FFA6A6A6"/>
      </bottom>
      <diagonal/>
    </border>
    <border>
      <left style="medium">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A6A6A6"/>
      </right>
      <top style="thin">
        <color rgb="FFA6A6A6"/>
      </top>
      <bottom style="thin">
        <color rgb="FFA6A6A6"/>
      </bottom>
      <diagonal/>
    </border>
    <border>
      <left style="medium">
        <color rgb="FFA6A6A6"/>
      </left>
      <right style="thin">
        <color rgb="FFA6A6A6"/>
      </right>
      <top style="thin">
        <color rgb="FFA6A6A6"/>
      </top>
      <bottom style="medium">
        <color rgb="FFA6A6A6"/>
      </bottom>
      <diagonal/>
    </border>
    <border>
      <left style="thin">
        <color rgb="FFA6A6A6"/>
      </left>
      <right style="thin">
        <color rgb="FFA6A6A6"/>
      </right>
      <top style="thin">
        <color rgb="FFA6A6A6"/>
      </top>
      <bottom style="medium">
        <color rgb="FFA6A6A6"/>
      </bottom>
      <diagonal/>
    </border>
    <border>
      <left style="thin">
        <color rgb="FFA6A6A6"/>
      </left>
      <right style="medium">
        <color rgb="FFA6A6A6"/>
      </right>
      <top style="thin">
        <color rgb="FFA6A6A6"/>
      </top>
      <bottom style="medium">
        <color rgb="FFA6A6A6"/>
      </bottom>
      <diagonal/>
    </border>
  </borders>
  <cellStyleXfs count="2">
    <xf numFmtId="0" fontId="0" fillId="0" borderId="0"/>
    <xf numFmtId="9" fontId="12" fillId="0" borderId="0" applyFont="0" applyFill="0" applyBorder="0" applyAlignment="0" applyProtection="0"/>
  </cellStyleXfs>
  <cellXfs count="366">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7" fillId="3" borderId="16"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0" fillId="0" borderId="14" xfId="0" applyBorder="1" applyAlignment="1">
      <alignment horizontal="center" vertical="center"/>
    </xf>
    <xf numFmtId="0" fontId="0" fillId="0" borderId="0" xfId="0" applyAlignment="1">
      <alignment horizontal="center" vertical="center"/>
    </xf>
    <xf numFmtId="0" fontId="7"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11" fillId="4" borderId="16" xfId="0" applyFont="1" applyFill="1" applyBorder="1" applyAlignment="1">
      <alignment horizontal="center"/>
    </xf>
    <xf numFmtId="166" fontId="10" fillId="0" borderId="25" xfId="0" applyNumberFormat="1" applyFont="1" applyBorder="1" applyAlignment="1">
      <alignment horizontal="center"/>
    </xf>
    <xf numFmtId="0" fontId="10" fillId="0" borderId="26" xfId="0" applyFont="1" applyBorder="1" applyAlignment="1">
      <alignment horizontal="center"/>
    </xf>
    <xf numFmtId="14" fontId="10" fillId="0" borderId="25" xfId="0" applyNumberFormat="1" applyFont="1" applyBorder="1" applyAlignment="1">
      <alignment horizontal="center"/>
    </xf>
    <xf numFmtId="0" fontId="10" fillId="5" borderId="26" xfId="0" applyFont="1" applyFill="1" applyBorder="1" applyAlignment="1">
      <alignment horizontal="center"/>
    </xf>
    <xf numFmtId="0" fontId="10" fillId="6" borderId="26" xfId="0" applyFont="1" applyFill="1" applyBorder="1" applyAlignment="1">
      <alignment horizontal="center"/>
    </xf>
    <xf numFmtId="1" fontId="10" fillId="0" borderId="26" xfId="0" applyNumberFormat="1" applyFont="1" applyBorder="1" applyAlignment="1">
      <alignment horizontal="center"/>
    </xf>
    <xf numFmtId="2" fontId="0" fillId="0" borderId="0" xfId="0" applyNumberFormat="1"/>
    <xf numFmtId="1" fontId="11" fillId="4" borderId="23" xfId="0" applyNumberFormat="1" applyFont="1" applyFill="1" applyBorder="1" applyAlignment="1">
      <alignment horizontal="center"/>
    </xf>
    <xf numFmtId="1" fontId="10" fillId="0" borderId="27" xfId="0" applyNumberFormat="1" applyFont="1" applyBorder="1" applyAlignment="1">
      <alignment horizontal="center"/>
    </xf>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8" fillId="2" borderId="32" xfId="0" applyFont="1" applyFill="1" applyBorder="1" applyAlignment="1">
      <alignment horizontal="center"/>
    </xf>
    <xf numFmtId="0" fontId="8" fillId="2" borderId="31" xfId="0" applyFont="1" applyFill="1" applyBorder="1" applyAlignment="1">
      <alignment horizontal="center"/>
    </xf>
    <xf numFmtId="14" fontId="0" fillId="0" borderId="0" xfId="0" applyNumberFormat="1"/>
    <xf numFmtId="0" fontId="0" fillId="0" borderId="14" xfId="0" applyBorder="1"/>
    <xf numFmtId="0" fontId="9"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3" fillId="8" borderId="14" xfId="0" applyFont="1" applyFill="1" applyBorder="1" applyAlignment="1">
      <alignment horizontal="center"/>
    </xf>
    <xf numFmtId="0" fontId="13" fillId="8" borderId="39" xfId="0" applyFont="1" applyFill="1" applyBorder="1" applyAlignment="1">
      <alignment horizontal="center"/>
    </xf>
    <xf numFmtId="0" fontId="0" fillId="9" borderId="14" xfId="0" applyFill="1" applyBorder="1" applyAlignment="1">
      <alignment horizontal="center"/>
    </xf>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9" fontId="13"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7" fillId="17" borderId="14" xfId="0" applyFont="1" applyFill="1" applyBorder="1" applyAlignment="1">
      <alignment horizontal="center"/>
    </xf>
    <xf numFmtId="0" fontId="17"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2" fontId="10" fillId="20" borderId="14" xfId="0" applyNumberFormat="1" applyFont="1" applyFill="1" applyBorder="1" applyAlignment="1">
      <alignment horizontal="left"/>
    </xf>
    <xf numFmtId="1" fontId="22" fillId="21" borderId="14" xfId="0" applyNumberFormat="1" applyFont="1" applyFill="1" applyBorder="1" applyAlignment="1">
      <alignment horizontal="left" vertical="center" wrapText="1"/>
    </xf>
    <xf numFmtId="1" fontId="22" fillId="9" borderId="14" xfId="0" applyNumberFormat="1" applyFont="1" applyFill="1" applyBorder="1" applyAlignment="1">
      <alignment horizontal="left" vertical="center" wrapText="1"/>
    </xf>
    <xf numFmtId="1" fontId="22" fillId="25" borderId="14" xfId="0" applyNumberFormat="1" applyFont="1" applyFill="1" applyBorder="1" applyAlignment="1">
      <alignment horizontal="left" vertical="center" wrapText="1"/>
    </xf>
    <xf numFmtId="1" fontId="22" fillId="26" borderId="14" xfId="0" applyNumberFormat="1" applyFont="1" applyFill="1" applyBorder="1" applyAlignment="1">
      <alignment horizontal="left" vertical="center" wrapText="1"/>
    </xf>
    <xf numFmtId="0" fontId="20" fillId="27" borderId="0" xfId="0" applyFont="1" applyFill="1" applyAlignment="1">
      <alignment horizontal="center" vertical="center"/>
    </xf>
    <xf numFmtId="0" fontId="10" fillId="0" borderId="14" xfId="0" applyFont="1" applyBorder="1" applyAlignment="1">
      <alignment horizontal="center" vertical="center"/>
    </xf>
    <xf numFmtId="0" fontId="10" fillId="28" borderId="14" xfId="0" applyFont="1" applyFill="1" applyBorder="1" applyAlignment="1">
      <alignment horizontal="center" vertical="center"/>
    </xf>
    <xf numFmtId="0" fontId="0" fillId="0" borderId="0" xfId="0" applyFont="1"/>
    <xf numFmtId="1" fontId="22" fillId="21" borderId="31" xfId="0" applyNumberFormat="1" applyFont="1" applyFill="1" applyBorder="1" applyAlignment="1">
      <alignment horizontal="left" vertical="center" wrapText="1"/>
    </xf>
    <xf numFmtId="1" fontId="22" fillId="30" borderId="14" xfId="0" applyNumberFormat="1" applyFont="1" applyFill="1" applyBorder="1" applyAlignment="1">
      <alignment horizontal="left" vertical="center" wrapText="1"/>
    </xf>
    <xf numFmtId="1" fontId="22" fillId="14" borderId="14" xfId="0" applyNumberFormat="1" applyFont="1" applyFill="1" applyBorder="1" applyAlignment="1">
      <alignment horizontal="left" vertical="center" wrapText="1"/>
    </xf>
    <xf numFmtId="14" fontId="10" fillId="20" borderId="14" xfId="0" applyNumberFormat="1" applyFont="1" applyFill="1" applyBorder="1" applyAlignment="1">
      <alignment horizontal="left"/>
    </xf>
    <xf numFmtId="49" fontId="10" fillId="20" borderId="14" xfId="0" applyNumberFormat="1" applyFont="1" applyFill="1" applyBorder="1" applyAlignment="1">
      <alignment horizontal="left"/>
    </xf>
    <xf numFmtId="49" fontId="10" fillId="20" borderId="14" xfId="0" applyNumberFormat="1" applyFont="1" applyFill="1" applyBorder="1" applyAlignment="1">
      <alignment horizontal="left" wrapText="1"/>
    </xf>
    <xf numFmtId="0" fontId="20" fillId="27" borderId="0" xfId="0" quotePrefix="1" applyFont="1" applyFill="1" applyAlignment="1">
      <alignment horizontal="center" vertical="center"/>
    </xf>
    <xf numFmtId="0" fontId="0" fillId="0" borderId="0" xfId="0" applyAlignment="1">
      <alignment wrapText="1"/>
    </xf>
    <xf numFmtId="0" fontId="13" fillId="7" borderId="14" xfId="0" applyFont="1" applyFill="1" applyBorder="1"/>
    <xf numFmtId="0" fontId="13" fillId="37" borderId="14" xfId="0" applyFont="1" applyFill="1" applyBorder="1"/>
    <xf numFmtId="14" fontId="0" fillId="7" borderId="19" xfId="0" applyNumberFormat="1" applyFill="1" applyBorder="1" applyAlignment="1">
      <alignment horizontal="center"/>
    </xf>
    <xf numFmtId="14" fontId="0" fillId="7" borderId="21" xfId="0" applyNumberFormat="1" applyFill="1" applyBorder="1" applyAlignment="1">
      <alignment horizontal="center"/>
    </xf>
    <xf numFmtId="18" fontId="0" fillId="7" borderId="19" xfId="0" applyNumberFormat="1" applyFill="1" applyBorder="1" applyAlignment="1">
      <alignment horizontal="center"/>
    </xf>
    <xf numFmtId="169" fontId="0" fillId="7" borderId="19" xfId="0" applyNumberFormat="1" applyFill="1" applyBorder="1" applyAlignment="1">
      <alignment horizontal="center"/>
    </xf>
    <xf numFmtId="169" fontId="0" fillId="7" borderId="21" xfId="0" applyNumberFormat="1" applyFill="1" applyBorder="1" applyAlignment="1">
      <alignment horizontal="center"/>
    </xf>
    <xf numFmtId="170" fontId="0" fillId="7" borderId="21" xfId="0" applyNumberFormat="1" applyFill="1" applyBorder="1" applyAlignment="1">
      <alignment horizontal="center"/>
    </xf>
    <xf numFmtId="170" fontId="0" fillId="37" borderId="21" xfId="0" applyNumberFormat="1" applyFill="1" applyBorder="1" applyAlignment="1">
      <alignment horizontal="center"/>
    </xf>
    <xf numFmtId="169" fontId="0" fillId="37" borderId="21" xfId="0" applyNumberFormat="1" applyFill="1" applyBorder="1" applyAlignment="1">
      <alignment horizontal="center"/>
    </xf>
    <xf numFmtId="14" fontId="0" fillId="12" borderId="14" xfId="0" applyNumberFormat="1" applyFill="1" applyBorder="1"/>
    <xf numFmtId="22" fontId="0" fillId="12" borderId="14" xfId="0" applyNumberFormat="1" applyFill="1" applyBorder="1"/>
    <xf numFmtId="18" fontId="0" fillId="12" borderId="14" xfId="0" applyNumberFormat="1" applyFill="1" applyBorder="1"/>
    <xf numFmtId="0" fontId="0" fillId="40" borderId="14" xfId="0" applyFill="1" applyBorder="1" applyAlignment="1">
      <alignment horizontal="center"/>
    </xf>
    <xf numFmtId="14" fontId="0" fillId="40" borderId="20" xfId="0" applyNumberFormat="1" applyFill="1" applyBorder="1" applyAlignment="1">
      <alignment horizontal="center"/>
    </xf>
    <xf numFmtId="18" fontId="0" fillId="40" borderId="14" xfId="0" applyNumberFormat="1" applyFill="1" applyBorder="1" applyAlignment="1">
      <alignment horizontal="center"/>
    </xf>
    <xf numFmtId="22" fontId="0" fillId="7" borderId="21" xfId="0" applyNumberFormat="1" applyFill="1" applyBorder="1" applyAlignment="1">
      <alignment horizontal="center"/>
    </xf>
    <xf numFmtId="171" fontId="0" fillId="7" borderId="21" xfId="0" applyNumberFormat="1" applyFill="1" applyBorder="1" applyAlignment="1">
      <alignment horizontal="center"/>
    </xf>
    <xf numFmtId="0" fontId="0" fillId="7" borderId="14" xfId="0" applyFill="1" applyBorder="1" applyAlignment="1">
      <alignment horizontal="center"/>
    </xf>
    <xf numFmtId="2" fontId="0" fillId="8" borderId="14" xfId="0" applyNumberFormat="1" applyFill="1" applyBorder="1" applyAlignment="1">
      <alignment horizontal="center"/>
    </xf>
    <xf numFmtId="0" fontId="9" fillId="2" borderId="16" xfId="0" applyFont="1" applyFill="1" applyBorder="1" applyAlignment="1">
      <alignment horizontal="center"/>
    </xf>
    <xf numFmtId="0" fontId="9" fillId="2" borderId="17" xfId="0" applyFont="1" applyFill="1" applyBorder="1" applyAlignment="1">
      <alignment horizontal="center"/>
    </xf>
    <xf numFmtId="0" fontId="14" fillId="8" borderId="33" xfId="0" applyFont="1" applyFill="1" applyBorder="1" applyAlignment="1">
      <alignment horizontal="center"/>
    </xf>
    <xf numFmtId="0" fontId="14" fillId="8" borderId="34" xfId="0" applyFont="1" applyFill="1" applyBorder="1" applyAlignment="1">
      <alignment horizontal="center"/>
    </xf>
    <xf numFmtId="0" fontId="14" fillId="8" borderId="35" xfId="0" applyFont="1" applyFill="1" applyBorder="1" applyAlignment="1">
      <alignment horizontal="center"/>
    </xf>
    <xf numFmtId="0" fontId="14" fillId="8" borderId="36" xfId="0" applyFont="1" applyFill="1" applyBorder="1" applyAlignment="1">
      <alignment horizontal="center"/>
    </xf>
    <xf numFmtId="0" fontId="14" fillId="8" borderId="37" xfId="0" applyFont="1" applyFill="1" applyBorder="1" applyAlignment="1">
      <alignment horizontal="center"/>
    </xf>
    <xf numFmtId="0" fontId="14" fillId="8" borderId="38" xfId="0" applyFont="1" applyFill="1" applyBorder="1" applyAlignment="1">
      <alignment horizontal="center"/>
    </xf>
    <xf numFmtId="0" fontId="13" fillId="7" borderId="14" xfId="0" applyFont="1" applyFill="1" applyBorder="1" applyAlignment="1">
      <alignment horizontal="center"/>
    </xf>
    <xf numFmtId="0" fontId="0" fillId="7" borderId="14" xfId="0" applyFill="1" applyBorder="1" applyAlignment="1">
      <alignment horizontal="center"/>
    </xf>
    <xf numFmtId="0" fontId="13" fillId="7" borderId="30" xfId="0" applyFont="1" applyFill="1" applyBorder="1" applyAlignment="1">
      <alignment horizontal="center"/>
    </xf>
    <xf numFmtId="0" fontId="13" fillId="7" borderId="42" xfId="0" applyFont="1" applyFill="1" applyBorder="1" applyAlignment="1">
      <alignment horizontal="center"/>
    </xf>
    <xf numFmtId="0" fontId="13" fillId="7" borderId="41" xfId="0" applyFont="1" applyFill="1" applyBorder="1" applyAlignment="1">
      <alignment horizontal="center"/>
    </xf>
    <xf numFmtId="0" fontId="16" fillId="17" borderId="0" xfId="0" applyFont="1" applyFill="1" applyAlignment="1">
      <alignment horizontal="center"/>
    </xf>
    <xf numFmtId="0" fontId="17" fillId="17" borderId="0" xfId="0" applyFont="1" applyFill="1" applyAlignment="1">
      <alignment horizontal="center"/>
    </xf>
    <xf numFmtId="0" fontId="15" fillId="2" borderId="14" xfId="0" applyFont="1" applyFill="1" applyBorder="1" applyAlignment="1">
      <alignment horizontal="center"/>
    </xf>
    <xf numFmtId="0" fontId="18" fillId="18" borderId="14" xfId="0" applyFont="1" applyFill="1" applyBorder="1" applyAlignment="1">
      <alignment horizontal="center"/>
    </xf>
    <xf numFmtId="0" fontId="18" fillId="18" borderId="43" xfId="0" applyFont="1" applyFill="1" applyBorder="1" applyAlignment="1">
      <alignment horizontal="center"/>
    </xf>
    <xf numFmtId="0" fontId="18" fillId="18" borderId="0" xfId="0" applyFont="1" applyFill="1" applyAlignment="1">
      <alignment horizontal="center"/>
    </xf>
    <xf numFmtId="0" fontId="13" fillId="29" borderId="51" xfId="0" applyFont="1" applyFill="1" applyBorder="1" applyAlignment="1">
      <alignment horizontal="center"/>
    </xf>
    <xf numFmtId="0" fontId="13" fillId="29" borderId="52" xfId="0" applyFont="1" applyFill="1" applyBorder="1" applyAlignment="1">
      <alignment horizontal="center"/>
    </xf>
    <xf numFmtId="0" fontId="13" fillId="29" borderId="53" xfId="0" applyFont="1" applyFill="1" applyBorder="1" applyAlignment="1">
      <alignment horizontal="center"/>
    </xf>
    <xf numFmtId="0" fontId="19" fillId="16" borderId="0" xfId="0" applyFont="1" applyFill="1" applyAlignment="1">
      <alignment horizontal="center" vertical="center"/>
    </xf>
    <xf numFmtId="0" fontId="20" fillId="27" borderId="28" xfId="0" applyFont="1" applyFill="1" applyBorder="1" applyAlignment="1">
      <alignment horizontal="center" vertical="center"/>
    </xf>
    <xf numFmtId="0" fontId="25" fillId="27" borderId="28" xfId="0" applyFont="1" applyFill="1" applyBorder="1" applyAlignment="1">
      <alignment horizontal="center" vertical="center"/>
    </xf>
    <xf numFmtId="0" fontId="15" fillId="2" borderId="30" xfId="0" applyFont="1" applyFill="1" applyBorder="1" applyAlignment="1">
      <alignment horizontal="center"/>
    </xf>
    <xf numFmtId="0" fontId="15" fillId="2" borderId="42" xfId="0" applyFont="1" applyFill="1" applyBorder="1" applyAlignment="1">
      <alignment horizontal="center"/>
    </xf>
    <xf numFmtId="0" fontId="15" fillId="2" borderId="41" xfId="0" applyFont="1" applyFill="1" applyBorder="1" applyAlignment="1">
      <alignment horizontal="center"/>
    </xf>
    <xf numFmtId="0" fontId="0" fillId="43" borderId="16" xfId="0" applyFill="1" applyBorder="1"/>
    <xf numFmtId="0" fontId="0" fillId="43" borderId="18" xfId="0" applyFill="1" applyBorder="1"/>
    <xf numFmtId="0" fontId="0" fillId="8" borderId="19" xfId="0" applyFill="1" applyBorder="1"/>
    <xf numFmtId="0" fontId="0" fillId="8" borderId="20" xfId="0" applyFill="1" applyBorder="1"/>
    <xf numFmtId="0" fontId="0" fillId="8" borderId="75" xfId="0" applyFill="1" applyBorder="1"/>
    <xf numFmtId="0" fontId="0" fillId="9" borderId="16" xfId="0" applyFill="1" applyBorder="1"/>
    <xf numFmtId="0" fontId="0" fillId="9" borderId="17" xfId="0" applyFill="1" applyBorder="1"/>
    <xf numFmtId="0" fontId="0" fillId="9" borderId="18" xfId="0" applyFill="1" applyBorder="1"/>
    <xf numFmtId="0" fontId="0" fillId="8" borderId="14" xfId="0" applyFill="1" applyBorder="1"/>
    <xf numFmtId="0" fontId="0" fillId="14" borderId="21" xfId="0" applyFill="1" applyBorder="1"/>
    <xf numFmtId="0" fontId="0" fillId="14" borderId="15" xfId="0" applyFill="1" applyBorder="1"/>
    <xf numFmtId="0" fontId="0" fillId="14" borderId="22" xfId="0" applyFill="1" applyBorder="1"/>
    <xf numFmtId="0" fontId="0" fillId="8" borderId="76" xfId="0" applyFill="1" applyBorder="1"/>
    <xf numFmtId="0" fontId="0" fillId="14" borderId="74" xfId="0" applyFill="1" applyBorder="1"/>
    <xf numFmtId="0" fontId="0" fillId="14" borderId="53" xfId="0" applyFill="1" applyBorder="1"/>
    <xf numFmtId="1" fontId="0" fillId="8" borderId="14" xfId="0" applyNumberFormat="1" applyFill="1" applyBorder="1"/>
    <xf numFmtId="1" fontId="0" fillId="8" borderId="20" xfId="0" applyNumberFormat="1" applyFill="1" applyBorder="1"/>
    <xf numFmtId="0" fontId="0" fillId="0" borderId="80" xfId="0" applyFont="1" applyBorder="1" applyAlignment="1">
      <alignment horizontal="center" vertical="center"/>
    </xf>
    <xf numFmtId="0" fontId="0" fillId="0" borderId="81" xfId="0" applyFont="1" applyBorder="1" applyAlignment="1">
      <alignment horizontal="left" vertical="center"/>
    </xf>
    <xf numFmtId="0" fontId="0" fillId="46" borderId="81" xfId="0" applyFont="1" applyFill="1" applyBorder="1" applyAlignment="1">
      <alignment horizontal="center" vertical="center"/>
    </xf>
    <xf numFmtId="0" fontId="0" fillId="47" borderId="82" xfId="0" applyFont="1" applyFill="1" applyBorder="1" applyAlignment="1">
      <alignment horizontal="center" vertical="center"/>
    </xf>
    <xf numFmtId="0" fontId="0" fillId="0" borderId="83" xfId="0" applyFont="1" applyBorder="1" applyAlignment="1">
      <alignment horizontal="center" vertical="center"/>
    </xf>
    <xf numFmtId="0" fontId="0" fillId="0" borderId="84" xfId="0" applyFont="1" applyBorder="1" applyAlignment="1">
      <alignment horizontal="left" vertical="center"/>
    </xf>
    <xf numFmtId="0" fontId="0" fillId="46" borderId="84" xfId="0" applyFont="1" applyFill="1" applyBorder="1" applyAlignment="1">
      <alignment horizontal="center" vertical="center"/>
    </xf>
    <xf numFmtId="0" fontId="0" fillId="47" borderId="85" xfId="0" applyFont="1" applyFill="1" applyBorder="1" applyAlignment="1">
      <alignment horizontal="center" vertical="center"/>
    </xf>
    <xf numFmtId="0" fontId="26" fillId="0" borderId="0" xfId="0" applyFont="1"/>
    <xf numFmtId="0" fontId="5" fillId="0" borderId="0" xfId="0" applyFont="1"/>
    <xf numFmtId="0" fontId="7" fillId="3" borderId="17" xfId="0" applyFont="1" applyFill="1" applyBorder="1" applyAlignment="1">
      <alignment horizontal="center" vertical="center"/>
    </xf>
    <xf numFmtId="167" fontId="0" fillId="0" borderId="22" xfId="0" applyNumberFormat="1" applyBorder="1"/>
    <xf numFmtId="168" fontId="0" fillId="0" borderId="15" xfId="0" applyNumberFormat="1" applyBorder="1"/>
    <xf numFmtId="14" fontId="0" fillId="0" borderId="21" xfId="0" applyNumberFormat="1" applyBorder="1"/>
    <xf numFmtId="167" fontId="0" fillId="0" borderId="20" xfId="0" applyNumberFormat="1" applyBorder="1"/>
    <xf numFmtId="168" fontId="0" fillId="0" borderId="14" xfId="0" applyNumberFormat="1" applyBorder="1"/>
    <xf numFmtId="14" fontId="0" fillId="0" borderId="19" xfId="0" applyNumberFormat="1" applyBorder="1"/>
    <xf numFmtId="166" fontId="0" fillId="0" borderId="19" xfId="0" applyNumberFormat="1" applyBorder="1"/>
    <xf numFmtId="0" fontId="7" fillId="3" borderId="18" xfId="0" applyFont="1" applyFill="1" applyBorder="1"/>
    <xf numFmtId="168" fontId="7" fillId="3" borderId="17" xfId="0" applyNumberFormat="1" applyFont="1" applyFill="1" applyBorder="1"/>
    <xf numFmtId="0" fontId="7" fillId="3" borderId="17" xfId="0" applyFont="1" applyFill="1" applyBorder="1"/>
    <xf numFmtId="0" fontId="7" fillId="3" borderId="16" xfId="0" applyFont="1" applyFill="1" applyBorder="1"/>
    <xf numFmtId="167" fontId="0" fillId="0" borderId="0" xfId="0" applyNumberFormat="1"/>
    <xf numFmtId="0" fontId="7" fillId="3" borderId="18" xfId="0" applyFont="1" applyFill="1" applyBorder="1" applyAlignment="1">
      <alignment horizontal="center"/>
    </xf>
    <xf numFmtId="168" fontId="7" fillId="3" borderId="17" xfId="0" applyNumberFormat="1" applyFont="1" applyFill="1" applyBorder="1" applyAlignment="1">
      <alignment horizontal="center"/>
    </xf>
    <xf numFmtId="0" fontId="7" fillId="3" borderId="17" xfId="0" applyFont="1" applyFill="1" applyBorder="1" applyAlignment="1">
      <alignment horizontal="center"/>
    </xf>
    <xf numFmtId="1" fontId="11" fillId="4" borderId="24" xfId="0" applyNumberFormat="1" applyFont="1" applyFill="1" applyBorder="1" applyAlignment="1">
      <alignment horizontal="center"/>
    </xf>
    <xf numFmtId="0" fontId="11" fillId="4" borderId="23" xfId="0" applyFont="1" applyFill="1" applyBorder="1" applyAlignment="1">
      <alignment horizontal="center"/>
    </xf>
    <xf numFmtId="2" fontId="10" fillId="0" borderId="0" xfId="0" applyNumberFormat="1" applyFont="1" applyAlignment="1">
      <alignment horizontal="center"/>
    </xf>
    <xf numFmtId="2" fontId="10" fillId="0" borderId="29" xfId="0" applyNumberFormat="1" applyFont="1" applyBorder="1" applyAlignment="1">
      <alignment horizontal="center"/>
    </xf>
    <xf numFmtId="2" fontId="10" fillId="0" borderId="28" xfId="0" applyNumberFormat="1" applyFont="1" applyBorder="1" applyAlignment="1">
      <alignment horizontal="center"/>
    </xf>
    <xf numFmtId="2" fontId="10" fillId="0" borderId="26" xfId="0" applyNumberFormat="1" applyFont="1" applyBorder="1" applyAlignment="1">
      <alignment horizontal="center"/>
    </xf>
    <xf numFmtId="2" fontId="11" fillId="0" borderId="28" xfId="0" applyNumberFormat="1" applyFont="1" applyBorder="1" applyAlignment="1">
      <alignment horizontal="center"/>
    </xf>
    <xf numFmtId="2" fontId="11" fillId="0" borderId="26" xfId="0" applyNumberFormat="1" applyFont="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7" borderId="32" xfId="0" applyFill="1" applyBorder="1" applyAlignment="1">
      <alignment horizontal="center"/>
    </xf>
    <xf numFmtId="0" fontId="0" fillId="0" borderId="29" xfId="0" applyBorder="1"/>
    <xf numFmtId="14" fontId="10" fillId="0" borderId="40" xfId="0" applyNumberFormat="1" applyFont="1" applyBorder="1"/>
    <xf numFmtId="14" fontId="10" fillId="0" borderId="14" xfId="0" applyNumberFormat="1" applyFont="1" applyBorder="1"/>
    <xf numFmtId="14" fontId="0" fillId="8" borderId="14" xfId="0" applyNumberFormat="1" applyFill="1" applyBorder="1"/>
    <xf numFmtId="0" fontId="0" fillId="0" borderId="0" xfId="0" applyAlignment="1">
      <alignment horizontal="center"/>
    </xf>
    <xf numFmtId="0" fontId="23" fillId="20" borderId="31" xfId="0" quotePrefix="1" applyFont="1" applyFill="1" applyBorder="1" applyAlignment="1">
      <alignment horizontal="left" vertical="center" wrapText="1"/>
    </xf>
    <xf numFmtId="0" fontId="21" fillId="20" borderId="31" xfId="0" applyFont="1" applyFill="1" applyBorder="1" applyAlignment="1">
      <alignment horizontal="left" vertical="center" wrapText="1"/>
    </xf>
    <xf numFmtId="0" fontId="24" fillId="22" borderId="31" xfId="0" applyFont="1" applyFill="1" applyBorder="1" applyAlignment="1">
      <alignment horizontal="left" vertical="center" wrapText="1"/>
    </xf>
    <xf numFmtId="0" fontId="23" fillId="20" borderId="14" xfId="0" quotePrefix="1" applyFont="1" applyFill="1" applyBorder="1" applyAlignment="1">
      <alignment horizontal="left" vertical="center" wrapText="1"/>
    </xf>
    <xf numFmtId="0" fontId="21" fillId="20" borderId="14" xfId="0" applyFont="1" applyFill="1" applyBorder="1" applyAlignment="1">
      <alignment horizontal="left" vertical="center" wrapText="1"/>
    </xf>
    <xf numFmtId="0" fontId="24" fillId="22" borderId="14" xfId="0" applyFont="1" applyFill="1" applyBorder="1" applyAlignment="1">
      <alignment horizontal="left" vertical="center" wrapText="1"/>
    </xf>
    <xf numFmtId="0" fontId="23" fillId="14" borderId="14" xfId="0" quotePrefix="1" applyFont="1" applyFill="1" applyBorder="1" applyAlignment="1">
      <alignment horizontal="left" vertical="center" wrapText="1"/>
    </xf>
    <xf numFmtId="0" fontId="21" fillId="14" borderId="14" xfId="0" applyFont="1" applyFill="1" applyBorder="1" applyAlignment="1">
      <alignment horizontal="left" vertical="center" wrapText="1"/>
    </xf>
    <xf numFmtId="0" fontId="24" fillId="14" borderId="14" xfId="0" applyFont="1" applyFill="1" applyBorder="1" applyAlignment="1">
      <alignment horizontal="left" vertical="center" wrapText="1"/>
    </xf>
    <xf numFmtId="0" fontId="23" fillId="30" borderId="14" xfId="0" quotePrefix="1" applyFont="1" applyFill="1" applyBorder="1" applyAlignment="1">
      <alignment horizontal="left" vertical="center" wrapText="1"/>
    </xf>
    <xf numFmtId="0" fontId="21" fillId="30" borderId="14" xfId="0" applyFont="1" applyFill="1" applyBorder="1" applyAlignment="1">
      <alignment horizontal="left" vertical="center" wrapText="1"/>
    </xf>
    <xf numFmtId="0" fontId="24" fillId="30" borderId="14" xfId="0" applyFont="1" applyFill="1" applyBorder="1" applyAlignment="1">
      <alignment horizontal="left" vertical="center" wrapText="1"/>
    </xf>
    <xf numFmtId="0" fontId="23" fillId="25" borderId="14" xfId="0" quotePrefix="1" applyFont="1" applyFill="1" applyBorder="1" applyAlignment="1">
      <alignment horizontal="left" vertical="center" wrapText="1"/>
    </xf>
    <xf numFmtId="0" fontId="21" fillId="25" borderId="14" xfId="0" applyFont="1" applyFill="1" applyBorder="1" applyAlignment="1">
      <alignment horizontal="left" vertical="center" wrapText="1"/>
    </xf>
    <xf numFmtId="0" fontId="24" fillId="25" borderId="14" xfId="0" applyFont="1" applyFill="1" applyBorder="1" applyAlignment="1">
      <alignment horizontal="left" vertical="center" wrapText="1"/>
    </xf>
    <xf numFmtId="0" fontId="23" fillId="9" borderId="14" xfId="0" quotePrefix="1" applyFont="1" applyFill="1" applyBorder="1" applyAlignment="1">
      <alignment horizontal="left" vertical="center" wrapText="1"/>
    </xf>
    <xf numFmtId="0" fontId="21" fillId="9" borderId="14" xfId="0" applyFont="1" applyFill="1" applyBorder="1" applyAlignment="1">
      <alignment horizontal="left" vertical="center" wrapText="1"/>
    </xf>
    <xf numFmtId="0" fontId="24" fillId="9" borderId="14" xfId="0" applyFont="1" applyFill="1" applyBorder="1" applyAlignment="1">
      <alignment horizontal="left" vertical="center" wrapText="1"/>
    </xf>
    <xf numFmtId="0" fontId="23" fillId="26" borderId="14" xfId="0" quotePrefix="1" applyFont="1" applyFill="1" applyBorder="1" applyAlignment="1">
      <alignment horizontal="left" vertical="center" wrapText="1"/>
    </xf>
    <xf numFmtId="0" fontId="21" fillId="26" borderId="14" xfId="0" applyFont="1" applyFill="1" applyBorder="1" applyAlignment="1">
      <alignment horizontal="left" vertical="center" wrapText="1"/>
    </xf>
    <xf numFmtId="0" fontId="24" fillId="26" borderId="14" xfId="0" applyFont="1" applyFill="1" applyBorder="1" applyAlignment="1">
      <alignment horizontal="left" vertical="center" wrapText="1"/>
    </xf>
    <xf numFmtId="0" fontId="20" fillId="19" borderId="46" xfId="0" applyFont="1" applyFill="1" applyBorder="1" applyAlignment="1">
      <alignment horizontal="center" vertical="center" wrapText="1"/>
    </xf>
    <xf numFmtId="0" fontId="20" fillId="19" borderId="44" xfId="0" applyFont="1" applyFill="1" applyBorder="1" applyAlignment="1">
      <alignment horizontal="center" vertical="center" wrapText="1"/>
    </xf>
    <xf numFmtId="0" fontId="20" fillId="19" borderId="45" xfId="0" applyFont="1" applyFill="1" applyBorder="1" applyAlignment="1">
      <alignment horizontal="center" vertical="center" wrapText="1"/>
    </xf>
    <xf numFmtId="0" fontId="10" fillId="20" borderId="14" xfId="0" applyFont="1" applyFill="1" applyBorder="1" applyAlignment="1">
      <alignment horizontal="left"/>
    </xf>
    <xf numFmtId="0" fontId="20" fillId="23" borderId="50" xfId="0" applyFont="1" applyFill="1" applyBorder="1" applyAlignment="1">
      <alignment horizontal="center"/>
    </xf>
    <xf numFmtId="0" fontId="20" fillId="23" borderId="49" xfId="0" applyFont="1" applyFill="1" applyBorder="1" applyAlignment="1">
      <alignment horizontal="center"/>
    </xf>
    <xf numFmtId="0" fontId="20" fillId="24" borderId="14" xfId="0" applyFont="1" applyFill="1" applyBorder="1" applyAlignment="1">
      <alignment horizontal="center"/>
    </xf>
    <xf numFmtId="0" fontId="10" fillId="20" borderId="48" xfId="0" applyFont="1" applyFill="1" applyBorder="1" applyAlignment="1">
      <alignment horizontal="left"/>
    </xf>
    <xf numFmtId="0" fontId="10" fillId="20" borderId="0" xfId="0" applyFont="1" applyFill="1" applyAlignment="1">
      <alignment horizontal="left"/>
    </xf>
    <xf numFmtId="0" fontId="10" fillId="20" borderId="47" xfId="0" applyFont="1" applyFill="1" applyBorder="1" applyAlignment="1">
      <alignment horizontal="left"/>
    </xf>
    <xf numFmtId="0" fontId="27" fillId="34" borderId="69" xfId="0" applyFont="1" applyFill="1" applyBorder="1" applyAlignment="1">
      <alignment horizontal="center"/>
    </xf>
    <xf numFmtId="0" fontId="27" fillId="34" borderId="68" xfId="0" applyFont="1" applyFill="1" applyBorder="1" applyAlignment="1">
      <alignment horizontal="center"/>
    </xf>
    <xf numFmtId="0" fontId="27" fillId="34" borderId="64" xfId="0" applyFont="1" applyFill="1" applyBorder="1" applyAlignment="1">
      <alignment horizontal="center"/>
    </xf>
    <xf numFmtId="0" fontId="10" fillId="0" borderId="61" xfId="0" quotePrefix="1" applyFont="1" applyBorder="1" applyAlignment="1">
      <alignment horizontal="left"/>
    </xf>
    <xf numFmtId="0" fontId="10" fillId="0" borderId="0" xfId="0" applyFont="1" applyAlignment="1">
      <alignment horizontal="left"/>
    </xf>
    <xf numFmtId="0" fontId="27" fillId="0" borderId="67" xfId="0" applyFont="1" applyBorder="1" applyAlignment="1">
      <alignment horizontal="left"/>
    </xf>
    <xf numFmtId="0" fontId="27" fillId="0" borderId="59" xfId="0" applyFont="1" applyBorder="1" applyAlignment="1">
      <alignment horizontal="left"/>
    </xf>
    <xf numFmtId="0" fontId="27" fillId="0" borderId="66" xfId="0" applyFont="1" applyBorder="1" applyAlignment="1">
      <alignment horizontal="left"/>
    </xf>
    <xf numFmtId="0" fontId="27" fillId="0" borderId="58" xfId="0" applyFont="1" applyBorder="1" applyAlignment="1">
      <alignment horizontal="left"/>
    </xf>
    <xf numFmtId="0" fontId="10" fillId="8" borderId="61" xfId="0" quotePrefix="1" applyFont="1" applyFill="1" applyBorder="1" applyAlignment="1">
      <alignment horizontal="left"/>
    </xf>
    <xf numFmtId="0" fontId="10" fillId="8" borderId="0" xfId="0" applyFont="1" applyFill="1" applyAlignment="1">
      <alignment horizontal="left"/>
    </xf>
    <xf numFmtId="0" fontId="27" fillId="8" borderId="66" xfId="0" applyFont="1" applyFill="1" applyBorder="1" applyAlignment="1">
      <alignment horizontal="left"/>
    </xf>
    <xf numFmtId="0" fontId="27" fillId="8" borderId="58" xfId="0" applyFont="1" applyFill="1" applyBorder="1" applyAlignment="1">
      <alignment horizontal="left"/>
    </xf>
    <xf numFmtId="0" fontId="10" fillId="8" borderId="63" xfId="0" quotePrefix="1" applyFont="1" applyFill="1" applyBorder="1" applyAlignment="1">
      <alignment horizontal="left"/>
    </xf>
    <xf numFmtId="0" fontId="10" fillId="8" borderId="55" xfId="0" applyFont="1" applyFill="1" applyBorder="1" applyAlignment="1">
      <alignment horizontal="left"/>
    </xf>
    <xf numFmtId="0" fontId="27" fillId="8" borderId="65" xfId="0" applyFont="1" applyFill="1" applyBorder="1" applyAlignment="1">
      <alignment horizontal="left"/>
    </xf>
    <xf numFmtId="0" fontId="27" fillId="8" borderId="62" xfId="0" applyFont="1" applyFill="1" applyBorder="1" applyAlignment="1">
      <alignment horizontal="left"/>
    </xf>
    <xf numFmtId="0" fontId="10" fillId="33" borderId="61" xfId="0" quotePrefix="1" applyFont="1" applyFill="1" applyBorder="1" applyAlignment="1">
      <alignment horizontal="left"/>
    </xf>
    <xf numFmtId="0" fontId="10" fillId="33" borderId="0" xfId="0" applyFont="1" applyFill="1" applyAlignment="1">
      <alignment horizontal="left"/>
    </xf>
    <xf numFmtId="0" fontId="27" fillId="33" borderId="66" xfId="0" applyFont="1" applyFill="1" applyBorder="1" applyAlignment="1">
      <alignment horizontal="left"/>
    </xf>
    <xf numFmtId="0" fontId="27" fillId="33" borderId="58" xfId="0" applyFont="1" applyFill="1" applyBorder="1" applyAlignment="1">
      <alignment horizontal="left"/>
    </xf>
    <xf numFmtId="0" fontId="10" fillId="5" borderId="61" xfId="0" quotePrefix="1" applyFont="1" applyFill="1" applyBorder="1" applyAlignment="1">
      <alignment horizontal="left"/>
    </xf>
    <xf numFmtId="0" fontId="10" fillId="5" borderId="0" xfId="0" applyFont="1" applyFill="1" applyAlignment="1">
      <alignment horizontal="left"/>
    </xf>
    <xf numFmtId="0" fontId="27" fillId="5" borderId="66" xfId="0" applyFont="1" applyFill="1" applyBorder="1" applyAlignment="1">
      <alignment horizontal="left"/>
    </xf>
    <xf numFmtId="0" fontId="27" fillId="5" borderId="58" xfId="0" applyFont="1" applyFill="1" applyBorder="1" applyAlignment="1">
      <alignment horizontal="left"/>
    </xf>
    <xf numFmtId="0" fontId="10" fillId="5" borderId="63" xfId="0" quotePrefix="1" applyFont="1" applyFill="1" applyBorder="1" applyAlignment="1">
      <alignment horizontal="left"/>
    </xf>
    <xf numFmtId="0" fontId="10" fillId="5" borderId="55" xfId="0" applyFont="1" applyFill="1" applyBorder="1" applyAlignment="1">
      <alignment horizontal="left"/>
    </xf>
    <xf numFmtId="0" fontId="27" fillId="5" borderId="65" xfId="0" applyFont="1" applyFill="1" applyBorder="1" applyAlignment="1">
      <alignment horizontal="left"/>
    </xf>
    <xf numFmtId="0" fontId="27" fillId="5" borderId="62" xfId="0" applyFont="1" applyFill="1" applyBorder="1" applyAlignment="1">
      <alignment horizontal="left"/>
    </xf>
    <xf numFmtId="0" fontId="10" fillId="32" borderId="61" xfId="0" quotePrefix="1" applyFont="1" applyFill="1" applyBorder="1" applyAlignment="1">
      <alignment horizontal="left"/>
    </xf>
    <xf numFmtId="0" fontId="10" fillId="32" borderId="0" xfId="0" applyFont="1" applyFill="1" applyAlignment="1">
      <alignment horizontal="left"/>
    </xf>
    <xf numFmtId="0" fontId="27" fillId="32" borderId="66" xfId="0" applyFont="1" applyFill="1" applyBorder="1" applyAlignment="1">
      <alignment horizontal="left"/>
    </xf>
    <xf numFmtId="0" fontId="27" fillId="32" borderId="58" xfId="0" applyFont="1" applyFill="1" applyBorder="1" applyAlignment="1">
      <alignment horizontal="left"/>
    </xf>
    <xf numFmtId="0" fontId="10" fillId="10" borderId="61" xfId="0" quotePrefix="1" applyFont="1" applyFill="1" applyBorder="1" applyAlignment="1">
      <alignment horizontal="left"/>
    </xf>
    <xf numFmtId="0" fontId="10" fillId="10" borderId="0" xfId="0" applyFont="1" applyFill="1" applyAlignment="1">
      <alignment horizontal="left"/>
    </xf>
    <xf numFmtId="0" fontId="27" fillId="10" borderId="66" xfId="0" applyFont="1" applyFill="1" applyBorder="1" applyAlignment="1">
      <alignment horizontal="left"/>
    </xf>
    <xf numFmtId="0" fontId="27" fillId="10" borderId="58" xfId="0" applyFont="1" applyFill="1" applyBorder="1" applyAlignment="1">
      <alignment horizontal="left"/>
    </xf>
    <xf numFmtId="0" fontId="10" fillId="39" borderId="61" xfId="0" quotePrefix="1" applyFont="1" applyFill="1" applyBorder="1" applyAlignment="1">
      <alignment horizontal="left"/>
    </xf>
    <xf numFmtId="0" fontId="10" fillId="39" borderId="0" xfId="0" applyFont="1" applyFill="1" applyAlignment="1">
      <alignment horizontal="left"/>
    </xf>
    <xf numFmtId="0" fontId="27" fillId="39" borderId="66" xfId="0" applyFont="1" applyFill="1" applyBorder="1" applyAlignment="1">
      <alignment horizontal="left"/>
    </xf>
    <xf numFmtId="0" fontId="27" fillId="39" borderId="58" xfId="0" applyFont="1" applyFill="1" applyBorder="1" applyAlignment="1">
      <alignment horizontal="left"/>
    </xf>
    <xf numFmtId="0" fontId="10" fillId="32" borderId="63" xfId="0" quotePrefix="1" applyFont="1" applyFill="1" applyBorder="1" applyAlignment="1">
      <alignment horizontal="left"/>
    </xf>
    <xf numFmtId="0" fontId="10" fillId="32" borderId="55" xfId="0" applyFont="1" applyFill="1" applyBorder="1" applyAlignment="1">
      <alignment horizontal="left"/>
    </xf>
    <xf numFmtId="0" fontId="27" fillId="32" borderId="65" xfId="0" applyFont="1" applyFill="1" applyBorder="1" applyAlignment="1">
      <alignment horizontal="left"/>
    </xf>
    <xf numFmtId="0" fontId="27" fillId="32" borderId="62" xfId="0" applyFont="1" applyFill="1" applyBorder="1" applyAlignment="1">
      <alignment horizontal="left"/>
    </xf>
    <xf numFmtId="0" fontId="10" fillId="31" borderId="61" xfId="0" quotePrefix="1" applyFont="1" applyFill="1" applyBorder="1" applyAlignment="1">
      <alignment horizontal="left"/>
    </xf>
    <xf numFmtId="0" fontId="10" fillId="31" borderId="0" xfId="0" applyFont="1" applyFill="1" applyAlignment="1">
      <alignment horizontal="left"/>
    </xf>
    <xf numFmtId="0" fontId="27" fillId="31" borderId="66" xfId="0" applyFont="1" applyFill="1" applyBorder="1" applyAlignment="1">
      <alignment horizontal="left"/>
    </xf>
    <xf numFmtId="0" fontId="27" fillId="31" borderId="58" xfId="0" applyFont="1" applyFill="1" applyBorder="1" applyAlignment="1">
      <alignment horizontal="left"/>
    </xf>
    <xf numFmtId="0" fontId="10" fillId="31" borderId="60" xfId="0" quotePrefix="1" applyFont="1" applyFill="1" applyBorder="1" applyAlignment="1">
      <alignment horizontal="left"/>
    </xf>
    <xf numFmtId="0" fontId="10" fillId="31" borderId="54" xfId="0" applyFont="1" applyFill="1" applyBorder="1" applyAlignment="1">
      <alignment horizontal="left"/>
    </xf>
    <xf numFmtId="0" fontId="27" fillId="31" borderId="65" xfId="0" applyFont="1" applyFill="1" applyBorder="1" applyAlignment="1">
      <alignment horizontal="left"/>
    </xf>
    <xf numFmtId="0" fontId="27" fillId="31" borderId="62" xfId="0" applyFont="1" applyFill="1" applyBorder="1" applyAlignment="1">
      <alignment horizontal="left"/>
    </xf>
    <xf numFmtId="0" fontId="20" fillId="19" borderId="57" xfId="0" applyFont="1" applyFill="1" applyBorder="1" applyAlignment="1">
      <alignment horizontal="center"/>
    </xf>
    <xf numFmtId="0" fontId="20" fillId="19" borderId="54" xfId="0" applyFont="1" applyFill="1" applyBorder="1" applyAlignment="1">
      <alignment horizontal="center"/>
    </xf>
    <xf numFmtId="0" fontId="20" fillId="19" borderId="56" xfId="0" applyFont="1" applyFill="1" applyBorder="1" applyAlignment="1">
      <alignment horizontal="center"/>
    </xf>
    <xf numFmtId="0" fontId="27" fillId="35" borderId="73" xfId="0" applyFont="1" applyFill="1" applyBorder="1" applyAlignment="1">
      <alignment horizontal="center" vertical="center"/>
    </xf>
    <xf numFmtId="0" fontId="27" fillId="35" borderId="70" xfId="0" applyFont="1" applyFill="1" applyBorder="1" applyAlignment="1">
      <alignment horizontal="center" vertical="center"/>
    </xf>
    <xf numFmtId="0" fontId="27" fillId="35" borderId="71" xfId="0" applyFont="1" applyFill="1" applyBorder="1" applyAlignment="1">
      <alignment horizontal="center" vertical="center"/>
    </xf>
    <xf numFmtId="0" fontId="10" fillId="10" borderId="72" xfId="0" applyFont="1" applyFill="1" applyBorder="1" applyAlignment="1">
      <alignment vertical="center"/>
    </xf>
    <xf numFmtId="0" fontId="28" fillId="10" borderId="72" xfId="0" applyFont="1" applyFill="1" applyBorder="1" applyAlignment="1">
      <alignment vertical="center"/>
    </xf>
    <xf numFmtId="0" fontId="10" fillId="10" borderId="72" xfId="0" applyFont="1" applyFill="1" applyBorder="1" applyAlignment="1">
      <alignment horizontal="center" vertical="center"/>
    </xf>
    <xf numFmtId="0" fontId="10" fillId="42" borderId="72" xfId="0" applyFont="1" applyFill="1" applyBorder="1" applyAlignment="1">
      <alignment vertical="center"/>
    </xf>
    <xf numFmtId="0" fontId="28" fillId="42" borderId="72" xfId="0" applyFont="1" applyFill="1" applyBorder="1" applyAlignment="1">
      <alignment vertical="center"/>
    </xf>
    <xf numFmtId="0" fontId="10" fillId="42" borderId="72" xfId="0" applyFont="1" applyFill="1" applyBorder="1" applyAlignment="1">
      <alignment horizontal="center" vertical="center"/>
    </xf>
    <xf numFmtId="0" fontId="10" fillId="41" borderId="72" xfId="0" applyFont="1" applyFill="1" applyBorder="1" applyAlignment="1">
      <alignment vertical="center"/>
    </xf>
    <xf numFmtId="0" fontId="28" fillId="41" borderId="72" xfId="0" applyFont="1" applyFill="1" applyBorder="1" applyAlignment="1">
      <alignment vertical="center"/>
    </xf>
    <xf numFmtId="0" fontId="10" fillId="41" borderId="72" xfId="0" applyFont="1" applyFill="1" applyBorder="1" applyAlignment="1">
      <alignment horizontal="center" vertical="center"/>
    </xf>
    <xf numFmtId="0" fontId="10" fillId="26" borderId="72" xfId="0" applyFont="1" applyFill="1" applyBorder="1" applyAlignment="1">
      <alignment vertical="center"/>
    </xf>
    <xf numFmtId="0" fontId="28" fillId="26" borderId="72" xfId="0" applyFont="1" applyFill="1" applyBorder="1" applyAlignment="1">
      <alignment vertical="center"/>
    </xf>
    <xf numFmtId="0" fontId="10" fillId="26" borderId="72" xfId="0" applyFont="1" applyFill="1" applyBorder="1" applyAlignment="1">
      <alignment horizontal="center" vertical="center"/>
    </xf>
    <xf numFmtId="0" fontId="10" fillId="5" borderId="72" xfId="0" applyFont="1" applyFill="1" applyBorder="1" applyAlignment="1">
      <alignment vertical="center"/>
    </xf>
    <xf numFmtId="0" fontId="28" fillId="5" borderId="72" xfId="0" applyFont="1" applyFill="1" applyBorder="1" applyAlignment="1">
      <alignment vertical="center"/>
    </xf>
    <xf numFmtId="0" fontId="10" fillId="5" borderId="72" xfId="0" applyFont="1" applyFill="1" applyBorder="1" applyAlignment="1">
      <alignment horizontal="center" vertical="center"/>
    </xf>
    <xf numFmtId="0" fontId="10" fillId="9" borderId="72" xfId="0" applyFont="1" applyFill="1" applyBorder="1" applyAlignment="1">
      <alignment vertical="center"/>
    </xf>
    <xf numFmtId="0" fontId="28" fillId="9" borderId="72" xfId="0" applyFont="1" applyFill="1" applyBorder="1" applyAlignment="1">
      <alignment vertical="center"/>
    </xf>
    <xf numFmtId="0" fontId="10" fillId="9" borderId="72" xfId="0" applyFont="1" applyFill="1" applyBorder="1" applyAlignment="1">
      <alignment horizontal="center" vertical="center"/>
    </xf>
    <xf numFmtId="0" fontId="10" fillId="33" borderId="72" xfId="0" applyFont="1" applyFill="1" applyBorder="1" applyAlignment="1">
      <alignment vertical="center"/>
    </xf>
    <xf numFmtId="0" fontId="28" fillId="33" borderId="72" xfId="0" applyFont="1" applyFill="1" applyBorder="1" applyAlignment="1">
      <alignment vertical="center"/>
    </xf>
    <xf numFmtId="0" fontId="10" fillId="33" borderId="72" xfId="0" applyFont="1" applyFill="1" applyBorder="1" applyAlignment="1">
      <alignment horizontal="center" vertical="center"/>
    </xf>
    <xf numFmtId="0" fontId="10" fillId="38" borderId="72" xfId="0" applyFont="1" applyFill="1" applyBorder="1" applyAlignment="1">
      <alignment vertical="center"/>
    </xf>
    <xf numFmtId="0" fontId="28" fillId="38" borderId="72" xfId="0" applyFont="1" applyFill="1" applyBorder="1" applyAlignment="1">
      <alignment vertical="center"/>
    </xf>
    <xf numFmtId="0" fontId="10" fillId="38" borderId="72" xfId="0" applyFont="1" applyFill="1" applyBorder="1" applyAlignment="1">
      <alignment horizontal="center" vertical="center"/>
    </xf>
    <xf numFmtId="0" fontId="10" fillId="39" borderId="72" xfId="0" applyFont="1" applyFill="1" applyBorder="1" applyAlignment="1">
      <alignment vertical="center"/>
    </xf>
    <xf numFmtId="0" fontId="28" fillId="39" borderId="72" xfId="0" applyFont="1" applyFill="1" applyBorder="1" applyAlignment="1">
      <alignment vertical="center"/>
    </xf>
    <xf numFmtId="0" fontId="10" fillId="39" borderId="72" xfId="0" applyFont="1" applyFill="1" applyBorder="1" applyAlignment="1">
      <alignment horizontal="center" vertical="center"/>
    </xf>
    <xf numFmtId="0" fontId="10" fillId="12" borderId="72" xfId="0" applyFont="1" applyFill="1" applyBorder="1" applyAlignment="1">
      <alignment vertical="center"/>
    </xf>
    <xf numFmtId="0" fontId="28" fillId="12" borderId="72" xfId="0" applyFont="1" applyFill="1" applyBorder="1" applyAlignment="1">
      <alignment vertical="center"/>
    </xf>
    <xf numFmtId="0" fontId="10" fillId="12" borderId="72" xfId="0" applyFont="1" applyFill="1" applyBorder="1" applyAlignment="1">
      <alignment horizontal="center" vertical="center"/>
    </xf>
    <xf numFmtId="0" fontId="10" fillId="36" borderId="72" xfId="0" applyFont="1" applyFill="1" applyBorder="1" applyAlignment="1">
      <alignment vertical="center"/>
    </xf>
    <xf numFmtId="0" fontId="28" fillId="36" borderId="72" xfId="0" applyFont="1" applyFill="1" applyBorder="1" applyAlignment="1">
      <alignment vertical="center"/>
    </xf>
    <xf numFmtId="0" fontId="10" fillId="36" borderId="72" xfId="0" applyFont="1" applyFill="1" applyBorder="1" applyAlignment="1">
      <alignment horizontal="center" vertical="center"/>
    </xf>
    <xf numFmtId="0" fontId="20" fillId="19" borderId="72" xfId="0" applyFont="1" applyFill="1" applyBorder="1" applyAlignment="1">
      <alignment horizontal="center" vertical="center"/>
    </xf>
    <xf numFmtId="0" fontId="0" fillId="37" borderId="21" xfId="0" applyFill="1" applyBorder="1" applyAlignment="1">
      <alignment horizontal="center"/>
    </xf>
    <xf numFmtId="0" fontId="28" fillId="12" borderId="72" xfId="0" applyFont="1" applyFill="1" applyBorder="1" applyAlignment="1">
      <alignment horizontal="center" vertical="center"/>
    </xf>
    <xf numFmtId="0" fontId="28" fillId="9" borderId="72" xfId="0" applyFont="1" applyFill="1" applyBorder="1" applyAlignment="1">
      <alignment horizontal="center" vertical="center"/>
    </xf>
    <xf numFmtId="0" fontId="28" fillId="33" borderId="72" xfId="0" applyFont="1" applyFill="1" applyBorder="1" applyAlignment="1">
      <alignment horizontal="center" vertical="center"/>
    </xf>
    <xf numFmtId="0" fontId="28" fillId="26" borderId="72" xfId="0" applyFont="1" applyFill="1" applyBorder="1" applyAlignment="1">
      <alignment horizontal="center" vertical="center"/>
    </xf>
    <xf numFmtId="0" fontId="28" fillId="38" borderId="72" xfId="0" applyFont="1" applyFill="1" applyBorder="1" applyAlignment="1">
      <alignment horizontal="center" vertical="center"/>
    </xf>
    <xf numFmtId="0" fontId="28" fillId="39" borderId="72" xfId="0" applyFont="1" applyFill="1" applyBorder="1" applyAlignment="1">
      <alignment horizontal="center" vertical="center"/>
    </xf>
    <xf numFmtId="0" fontId="28" fillId="36" borderId="72" xfId="0" applyFont="1" applyFill="1" applyBorder="1" applyAlignment="1">
      <alignment horizontal="center" vertical="center"/>
    </xf>
    <xf numFmtId="0" fontId="29" fillId="44" borderId="77" xfId="0" applyFont="1" applyFill="1" applyBorder="1" applyAlignment="1">
      <alignment horizontal="center" vertical="center"/>
    </xf>
    <xf numFmtId="0" fontId="29" fillId="44" borderId="78" xfId="0" applyFont="1" applyFill="1" applyBorder="1" applyAlignment="1">
      <alignment horizontal="center" vertical="center"/>
    </xf>
    <xf numFmtId="0" fontId="29" fillId="44" borderId="79" xfId="0" applyFont="1" applyFill="1" applyBorder="1" applyAlignment="1">
      <alignment horizontal="center" vertical="center"/>
    </xf>
    <xf numFmtId="0" fontId="13" fillId="45" borderId="80" xfId="0" applyFont="1" applyFill="1" applyBorder="1" applyAlignment="1">
      <alignment horizontal="center" vertical="center" wrapText="1"/>
    </xf>
    <xf numFmtId="0" fontId="13" fillId="45" borderId="81" xfId="0" applyFont="1" applyFill="1" applyBorder="1" applyAlignment="1">
      <alignment horizontal="center" vertical="center" wrapText="1"/>
    </xf>
    <xf numFmtId="0" fontId="13" fillId="46" borderId="81" xfId="0" applyFont="1" applyFill="1" applyBorder="1" applyAlignment="1">
      <alignment horizontal="center" vertical="center" wrapText="1"/>
    </xf>
    <xf numFmtId="0" fontId="13" fillId="47" borderId="82" xfId="0" applyFont="1" applyFill="1" applyBorder="1" applyAlignment="1">
      <alignment horizontal="center" vertical="center" wrapText="1"/>
    </xf>
    <xf numFmtId="0" fontId="30" fillId="48" borderId="81" xfId="0" applyFont="1" applyFill="1" applyBorder="1" applyAlignment="1">
      <alignment horizontal="center" vertical="center"/>
    </xf>
    <xf numFmtId="0" fontId="30" fillId="48" borderId="84" xfId="0" applyFont="1" applyFill="1" applyBorder="1" applyAlignment="1">
      <alignment horizontal="center" vertical="center"/>
    </xf>
    <xf numFmtId="0" fontId="31" fillId="48" borderId="81" xfId="0" applyFont="1" applyFill="1" applyBorder="1" applyAlignment="1">
      <alignment horizontal="center" vertical="center"/>
    </xf>
    <xf numFmtId="0" fontId="31" fillId="48" borderId="84" xfId="0" applyFont="1" applyFill="1" applyBorder="1" applyAlignment="1">
      <alignment horizontal="center" vertical="center"/>
    </xf>
  </cellXfs>
  <cellStyles count="2">
    <cellStyle name="Normal" xfId="0" builtinId="0"/>
    <cellStyle name="Percent" xfId="1"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border outline="0">
        <bottom style="thin">
          <color indexed="64"/>
        </bottom>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absoluteAnchor>
    <xdr:pos x="9545171" y="2182906"/>
    <xdr:ext cx="1815353" cy="2524125"/>
    <mc:AlternateContent xmlns:mc="http://schemas.openxmlformats.org/markup-compatibility/2006">
      <mc:Choice xmlns:sle15="http://schemas.microsoft.com/office/drawing/2012/slicer" Requires="sle15">
        <xdr:graphicFrame macro="">
          <xdr:nvGraphicFramePr>
            <xdr:cNvPr id="2" name="Department 1">
              <a:extLst>
                <a:ext uri="{FF2B5EF4-FFF2-40B4-BE49-F238E27FC236}">
                  <a16:creationId xmlns:a16="http://schemas.microsoft.com/office/drawing/2014/main" id="{C0064E48-FE69-4DB2-BA62-DAB50FD0CD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545171" y="2182906"/>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9573746" y="4868956"/>
    <xdr:ext cx="1815353" cy="2524125"/>
    <mc:AlternateContent xmlns:mc="http://schemas.openxmlformats.org/markup-compatibility/2006">
      <mc:Choice xmlns:sle15="http://schemas.microsoft.com/office/drawing/2012/slicer" Requires="sle15">
        <xdr:graphicFrame macro="">
          <xdr:nvGraphicFramePr>
            <xdr:cNvPr id="3" name="Region 1">
              <a:extLst>
                <a:ext uri="{FF2B5EF4-FFF2-40B4-BE49-F238E27FC236}">
                  <a16:creationId xmlns:a16="http://schemas.microsoft.com/office/drawing/2014/main" id="{88FDC002-31CD-42EA-82C6-D548A2768A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73746" y="4868956"/>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9ABFFE83-80E5-4E33-9346-515E2FC58E3B}"/>
            </a:ext>
          </a:extLst>
        </xdr:cNvPr>
        <xdr:cNvSpPr/>
      </xdr:nvSpPr>
      <xdr:spPr>
        <a:xfrm>
          <a:off x="6862482" y="963706"/>
          <a:ext cx="3500718"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365C7C85-8AD3-4CF9-A622-97C3DFC6C90F}"/>
            </a:ext>
          </a:extLst>
        </xdr:cNvPr>
        <xdr:cNvSpPr/>
      </xdr:nvSpPr>
      <xdr:spPr>
        <a:xfrm>
          <a:off x="7198659" y="1703294"/>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E20E909-765E-4AF6-A356-22661143A4B1}"/>
            </a:ext>
          </a:extLst>
        </xdr:cNvPr>
        <xdr:cNvSpPr/>
      </xdr:nvSpPr>
      <xdr:spPr>
        <a:xfrm>
          <a:off x="8960223" y="2734236"/>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F76A656-9265-4D51-AC80-D907A7F0BA90}"/>
            </a:ext>
          </a:extLst>
        </xdr:cNvPr>
        <xdr:cNvSpPr/>
      </xdr:nvSpPr>
      <xdr:spPr>
        <a:xfrm>
          <a:off x="7250205" y="2763370"/>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E9194BEA-A408-4B63-99DC-98225D2912F7}"/>
            </a:ext>
          </a:extLst>
        </xdr:cNvPr>
        <xdr:cNvSpPr/>
      </xdr:nvSpPr>
      <xdr:spPr>
        <a:xfrm>
          <a:off x="8940053" y="1716741"/>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oneCellAnchor>
    <xdr:from>
      <xdr:col>16</xdr:col>
      <xdr:colOff>299358</xdr:colOff>
      <xdr:row>167</xdr:row>
      <xdr:rowOff>190500</xdr:rowOff>
    </xdr:from>
    <xdr:ext cx="9119258" cy="2130136"/>
    <xdr:pic>
      <xdr:nvPicPr>
        <xdr:cNvPr id="7" name="Picture 6">
          <a:extLst>
            <a:ext uri="{FF2B5EF4-FFF2-40B4-BE49-F238E27FC236}">
              <a16:creationId xmlns:a16="http://schemas.microsoft.com/office/drawing/2014/main" id="{205EFD51-D136-41A1-B8AA-4C96DBD3559B}"/>
            </a:ext>
          </a:extLst>
        </xdr:cNvPr>
        <xdr:cNvPicPr>
          <a:picLocks noChangeAspect="1"/>
        </xdr:cNvPicPr>
      </xdr:nvPicPr>
      <xdr:blipFill rotWithShape="1">
        <a:blip xmlns:r="http://schemas.openxmlformats.org/officeDocument/2006/relationships" r:embed="rId1"/>
        <a:srcRect l="6497" r="5536" b="6587"/>
        <a:stretch/>
      </xdr:blipFill>
      <xdr:spPr>
        <a:xfrm>
          <a:off x="10052958" y="32004000"/>
          <a:ext cx="9119258" cy="213013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15</xdr:col>
      <xdr:colOff>95250</xdr:colOff>
      <xdr:row>7</xdr:row>
      <xdr:rowOff>0</xdr:rowOff>
    </xdr:from>
    <xdr:ext cx="1217725" cy="3124636"/>
    <xdr:pic>
      <xdr:nvPicPr>
        <xdr:cNvPr id="2" name="Picture 1">
          <a:extLst>
            <a:ext uri="{FF2B5EF4-FFF2-40B4-BE49-F238E27FC236}">
              <a16:creationId xmlns:a16="http://schemas.microsoft.com/office/drawing/2014/main" id="{C1C949D1-DB90-4B9E-B7DD-2A495F8C0D87}"/>
            </a:ext>
          </a:extLst>
        </xdr:cNvPr>
        <xdr:cNvPicPr>
          <a:picLocks noChangeAspect="1"/>
        </xdr:cNvPicPr>
      </xdr:nvPicPr>
      <xdr:blipFill rotWithShape="1">
        <a:blip xmlns:r="http://schemas.openxmlformats.org/officeDocument/2006/relationships" r:embed="rId1"/>
        <a:srcRect l="9676" r="7110"/>
        <a:stretch/>
      </xdr:blipFill>
      <xdr:spPr>
        <a:xfrm>
          <a:off x="9239250" y="1333500"/>
          <a:ext cx="1217725" cy="3124636"/>
        </a:xfrm>
        <a:prstGeom prst="rect">
          <a:avLst/>
        </a:prstGeom>
      </xdr:spPr>
    </xdr:pic>
    <xdr:clientData/>
  </xdr:oneCellAnchor>
  <xdr:oneCellAnchor>
    <xdr:from>
      <xdr:col>18</xdr:col>
      <xdr:colOff>342901</xdr:colOff>
      <xdr:row>7</xdr:row>
      <xdr:rowOff>28575</xdr:rowOff>
    </xdr:from>
    <xdr:ext cx="1193222" cy="3067050"/>
    <xdr:pic>
      <xdr:nvPicPr>
        <xdr:cNvPr id="3" name="Picture 2">
          <a:extLst>
            <a:ext uri="{FF2B5EF4-FFF2-40B4-BE49-F238E27FC236}">
              <a16:creationId xmlns:a16="http://schemas.microsoft.com/office/drawing/2014/main" id="{D8076DBA-5003-4994-9FB5-06BAF3CB3C36}"/>
            </a:ext>
          </a:extLst>
        </xdr:cNvPr>
        <xdr:cNvPicPr>
          <a:picLocks noChangeAspect="1"/>
        </xdr:cNvPicPr>
      </xdr:nvPicPr>
      <xdr:blipFill rotWithShape="1">
        <a:blip xmlns:r="http://schemas.openxmlformats.org/officeDocument/2006/relationships" r:embed="rId2"/>
        <a:srcRect l="5434" t="2011" r="26097" b="5473"/>
        <a:stretch/>
      </xdr:blipFill>
      <xdr:spPr>
        <a:xfrm>
          <a:off x="11315701" y="1362075"/>
          <a:ext cx="1193222" cy="3067050"/>
        </a:xfrm>
        <a:prstGeom prst="rect">
          <a:avLst/>
        </a:prstGeom>
      </xdr:spPr>
    </xdr:pic>
    <xdr:clientData/>
  </xdr:oneCellAnchor>
  <xdr:twoCellAnchor>
    <xdr:from>
      <xdr:col>17</xdr:col>
      <xdr:colOff>342900</xdr:colOff>
      <xdr:row>15</xdr:row>
      <xdr:rowOff>142875</xdr:rowOff>
    </xdr:from>
    <xdr:to>
      <xdr:col>18</xdr:col>
      <xdr:colOff>200025</xdr:colOff>
      <xdr:row>15</xdr:row>
      <xdr:rowOff>152400</xdr:rowOff>
    </xdr:to>
    <xdr:cxnSp macro="">
      <xdr:nvCxnSpPr>
        <xdr:cNvPr id="4" name="Straight Arrow Connector 3">
          <a:extLst>
            <a:ext uri="{FF2B5EF4-FFF2-40B4-BE49-F238E27FC236}">
              <a16:creationId xmlns:a16="http://schemas.microsoft.com/office/drawing/2014/main" id="{E5826CD7-AB8D-420B-ACAE-7F0BAA0F0B6A}"/>
            </a:ext>
          </a:extLst>
        </xdr:cNvPr>
        <xdr:cNvCxnSpPr/>
      </xdr:nvCxnSpPr>
      <xdr:spPr>
        <a:xfrm>
          <a:off x="1070610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5" name="Straight Arrow Connector 4">
          <a:extLst>
            <a:ext uri="{FF2B5EF4-FFF2-40B4-BE49-F238E27FC236}">
              <a16:creationId xmlns:a16="http://schemas.microsoft.com/office/drawing/2014/main" id="{71C78496-0377-49D3-9528-405999BED72C}"/>
            </a:ext>
          </a:extLst>
        </xdr:cNvPr>
        <xdr:cNvCxnSpPr/>
      </xdr:nvCxnSpPr>
      <xdr:spPr>
        <a:xfrm>
          <a:off x="6153150" y="504825"/>
          <a:ext cx="72961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32844</xdr:colOff>
      <xdr:row>46</xdr:row>
      <xdr:rowOff>5110</xdr:rowOff>
    </xdr:from>
    <xdr:ext cx="1123293" cy="211666"/>
    <xdr:pic>
      <xdr:nvPicPr>
        <xdr:cNvPr id="2" name="Picture 1">
          <a:extLst>
            <a:ext uri="{FF2B5EF4-FFF2-40B4-BE49-F238E27FC236}">
              <a16:creationId xmlns:a16="http://schemas.microsoft.com/office/drawing/2014/main" id="{BA6FA0D6-4FBA-41CA-8932-62C1A8DF2589}"/>
            </a:ext>
          </a:extLst>
        </xdr:cNvPr>
        <xdr:cNvPicPr>
          <a:picLocks noChangeAspect="1"/>
        </xdr:cNvPicPr>
      </xdr:nvPicPr>
      <xdr:blipFill>
        <a:blip xmlns:r="http://schemas.openxmlformats.org/officeDocument/2006/relationships" r:embed="rId1"/>
        <a:stretch>
          <a:fillRect/>
        </a:stretch>
      </xdr:blipFill>
      <xdr:spPr>
        <a:xfrm>
          <a:off x="1252044" y="8768110"/>
          <a:ext cx="1123293" cy="211666"/>
        </a:xfrm>
        <a:prstGeom prst="rect">
          <a:avLst/>
        </a:prstGeom>
      </xdr:spPr>
    </xdr:pic>
    <xdr:clientData/>
  </xdr:oneCellAnchor>
  <xdr:oneCellAnchor>
    <xdr:from>
      <xdr:col>7</xdr:col>
      <xdr:colOff>83343</xdr:colOff>
      <xdr:row>60</xdr:row>
      <xdr:rowOff>29765</xdr:rowOff>
    </xdr:from>
    <xdr:ext cx="1107282" cy="178594"/>
    <xdr:pic>
      <xdr:nvPicPr>
        <xdr:cNvPr id="3" name="Picture 2">
          <a:extLst>
            <a:ext uri="{FF2B5EF4-FFF2-40B4-BE49-F238E27FC236}">
              <a16:creationId xmlns:a16="http://schemas.microsoft.com/office/drawing/2014/main" id="{DDE669F8-C768-4868-91DA-453B27CB2633}"/>
            </a:ext>
          </a:extLst>
        </xdr:cNvPr>
        <xdr:cNvPicPr>
          <a:picLocks noChangeAspect="1"/>
        </xdr:cNvPicPr>
      </xdr:nvPicPr>
      <xdr:blipFill>
        <a:blip xmlns:r="http://schemas.openxmlformats.org/officeDocument/2006/relationships" r:embed="rId2"/>
        <a:stretch>
          <a:fillRect/>
        </a:stretch>
      </xdr:blipFill>
      <xdr:spPr>
        <a:xfrm>
          <a:off x="4350543" y="11459765"/>
          <a:ext cx="1107282" cy="178594"/>
        </a:xfrm>
        <a:prstGeom prst="rect">
          <a:avLst/>
        </a:prstGeom>
      </xdr:spPr>
    </xdr:pic>
    <xdr:clientData/>
  </xdr:oneCellAnchor>
  <xdr:oneCellAnchor>
    <xdr:from>
      <xdr:col>8</xdr:col>
      <xdr:colOff>119061</xdr:colOff>
      <xdr:row>60</xdr:row>
      <xdr:rowOff>35718</xdr:rowOff>
    </xdr:from>
    <xdr:ext cx="1006079" cy="167915"/>
    <xdr:pic>
      <xdr:nvPicPr>
        <xdr:cNvPr id="4" name="Picture 3">
          <a:extLst>
            <a:ext uri="{FF2B5EF4-FFF2-40B4-BE49-F238E27FC236}">
              <a16:creationId xmlns:a16="http://schemas.microsoft.com/office/drawing/2014/main" id="{A49D30B6-293D-4561-88D3-1D950B9B650B}"/>
            </a:ext>
          </a:extLst>
        </xdr:cNvPr>
        <xdr:cNvPicPr>
          <a:picLocks noChangeAspect="1"/>
        </xdr:cNvPicPr>
      </xdr:nvPicPr>
      <xdr:blipFill>
        <a:blip xmlns:r="http://schemas.openxmlformats.org/officeDocument/2006/relationships" r:embed="rId3"/>
        <a:stretch>
          <a:fillRect/>
        </a:stretch>
      </xdr:blipFill>
      <xdr:spPr>
        <a:xfrm>
          <a:off x="4995861" y="11465718"/>
          <a:ext cx="1006079" cy="167915"/>
        </a:xfrm>
        <a:prstGeom prst="rect">
          <a:avLst/>
        </a:prstGeom>
      </xdr:spPr>
    </xdr:pic>
    <xdr:clientData/>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43F5283-A701-49C1-989F-8BA573F30162}" sourceName="Departmen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F1EBAFF-0A98-4AD3-9172-933261C28CE5}"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9F5CC1B-DCF1-4D3A-816A-7EBE3107B214}" cache="Slicer_Department1" caption="Department" style="SlicerStyleDark6" rowHeight="241300"/>
  <slicer name="Region 1" xr10:uid="{D736A3DF-55F7-4ADD-8F33-9684E79D0537}" cache="Slicer_Region1"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53157-F1EA-43DB-9746-99FA840BA2C1}" name="Employees2" displayName="Employees2" ref="A1:F39" totalsRowCount="1" headerRowDxfId="59" dataDxfId="58" headerRowBorderDxfId="56" tableBorderDxfId="57">
  <autoFilter ref="A1:F38" xr:uid="{2688C5AF-1E0A-4EDD-AF11-5A4BBABB9721}"/>
  <tableColumns count="6">
    <tableColumn id="1" xr3:uid="{B1033A5F-C26D-48E8-B4BE-5F7761A770FB}" name="Date" dataDxfId="54" totalsRowDxfId="55"/>
    <tableColumn id="2" xr3:uid="{AD6BA12D-25CE-4D3E-8E2A-1DD281A3FDA5}" name="Employee Name" dataDxfId="52" totalsRowDxfId="53"/>
    <tableColumn id="3" xr3:uid="{96E1CF2B-482C-42D2-8CEA-C0CE6D69979C}" name="Department" dataDxfId="50" totalsRowDxfId="51"/>
    <tableColumn id="4" xr3:uid="{602E6D48-4D10-4D1E-9636-6A41FF0A4753}" name="Region" dataDxfId="48" totalsRowDxfId="49"/>
    <tableColumn id="5" xr3:uid="{98D904BD-DEE8-4674-A97B-995E27B5AB23}" name="Sales (Rs.)" dataDxfId="46" totalsRowDxfId="47"/>
    <tableColumn id="6" xr3:uid="{F7A5EC06-42D8-4DD0-83BA-C91339988D38}" name="Target (Rs.)" totalsRowFunction="custom" dataDxfId="44" totalsRowDxfId="45">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AD03-AB0B-43C3-930E-794C986D8CBB}">
  <sheetPr codeName="Sheet1"/>
  <dimension ref="A1:AN101"/>
  <sheetViews>
    <sheetView topLeftCell="AD1" zoomScale="145" zoomScaleNormal="145" workbookViewId="0">
      <selection activeCell="AK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4" bestFit="1" customWidth="1"/>
    <col min="12" max="12" width="19.5703125" style="15" bestFit="1" customWidth="1"/>
    <col min="13" max="13" width="11.140625" style="16"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4">
        <v>13</v>
      </c>
      <c r="L2" s="15">
        <v>144621</v>
      </c>
      <c r="M2" s="16">
        <v>45729</v>
      </c>
      <c r="N2" s="17">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7">
        <v>45850</v>
      </c>
    </row>
    <row r="3" spans="1:40" thickTop="1" thickBot="1" x14ac:dyDescent="0.3">
      <c r="A3" s="13" t="s">
        <v>58</v>
      </c>
      <c r="B3" s="14" t="s">
        <v>59</v>
      </c>
      <c r="C3" s="14" t="s">
        <v>60</v>
      </c>
      <c r="D3" s="14">
        <v>34</v>
      </c>
      <c r="E3" s="14" t="s">
        <v>43</v>
      </c>
      <c r="F3" s="14" t="s">
        <v>61</v>
      </c>
      <c r="G3" s="14" t="s">
        <v>62</v>
      </c>
      <c r="H3" s="14" t="s">
        <v>63</v>
      </c>
      <c r="I3" s="14" t="s">
        <v>64</v>
      </c>
      <c r="J3" s="14" t="s">
        <v>65</v>
      </c>
      <c r="K3" s="14">
        <v>29</v>
      </c>
      <c r="L3" s="15">
        <v>153799</v>
      </c>
      <c r="M3" s="16">
        <v>46028</v>
      </c>
      <c r="N3" s="17">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7">
        <v>46229</v>
      </c>
    </row>
    <row r="4" spans="1:40" thickTop="1" thickBot="1" x14ac:dyDescent="0.3">
      <c r="A4" s="13" t="s">
        <v>75</v>
      </c>
      <c r="B4" s="14" t="s">
        <v>76</v>
      </c>
      <c r="C4" s="14" t="s">
        <v>77</v>
      </c>
      <c r="D4" s="14">
        <v>50</v>
      </c>
      <c r="E4" s="14" t="s">
        <v>78</v>
      </c>
      <c r="F4" s="14" t="s">
        <v>79</v>
      </c>
      <c r="G4" s="14" t="s">
        <v>80</v>
      </c>
      <c r="H4" s="14" t="s">
        <v>81</v>
      </c>
      <c r="I4" s="14" t="s">
        <v>47</v>
      </c>
      <c r="J4" s="14" t="s">
        <v>48</v>
      </c>
      <c r="K4" s="14">
        <v>23</v>
      </c>
      <c r="L4" s="15">
        <v>218891</v>
      </c>
      <c r="M4" s="16">
        <v>45975</v>
      </c>
      <c r="N4" s="17">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7">
        <v>45828</v>
      </c>
    </row>
    <row r="5" spans="1:40" thickTop="1" thickBot="1" x14ac:dyDescent="0.3">
      <c r="A5" s="13" t="s">
        <v>88</v>
      </c>
      <c r="B5" s="14" t="s">
        <v>89</v>
      </c>
      <c r="C5" s="14" t="s">
        <v>90</v>
      </c>
      <c r="D5" s="14">
        <v>38</v>
      </c>
      <c r="E5" s="14" t="s">
        <v>91</v>
      </c>
      <c r="F5" s="14" t="s">
        <v>92</v>
      </c>
      <c r="G5" s="14" t="s">
        <v>93</v>
      </c>
      <c r="H5" s="14" t="s">
        <v>94</v>
      </c>
      <c r="I5" s="14" t="s">
        <v>95</v>
      </c>
      <c r="J5" s="14" t="s">
        <v>96</v>
      </c>
      <c r="K5" s="14">
        <v>2</v>
      </c>
      <c r="L5" s="15">
        <v>81194</v>
      </c>
      <c r="M5" s="16">
        <v>45812</v>
      </c>
      <c r="N5" s="17">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7">
        <v>45764</v>
      </c>
    </row>
    <row r="6" spans="1:40" thickTop="1" thickBot="1" x14ac:dyDescent="0.3">
      <c r="A6" s="13" t="s">
        <v>104</v>
      </c>
      <c r="B6" s="14" t="s">
        <v>105</v>
      </c>
      <c r="C6" s="14" t="s">
        <v>106</v>
      </c>
      <c r="D6" s="14">
        <v>49</v>
      </c>
      <c r="E6" s="14" t="s">
        <v>78</v>
      </c>
      <c r="F6" s="14" t="s">
        <v>79</v>
      </c>
      <c r="G6" s="14" t="s">
        <v>93</v>
      </c>
      <c r="H6" s="14" t="s">
        <v>107</v>
      </c>
      <c r="I6" s="14" t="s">
        <v>47</v>
      </c>
      <c r="J6" s="14" t="s">
        <v>48</v>
      </c>
      <c r="K6" s="14">
        <v>18</v>
      </c>
      <c r="L6" s="15">
        <v>74653</v>
      </c>
      <c r="M6" s="16">
        <v>46207</v>
      </c>
      <c r="N6" s="17">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7">
        <v>45929</v>
      </c>
    </row>
    <row r="7" spans="1:40" thickTop="1" thickBot="1" x14ac:dyDescent="0.3">
      <c r="A7" s="13" t="s">
        <v>114</v>
      </c>
      <c r="B7" s="14" t="s">
        <v>105</v>
      </c>
      <c r="C7" s="14" t="s">
        <v>115</v>
      </c>
      <c r="D7" s="14">
        <v>44</v>
      </c>
      <c r="E7" s="14" t="s">
        <v>78</v>
      </c>
      <c r="F7" s="14" t="s">
        <v>61</v>
      </c>
      <c r="G7" s="14" t="s">
        <v>45</v>
      </c>
      <c r="H7" s="14" t="s">
        <v>116</v>
      </c>
      <c r="I7" s="14" t="s">
        <v>47</v>
      </c>
      <c r="J7" s="14" t="s">
        <v>117</v>
      </c>
      <c r="K7" s="14">
        <v>16</v>
      </c>
      <c r="L7" s="15">
        <v>131128</v>
      </c>
      <c r="M7" s="16">
        <v>45829</v>
      </c>
      <c r="N7" s="17">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7">
        <v>46277</v>
      </c>
    </row>
    <row r="8" spans="1:40" thickTop="1" thickBot="1" x14ac:dyDescent="0.3">
      <c r="A8" s="13" t="s">
        <v>124</v>
      </c>
      <c r="B8" s="14" t="s">
        <v>59</v>
      </c>
      <c r="C8" s="14" t="s">
        <v>125</v>
      </c>
      <c r="D8" s="14">
        <v>26</v>
      </c>
      <c r="E8" s="14" t="s">
        <v>78</v>
      </c>
      <c r="F8" s="14" t="s">
        <v>79</v>
      </c>
      <c r="G8" s="14" t="s">
        <v>126</v>
      </c>
      <c r="H8" s="14" t="s">
        <v>81</v>
      </c>
      <c r="I8" s="14" t="s">
        <v>95</v>
      </c>
      <c r="J8" s="14" t="s">
        <v>117</v>
      </c>
      <c r="K8" s="14">
        <v>6</v>
      </c>
      <c r="L8" s="15">
        <v>161524</v>
      </c>
      <c r="M8" s="16">
        <v>45659</v>
      </c>
      <c r="N8" s="17">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7">
        <v>45812</v>
      </c>
    </row>
    <row r="9" spans="1:40" thickTop="1" thickBot="1" x14ac:dyDescent="0.3">
      <c r="A9" s="13" t="s">
        <v>132</v>
      </c>
      <c r="B9" s="14" t="s">
        <v>76</v>
      </c>
      <c r="C9" s="14" t="s">
        <v>125</v>
      </c>
      <c r="D9" s="14">
        <v>51</v>
      </c>
      <c r="E9" s="14" t="s">
        <v>91</v>
      </c>
      <c r="F9" s="14" t="s">
        <v>133</v>
      </c>
      <c r="G9" s="14" t="s">
        <v>134</v>
      </c>
      <c r="H9" s="14" t="s">
        <v>135</v>
      </c>
      <c r="I9" s="14" t="s">
        <v>47</v>
      </c>
      <c r="J9" s="14" t="s">
        <v>48</v>
      </c>
      <c r="K9" s="14">
        <v>25</v>
      </c>
      <c r="L9" s="15">
        <v>225413</v>
      </c>
      <c r="M9" s="16">
        <v>45763</v>
      </c>
      <c r="N9" s="17">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7">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4">
        <v>19</v>
      </c>
      <c r="L10" s="15">
        <v>225105</v>
      </c>
      <c r="M10" s="16">
        <v>45781</v>
      </c>
      <c r="N10" s="17">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7">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4">
        <v>13</v>
      </c>
      <c r="L11" s="15">
        <v>66882</v>
      </c>
      <c r="M11" s="16">
        <v>46059</v>
      </c>
      <c r="N11" s="17">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7">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4">
        <v>10</v>
      </c>
      <c r="L12" s="15">
        <v>180240</v>
      </c>
      <c r="M12" s="16">
        <v>46127</v>
      </c>
      <c r="N12" s="17">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7">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4">
        <v>8</v>
      </c>
      <c r="L13" s="15">
        <v>39412</v>
      </c>
      <c r="M13" s="16">
        <v>45748</v>
      </c>
      <c r="N13" s="17">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7">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4">
        <v>0</v>
      </c>
      <c r="L14" s="15">
        <v>227172</v>
      </c>
      <c r="M14" s="16">
        <v>46175</v>
      </c>
      <c r="N14" s="17">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7">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4">
        <v>14</v>
      </c>
      <c r="L15" s="15">
        <v>83588</v>
      </c>
      <c r="M15" s="16">
        <v>45819</v>
      </c>
      <c r="N15" s="17">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7">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4">
        <v>12</v>
      </c>
      <c r="L16" s="15">
        <v>235359</v>
      </c>
      <c r="M16" s="16">
        <v>45991</v>
      </c>
      <c r="N16" s="17">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7">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4">
        <v>25</v>
      </c>
      <c r="L17" s="15">
        <v>54516</v>
      </c>
      <c r="M17" s="16">
        <v>45929</v>
      </c>
      <c r="N17" s="17">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7">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4">
        <v>24</v>
      </c>
      <c r="L18" s="15">
        <v>66064</v>
      </c>
      <c r="M18" s="16">
        <v>46220</v>
      </c>
      <c r="N18" s="17">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8" t="s">
        <v>113</v>
      </c>
      <c r="AK18" s="14" t="s">
        <v>57</v>
      </c>
      <c r="AL18" s="14">
        <v>3.4</v>
      </c>
      <c r="AM18" s="14">
        <v>19</v>
      </c>
      <c r="AN18" s="17">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4">
        <v>23</v>
      </c>
      <c r="L19" s="15">
        <v>71885</v>
      </c>
      <c r="M19" s="16">
        <v>46084</v>
      </c>
      <c r="N19" s="17">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7">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4">
        <v>28</v>
      </c>
      <c r="L20" s="15">
        <v>42605</v>
      </c>
      <c r="M20" s="16">
        <v>46067</v>
      </c>
      <c r="N20" s="17">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7">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4">
        <v>24</v>
      </c>
      <c r="L21" s="15">
        <v>152954</v>
      </c>
      <c r="M21" s="16">
        <v>46095</v>
      </c>
      <c r="N21" s="17">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7">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4">
        <v>30</v>
      </c>
      <c r="L22" s="15">
        <v>116793</v>
      </c>
      <c r="M22" s="16">
        <v>45680</v>
      </c>
      <c r="N22" s="17">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7">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4">
        <v>16</v>
      </c>
      <c r="L23" s="15">
        <v>187801</v>
      </c>
      <c r="M23" s="16">
        <v>45854</v>
      </c>
      <c r="N23" s="17">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7">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4">
        <v>0</v>
      </c>
      <c r="L24" s="15">
        <v>243945</v>
      </c>
      <c r="M24" s="16">
        <v>45957</v>
      </c>
      <c r="N24" s="17">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7">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4">
        <v>23</v>
      </c>
      <c r="L25" s="15">
        <v>64676</v>
      </c>
      <c r="M25" s="16">
        <v>45739</v>
      </c>
      <c r="N25" s="17">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7">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4">
        <v>0</v>
      </c>
      <c r="L26" s="15">
        <v>200586</v>
      </c>
      <c r="M26" s="16">
        <v>46078</v>
      </c>
      <c r="N26" s="17">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7">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4">
        <v>0</v>
      </c>
      <c r="L27" s="15">
        <v>245388</v>
      </c>
      <c r="M27" s="16">
        <v>45968</v>
      </c>
      <c r="N27" s="17">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7">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4">
        <v>27</v>
      </c>
      <c r="L28" s="15">
        <v>237866</v>
      </c>
      <c r="M28" s="16">
        <v>45782</v>
      </c>
      <c r="N28" s="17">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7">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4">
        <v>28</v>
      </c>
      <c r="L29" s="15">
        <v>111985</v>
      </c>
      <c r="M29" s="16">
        <v>45896</v>
      </c>
      <c r="N29" s="17">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7">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4">
        <v>6</v>
      </c>
      <c r="L30" s="15">
        <v>43248</v>
      </c>
      <c r="M30" s="16">
        <v>46165</v>
      </c>
      <c r="N30" s="17">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7">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4">
        <v>18</v>
      </c>
      <c r="L31" s="15">
        <v>130611</v>
      </c>
      <c r="M31" s="16">
        <v>46129</v>
      </c>
      <c r="N31" s="17">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7">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4">
        <v>12</v>
      </c>
      <c r="L32" s="15">
        <v>196147</v>
      </c>
      <c r="M32" s="16">
        <v>45858</v>
      </c>
      <c r="N32" s="17">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7">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4">
        <v>0</v>
      </c>
      <c r="L33" s="15">
        <v>197238</v>
      </c>
      <c r="M33" s="16">
        <v>46159</v>
      </c>
      <c r="N33" s="17">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7">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4">
        <v>30</v>
      </c>
      <c r="L34" s="15">
        <v>247597</v>
      </c>
      <c r="M34" s="16">
        <v>45827</v>
      </c>
      <c r="N34" s="17">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7">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4">
        <v>17</v>
      </c>
      <c r="L35" s="15">
        <v>200092</v>
      </c>
      <c r="M35" s="16">
        <v>46061</v>
      </c>
      <c r="N35" s="17">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7">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4">
        <v>18</v>
      </c>
      <c r="L36" s="15">
        <v>128051</v>
      </c>
      <c r="M36" s="16">
        <v>45969</v>
      </c>
      <c r="N36" s="17">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7">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4">
        <v>1</v>
      </c>
      <c r="L37" s="15">
        <v>51129</v>
      </c>
      <c r="M37" s="16">
        <v>46202</v>
      </c>
      <c r="N37" s="17">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7">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4">
        <v>8</v>
      </c>
      <c r="L38" s="15">
        <v>201688</v>
      </c>
      <c r="M38" s="16">
        <v>46225</v>
      </c>
      <c r="N38" s="17">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7">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4">
        <v>28</v>
      </c>
      <c r="L39" s="15">
        <v>115675</v>
      </c>
      <c r="M39" s="16">
        <v>45875</v>
      </c>
      <c r="N39" s="17">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7">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4">
        <v>1</v>
      </c>
      <c r="L40" s="15">
        <v>247865</v>
      </c>
      <c r="M40" s="16">
        <v>45747</v>
      </c>
      <c r="N40" s="17">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7">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4">
        <v>13</v>
      </c>
      <c r="L41" s="15">
        <v>35340</v>
      </c>
      <c r="M41" s="16">
        <v>46194</v>
      </c>
      <c r="N41" s="17">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7">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4">
        <v>11</v>
      </c>
      <c r="L42" s="15">
        <v>89032</v>
      </c>
      <c r="M42" s="16">
        <v>45968</v>
      </c>
      <c r="N42" s="17">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7">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4">
        <v>23</v>
      </c>
      <c r="L43" s="15">
        <v>120606</v>
      </c>
      <c r="M43" s="16">
        <v>46192</v>
      </c>
      <c r="N43" s="17">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7">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4">
        <v>8</v>
      </c>
      <c r="L44" s="15">
        <v>193258</v>
      </c>
      <c r="M44" s="16">
        <v>46072</v>
      </c>
      <c r="N44" s="17">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7">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4">
        <v>29</v>
      </c>
      <c r="L45" s="15">
        <v>62886</v>
      </c>
      <c r="M45" s="16">
        <v>45697</v>
      </c>
      <c r="N45" s="17">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7">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4">
        <v>18</v>
      </c>
      <c r="L46" s="15">
        <v>104509</v>
      </c>
      <c r="M46" s="16">
        <v>45769</v>
      </c>
      <c r="N46" s="17">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7">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4">
        <v>15</v>
      </c>
      <c r="L47" s="15">
        <v>35706</v>
      </c>
      <c r="M47" s="16">
        <v>45945</v>
      </c>
      <c r="N47" s="17">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7">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4">
        <v>28</v>
      </c>
      <c r="L48" s="15">
        <v>140508</v>
      </c>
      <c r="M48" s="16">
        <v>46205</v>
      </c>
      <c r="N48" s="17">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7">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4">
        <v>22</v>
      </c>
      <c r="L49" s="15">
        <v>182474</v>
      </c>
      <c r="M49" s="16">
        <v>46167</v>
      </c>
      <c r="N49" s="17">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7">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4">
        <v>13</v>
      </c>
      <c r="L50" s="15">
        <v>100948</v>
      </c>
      <c r="M50" s="16">
        <v>46225</v>
      </c>
      <c r="N50" s="17">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7">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4">
        <v>28</v>
      </c>
      <c r="L51" s="15">
        <v>213514</v>
      </c>
      <c r="M51" s="16">
        <v>45742</v>
      </c>
      <c r="N51" s="17">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7">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4">
        <v>22</v>
      </c>
      <c r="L52" s="15">
        <v>141076</v>
      </c>
      <c r="M52" s="16">
        <v>46115</v>
      </c>
      <c r="N52" s="17">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7">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4">
        <v>9</v>
      </c>
      <c r="L53" s="15">
        <v>199789</v>
      </c>
      <c r="M53" s="16">
        <v>46228</v>
      </c>
      <c r="N53" s="17">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7">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4">
        <v>19</v>
      </c>
      <c r="L54" s="15">
        <v>205641</v>
      </c>
      <c r="M54" s="16">
        <v>45998</v>
      </c>
      <c r="N54" s="17">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7">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4">
        <v>6</v>
      </c>
      <c r="L55" s="15">
        <v>241488</v>
      </c>
      <c r="M55" s="16">
        <v>45897</v>
      </c>
      <c r="N55" s="17">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7">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4">
        <v>1</v>
      </c>
      <c r="L56" s="15">
        <v>164307</v>
      </c>
      <c r="M56" s="16">
        <v>46041</v>
      </c>
      <c r="N56" s="17">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7">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4">
        <v>11</v>
      </c>
      <c r="L57" s="15">
        <v>219961</v>
      </c>
      <c r="M57" s="16">
        <v>46127</v>
      </c>
      <c r="N57" s="17">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7">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4">
        <v>24</v>
      </c>
      <c r="L58" s="15">
        <v>36514</v>
      </c>
      <c r="M58" s="16">
        <v>45861</v>
      </c>
      <c r="N58" s="17">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7">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4">
        <v>10</v>
      </c>
      <c r="L59" s="15">
        <v>119558</v>
      </c>
      <c r="M59" s="16">
        <v>45897</v>
      </c>
      <c r="N59" s="17">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7">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4">
        <v>8</v>
      </c>
      <c r="L60" s="15">
        <v>232879</v>
      </c>
      <c r="M60" s="16">
        <v>45864</v>
      </c>
      <c r="N60" s="17">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7">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4">
        <v>6</v>
      </c>
      <c r="L61" s="15">
        <v>192457</v>
      </c>
      <c r="M61" s="16">
        <v>45739</v>
      </c>
      <c r="N61" s="17">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7">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4">
        <v>2</v>
      </c>
      <c r="L62" s="15">
        <v>66659</v>
      </c>
      <c r="M62" s="16">
        <v>46023</v>
      </c>
      <c r="N62" s="17">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7">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4">
        <v>22</v>
      </c>
      <c r="L63" s="15">
        <v>81916</v>
      </c>
      <c r="M63" s="16">
        <v>45704</v>
      </c>
      <c r="N63" s="17">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7">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4">
        <v>27</v>
      </c>
      <c r="L64" s="15">
        <v>182083</v>
      </c>
      <c r="M64" s="16">
        <v>45712</v>
      </c>
      <c r="N64" s="17">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7">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4">
        <v>16</v>
      </c>
      <c r="L65" s="15">
        <v>38582</v>
      </c>
      <c r="M65" s="16">
        <v>46102</v>
      </c>
      <c r="N65" s="17">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7">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4">
        <v>15</v>
      </c>
      <c r="L66" s="15">
        <v>157936</v>
      </c>
      <c r="M66" s="16">
        <v>45975</v>
      </c>
      <c r="N66" s="17">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7">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4">
        <v>10</v>
      </c>
      <c r="L67" s="15">
        <v>210175</v>
      </c>
      <c r="M67" s="16">
        <v>46018</v>
      </c>
      <c r="N67" s="17">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7">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4">
        <v>17</v>
      </c>
      <c r="L68" s="15">
        <v>191085</v>
      </c>
      <c r="M68" s="16">
        <v>46051</v>
      </c>
      <c r="N68" s="17">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7">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4">
        <v>11</v>
      </c>
      <c r="L69" s="15">
        <v>45672</v>
      </c>
      <c r="M69" s="16">
        <v>46017</v>
      </c>
      <c r="N69" s="17">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7">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4">
        <v>5</v>
      </c>
      <c r="L70" s="15">
        <v>50773</v>
      </c>
      <c r="M70" s="16">
        <v>46236</v>
      </c>
      <c r="N70" s="17">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7">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4">
        <v>5</v>
      </c>
      <c r="L71" s="15">
        <v>171968</v>
      </c>
      <c r="M71" s="16">
        <v>46160</v>
      </c>
      <c r="N71" s="17">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7">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4">
        <v>0</v>
      </c>
      <c r="L72" s="15">
        <v>248882</v>
      </c>
      <c r="M72" s="16">
        <v>46124</v>
      </c>
      <c r="N72" s="17">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7">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4">
        <v>7</v>
      </c>
      <c r="L73" s="15">
        <v>136545</v>
      </c>
      <c r="M73" s="16">
        <v>45853</v>
      </c>
      <c r="N73" s="17">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7">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4">
        <v>7</v>
      </c>
      <c r="L74" s="15">
        <v>140945</v>
      </c>
      <c r="M74" s="16">
        <v>46180</v>
      </c>
      <c r="N74" s="17">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7">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4">
        <v>26</v>
      </c>
      <c r="L75" s="15">
        <v>222876</v>
      </c>
      <c r="M75" s="16">
        <v>46066</v>
      </c>
      <c r="N75" s="17">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7">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4">
        <v>9</v>
      </c>
      <c r="L76" s="15">
        <v>200008</v>
      </c>
      <c r="M76" s="16">
        <v>45841</v>
      </c>
      <c r="N76" s="17">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7">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4">
        <v>21</v>
      </c>
      <c r="L77" s="15">
        <v>169186</v>
      </c>
      <c r="M77" s="16">
        <v>45788</v>
      </c>
      <c r="N77" s="17">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7">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4">
        <v>18</v>
      </c>
      <c r="L78" s="15">
        <v>98116</v>
      </c>
      <c r="M78" s="16">
        <v>45999</v>
      </c>
      <c r="N78" s="17">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7">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4">
        <v>24</v>
      </c>
      <c r="L79" s="15">
        <v>162277</v>
      </c>
      <c r="M79" s="16">
        <v>45743</v>
      </c>
      <c r="N79" s="17">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7">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4">
        <v>10</v>
      </c>
      <c r="L80" s="15">
        <v>95352</v>
      </c>
      <c r="M80" s="16">
        <v>46035</v>
      </c>
      <c r="N80" s="17">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7">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4">
        <v>21</v>
      </c>
      <c r="L81" s="15">
        <v>49496</v>
      </c>
      <c r="M81" s="16">
        <v>46184</v>
      </c>
      <c r="N81" s="17">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7">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4">
        <v>9</v>
      </c>
      <c r="L82" s="15">
        <v>125022</v>
      </c>
      <c r="M82" s="16">
        <v>46201</v>
      </c>
      <c r="N82" s="17">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7">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4">
        <v>17</v>
      </c>
      <c r="L83" s="15">
        <v>185131</v>
      </c>
      <c r="M83" s="16">
        <v>45773</v>
      </c>
      <c r="N83" s="17">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7">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4">
        <v>22</v>
      </c>
      <c r="L84" s="15">
        <v>70545</v>
      </c>
      <c r="M84" s="16">
        <v>46094</v>
      </c>
      <c r="N84" s="17">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7">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4">
        <v>25</v>
      </c>
      <c r="L85" s="15">
        <v>40493</v>
      </c>
      <c r="M85" s="16">
        <v>46157</v>
      </c>
      <c r="N85" s="17">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7">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4">
        <v>16</v>
      </c>
      <c r="L86" s="15">
        <v>54892</v>
      </c>
      <c r="M86" s="16">
        <v>46027</v>
      </c>
      <c r="N86" s="17">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7">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4">
        <v>29</v>
      </c>
      <c r="L87" s="15">
        <v>181965</v>
      </c>
      <c r="M87" s="16">
        <v>45755</v>
      </c>
      <c r="N87" s="17">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7">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4">
        <v>18</v>
      </c>
      <c r="L88" s="15">
        <v>237466</v>
      </c>
      <c r="M88" s="16">
        <v>45967</v>
      </c>
      <c r="N88" s="17">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7">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4">
        <v>6</v>
      </c>
      <c r="L89" s="15">
        <v>193047</v>
      </c>
      <c r="M89" s="16">
        <v>45947</v>
      </c>
      <c r="N89" s="17">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7">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4">
        <v>12</v>
      </c>
      <c r="L90" s="15">
        <v>102375</v>
      </c>
      <c r="M90" s="16">
        <v>46132</v>
      </c>
      <c r="N90" s="17">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7">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4">
        <v>16</v>
      </c>
      <c r="L91" s="15">
        <v>106808</v>
      </c>
      <c r="M91" s="16">
        <v>45793</v>
      </c>
      <c r="N91" s="17">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7">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4">
        <v>6</v>
      </c>
      <c r="L92" s="15">
        <v>119890</v>
      </c>
      <c r="M92" s="16">
        <v>45685</v>
      </c>
      <c r="N92" s="17">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7">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4">
        <v>26</v>
      </c>
      <c r="L93" s="15">
        <v>113665</v>
      </c>
      <c r="M93" s="16">
        <v>45947</v>
      </c>
      <c r="N93" s="17">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7">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4">
        <v>20</v>
      </c>
      <c r="L94" s="15">
        <v>209417</v>
      </c>
      <c r="M94" s="16">
        <v>46064</v>
      </c>
      <c r="N94" s="17">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7">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4">
        <v>6</v>
      </c>
      <c r="L95" s="15">
        <v>93709</v>
      </c>
      <c r="M95" s="16">
        <v>45732</v>
      </c>
      <c r="N95" s="17">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7">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4">
        <v>16</v>
      </c>
      <c r="L96" s="15">
        <v>101758</v>
      </c>
      <c r="M96" s="16">
        <v>46044</v>
      </c>
      <c r="N96" s="17">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7">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4">
        <v>21</v>
      </c>
      <c r="L97" s="15">
        <v>93527</v>
      </c>
      <c r="M97" s="16">
        <v>45929</v>
      </c>
      <c r="N97" s="17">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7">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4">
        <v>21</v>
      </c>
      <c r="L98" s="15">
        <v>245557</v>
      </c>
      <c r="M98" s="16">
        <v>46193</v>
      </c>
      <c r="N98" s="17">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7">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4">
        <v>7</v>
      </c>
      <c r="L99" s="15">
        <v>104574</v>
      </c>
      <c r="M99" s="16">
        <v>46106</v>
      </c>
      <c r="N99" s="17">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7">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4">
        <v>12</v>
      </c>
      <c r="L100" s="15">
        <v>138090</v>
      </c>
      <c r="M100" s="16">
        <v>46196</v>
      </c>
      <c r="N100" s="17">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7">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4">
        <v>27</v>
      </c>
      <c r="L101" s="15">
        <v>232476</v>
      </c>
      <c r="M101" s="16">
        <v>45878</v>
      </c>
      <c r="N101" s="17">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7">
        <v>46050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D83C-A7B9-46E8-9AD1-D048CA305422}">
  <sheetPr codeName="Sheet2"/>
  <dimension ref="A1:N43"/>
  <sheetViews>
    <sheetView zoomScale="85" zoomScaleNormal="85" workbookViewId="0">
      <selection activeCell="C1" sqref="C1"/>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A3+5</f>
        <v>10</v>
      </c>
      <c r="B4" s="6">
        <f>B3+5</f>
        <v>10</v>
      </c>
      <c r="C4" s="6">
        <f>A4+B4</f>
        <v>20</v>
      </c>
      <c r="D4" s="6">
        <f>SUM(A4,B4,C4)</f>
        <v>40</v>
      </c>
      <c r="E4" s="6">
        <f>SUM(A4:D4)</f>
        <v>80</v>
      </c>
      <c r="F4" s="6">
        <f>SUM(D4+E4)</f>
        <v>120</v>
      </c>
      <c r="G4" s="6">
        <f>SUM(D4,E4)</f>
        <v>120</v>
      </c>
      <c r="H4" s="6">
        <f>E4-D4</f>
        <v>40</v>
      </c>
      <c r="I4" s="6">
        <f>G4*H4</f>
        <v>4800</v>
      </c>
      <c r="J4" s="6">
        <f>PRODUCT(G4:H4)</f>
        <v>4800</v>
      </c>
      <c r="K4" s="6">
        <f>H4/G4</f>
        <v>0.33333333333333331</v>
      </c>
      <c r="L4" s="6">
        <f>AVERAGE(G4:H4)</f>
        <v>80</v>
      </c>
      <c r="M4" s="6">
        <f>MAX(A4:K4)</f>
        <v>4800</v>
      </c>
      <c r="N4" s="6">
        <f>MIN(A4:M4)</f>
        <v>0.33333333333333331</v>
      </c>
    </row>
    <row r="5" spans="1:14" thickTop="1" thickBot="1" x14ac:dyDescent="0.4">
      <c r="A5" s="5">
        <f>A4+5</f>
        <v>15</v>
      </c>
      <c r="B5" s="6">
        <f>B4+5</f>
        <v>15</v>
      </c>
      <c r="C5" s="6">
        <f>A5+B5</f>
        <v>30</v>
      </c>
      <c r="D5" s="6">
        <f>SUM(A5,B5,C5)</f>
        <v>60</v>
      </c>
      <c r="E5" s="6">
        <f>SUM(A5:D5)</f>
        <v>120</v>
      </c>
      <c r="F5" s="6">
        <f>SUM(D5+E5)</f>
        <v>180</v>
      </c>
      <c r="G5" s="6">
        <f>SUM(D5,E5)</f>
        <v>180</v>
      </c>
      <c r="H5" s="6">
        <f>E5-D5</f>
        <v>60</v>
      </c>
      <c r="I5" s="6">
        <f>G5*H5</f>
        <v>10800</v>
      </c>
      <c r="J5" s="6">
        <f>PRODUCT(G5:H5)</f>
        <v>10800</v>
      </c>
      <c r="K5" s="6">
        <f>H5/G5</f>
        <v>0.33333333333333331</v>
      </c>
      <c r="L5" s="6">
        <f>AVERAGE(G5:H5)</f>
        <v>120</v>
      </c>
      <c r="M5" s="6">
        <f>MAX(A5:K5)</f>
        <v>10800</v>
      </c>
      <c r="N5" s="6">
        <f>MIN(A5:M5)</f>
        <v>0.33333333333333331</v>
      </c>
    </row>
    <row r="6" spans="1:14" thickTop="1" thickBot="1" x14ac:dyDescent="0.4">
      <c r="A6" s="5">
        <f>A5+5</f>
        <v>20</v>
      </c>
      <c r="B6" s="6">
        <f>B5+5</f>
        <v>20</v>
      </c>
      <c r="C6" s="6">
        <f>A6+B6</f>
        <v>40</v>
      </c>
      <c r="D6" s="6">
        <f>SUM(A6,B6,C6)</f>
        <v>80</v>
      </c>
      <c r="E6" s="6">
        <f>SUM(A6:D6)</f>
        <v>160</v>
      </c>
      <c r="F6" s="6">
        <f>SUM(D6+E6)</f>
        <v>240</v>
      </c>
      <c r="G6" s="6">
        <f>SUM(D6,E6)</f>
        <v>240</v>
      </c>
      <c r="H6" s="6">
        <f>E6-D6</f>
        <v>80</v>
      </c>
      <c r="I6" s="6">
        <f>G6*H6</f>
        <v>19200</v>
      </c>
      <c r="J6" s="6">
        <f>PRODUCT(G6:H6)</f>
        <v>19200</v>
      </c>
      <c r="K6" s="6">
        <f>H6/G6</f>
        <v>0.33333333333333331</v>
      </c>
      <c r="L6" s="6">
        <f>AVERAGE(G6:H6)</f>
        <v>160</v>
      </c>
      <c r="M6" s="6">
        <f>MAX(A6:K6)</f>
        <v>19200</v>
      </c>
      <c r="N6" s="6">
        <f>MIN(A6:M6)</f>
        <v>0.33333333333333331</v>
      </c>
    </row>
    <row r="7" spans="1:14" thickTop="1" thickBot="1" x14ac:dyDescent="0.4">
      <c r="A7" s="5">
        <f>A6+5</f>
        <v>25</v>
      </c>
      <c r="B7" s="6">
        <f>B6+5</f>
        <v>25</v>
      </c>
      <c r="C7" s="6">
        <f>A7+B7</f>
        <v>50</v>
      </c>
      <c r="D7" s="6">
        <f>SUM(A7,B7,C7)</f>
        <v>100</v>
      </c>
      <c r="E7" s="6">
        <f>SUM(A7:D7)</f>
        <v>200</v>
      </c>
      <c r="F7" s="6">
        <f>SUM(D7+E7)</f>
        <v>300</v>
      </c>
      <c r="G7" s="6">
        <f>SUM(D7,E7)</f>
        <v>300</v>
      </c>
      <c r="H7" s="6">
        <f>E7-D7</f>
        <v>100</v>
      </c>
      <c r="I7" s="6">
        <f>G7*H7</f>
        <v>30000</v>
      </c>
      <c r="J7" s="6">
        <f>PRODUCT(G7:H7)</f>
        <v>30000</v>
      </c>
      <c r="K7" s="6">
        <f>H7/G7</f>
        <v>0.33333333333333331</v>
      </c>
      <c r="L7" s="6">
        <f>AVERAGE(G7:H7)</f>
        <v>200</v>
      </c>
      <c r="M7" s="6">
        <f>MAX(A7:K7)</f>
        <v>30000</v>
      </c>
      <c r="N7" s="6">
        <f>MIN(A7:M7)</f>
        <v>0.33333333333333331</v>
      </c>
    </row>
    <row r="8" spans="1:14" thickTop="1" thickBot="1" x14ac:dyDescent="0.4">
      <c r="A8" s="5">
        <f>A7+5</f>
        <v>30</v>
      </c>
      <c r="B8" s="6">
        <f>B7+5</f>
        <v>30</v>
      </c>
      <c r="C8" s="6">
        <f>A8+B8</f>
        <v>60</v>
      </c>
      <c r="D8" s="6">
        <f>SUM(A8,B8,C8)</f>
        <v>120</v>
      </c>
      <c r="E8" s="6">
        <f>SUM(A8:D8)</f>
        <v>240</v>
      </c>
      <c r="F8" s="6">
        <f>SUM(D8+E8)</f>
        <v>360</v>
      </c>
      <c r="G8" s="6">
        <f>SUM(D8,E8)</f>
        <v>360</v>
      </c>
      <c r="H8" s="6">
        <f>E8-D8</f>
        <v>120</v>
      </c>
      <c r="I8" s="6">
        <f>G8*H8</f>
        <v>43200</v>
      </c>
      <c r="J8" s="6">
        <f>PRODUCT(G8:H8)</f>
        <v>43200</v>
      </c>
      <c r="K8" s="6">
        <f>H8/G8</f>
        <v>0.33333333333333331</v>
      </c>
      <c r="L8" s="6">
        <f>AVERAGE(G8:H8)</f>
        <v>240</v>
      </c>
      <c r="M8" s="6">
        <f>MAX(A8:K8)</f>
        <v>43200</v>
      </c>
      <c r="N8" s="6">
        <f>MIN(A8:M8)</f>
        <v>0.33333333333333331</v>
      </c>
    </row>
    <row r="9" spans="1:14" thickTop="1" thickBot="1" x14ac:dyDescent="0.4">
      <c r="A9" s="5">
        <f>A8+5</f>
        <v>35</v>
      </c>
      <c r="B9" s="6">
        <f>B8+5</f>
        <v>35</v>
      </c>
      <c r="C9" s="6">
        <f>A9+B9</f>
        <v>70</v>
      </c>
      <c r="D9" s="6">
        <f>SUM(A9,B9,C9)</f>
        <v>140</v>
      </c>
      <c r="E9" s="6">
        <f>SUM(A9:D9)</f>
        <v>280</v>
      </c>
      <c r="F9" s="6">
        <f>SUM(D9+E9)</f>
        <v>420</v>
      </c>
      <c r="G9" s="6">
        <f>SUM(D9,E9)</f>
        <v>420</v>
      </c>
      <c r="H9" s="6">
        <f>E9-D9</f>
        <v>140</v>
      </c>
      <c r="I9" s="6">
        <f>G9*H9</f>
        <v>58800</v>
      </c>
      <c r="J9" s="6">
        <f>PRODUCT(G9:H9)</f>
        <v>58800</v>
      </c>
      <c r="K9" s="6">
        <f>H9/G9</f>
        <v>0.33333333333333331</v>
      </c>
      <c r="L9" s="6">
        <f>AVERAGE(G9:H9)</f>
        <v>280</v>
      </c>
      <c r="M9" s="6">
        <f>MAX(A9:K9)</f>
        <v>58800</v>
      </c>
      <c r="N9" s="6">
        <f>MIN(A9:M9)</f>
        <v>0.33333333333333331</v>
      </c>
    </row>
    <row r="10" spans="1:14" thickTop="1" thickBot="1" x14ac:dyDescent="0.4">
      <c r="A10" s="5">
        <f>A9+5</f>
        <v>40</v>
      </c>
      <c r="B10" s="6">
        <f>B9+5</f>
        <v>40</v>
      </c>
      <c r="C10" s="6">
        <f>A10+B10</f>
        <v>80</v>
      </c>
      <c r="D10" s="6">
        <f>SUM(A10,B10,C10)</f>
        <v>160</v>
      </c>
      <c r="E10" s="6">
        <f>SUM(A10:D10)</f>
        <v>320</v>
      </c>
      <c r="F10" s="6">
        <f>SUM(D10+E10)</f>
        <v>480</v>
      </c>
      <c r="G10" s="6">
        <f>SUM(D10,E10)</f>
        <v>480</v>
      </c>
      <c r="H10" s="6">
        <f>E10-D10</f>
        <v>160</v>
      </c>
      <c r="I10" s="6">
        <f>G10*H10</f>
        <v>76800</v>
      </c>
      <c r="J10" s="6">
        <f>PRODUCT(G10:H10)</f>
        <v>76800</v>
      </c>
      <c r="K10" s="6">
        <f>H10/G10</f>
        <v>0.33333333333333331</v>
      </c>
      <c r="L10" s="6">
        <f>AVERAGE(G10:H10)</f>
        <v>320</v>
      </c>
      <c r="M10" s="6">
        <f>MAX(A10:K10)</f>
        <v>76800</v>
      </c>
      <c r="N10" s="6">
        <f>MIN(A10:M10)</f>
        <v>0.33333333333333331</v>
      </c>
    </row>
    <row r="11" spans="1:14" thickTop="1" thickBot="1" x14ac:dyDescent="0.4">
      <c r="A11" s="5">
        <f>A10+5</f>
        <v>45</v>
      </c>
      <c r="B11" s="6">
        <f>B10+5</f>
        <v>45</v>
      </c>
      <c r="C11" s="6">
        <f>A11+B11</f>
        <v>90</v>
      </c>
      <c r="D11" s="6">
        <f>SUM(A11,B11,C11)</f>
        <v>180</v>
      </c>
      <c r="E11" s="6">
        <f>SUM(A11:D11)</f>
        <v>360</v>
      </c>
      <c r="F11" s="6">
        <f>SUM(D11+E11)</f>
        <v>540</v>
      </c>
      <c r="G11" s="6">
        <f>SUM(D11,E11)</f>
        <v>540</v>
      </c>
      <c r="H11" s="6">
        <f>E11-D11</f>
        <v>180</v>
      </c>
      <c r="I11" s="6">
        <f>G11*H11</f>
        <v>97200</v>
      </c>
      <c r="J11" s="6">
        <f>PRODUCT(G11:H11)</f>
        <v>97200</v>
      </c>
      <c r="K11" s="6">
        <f>H11/G11</f>
        <v>0.33333333333333331</v>
      </c>
      <c r="L11" s="6">
        <f>AVERAGE(G11:H11)</f>
        <v>360</v>
      </c>
      <c r="M11" s="6">
        <f>MAX(A11:K11)</f>
        <v>97200</v>
      </c>
      <c r="N11" s="6">
        <f>MIN(A11:M11)</f>
        <v>0.33333333333333331</v>
      </c>
    </row>
    <row r="12" spans="1:14" thickTop="1" thickBot="1" x14ac:dyDescent="0.4">
      <c r="A12" s="5">
        <f>A11+5</f>
        <v>50</v>
      </c>
      <c r="B12" s="6">
        <f>B11+5</f>
        <v>50</v>
      </c>
      <c r="C12" s="6">
        <f>A12+B12</f>
        <v>100</v>
      </c>
      <c r="D12" s="6">
        <f>SUM(A12,B12,C12)</f>
        <v>200</v>
      </c>
      <c r="E12" s="6">
        <f>SUM(A12:D12)</f>
        <v>400</v>
      </c>
      <c r="F12" s="6">
        <f>SUM(D12+E12)</f>
        <v>600</v>
      </c>
      <c r="G12" s="6">
        <f>SUM(D12,E12)</f>
        <v>600</v>
      </c>
      <c r="H12" s="6">
        <f>E12-D12</f>
        <v>200</v>
      </c>
      <c r="I12" s="6">
        <f>G12*H12</f>
        <v>120000</v>
      </c>
      <c r="J12" s="6">
        <f>PRODUCT(G12:H12)</f>
        <v>120000</v>
      </c>
      <c r="K12" s="6">
        <f>H12/G12</f>
        <v>0.33333333333333331</v>
      </c>
      <c r="L12" s="6">
        <f>AVERAGE(G12:H12)</f>
        <v>400</v>
      </c>
      <c r="M12" s="6">
        <f>MAX(A12:K12)</f>
        <v>120000</v>
      </c>
      <c r="N12" s="6">
        <f>MIN(A12:M12)</f>
        <v>0.33333333333333331</v>
      </c>
    </row>
    <row r="13" spans="1:14" thickTop="1" thickBot="1" x14ac:dyDescent="0.4">
      <c r="A13" s="5">
        <f>A12+5</f>
        <v>55</v>
      </c>
      <c r="B13" s="6">
        <f>B12+5</f>
        <v>55</v>
      </c>
      <c r="C13" s="6">
        <f>A13+B13</f>
        <v>110</v>
      </c>
      <c r="D13" s="6">
        <f>SUM(A13,B13,C13)</f>
        <v>220</v>
      </c>
      <c r="E13" s="6">
        <f>SUM(A13:D13)</f>
        <v>440</v>
      </c>
      <c r="F13" s="6">
        <f>SUM(D13+E13)</f>
        <v>660</v>
      </c>
      <c r="G13" s="6">
        <f>SUM(D13,E13)</f>
        <v>660</v>
      </c>
      <c r="H13" s="6">
        <f>E13-D13</f>
        <v>220</v>
      </c>
      <c r="I13" s="6">
        <f>G13*H13</f>
        <v>145200</v>
      </c>
      <c r="J13" s="6">
        <f>PRODUCT(G13:H13)</f>
        <v>145200</v>
      </c>
      <c r="K13" s="6">
        <f>H13/G13</f>
        <v>0.33333333333333331</v>
      </c>
      <c r="L13" s="6">
        <f>AVERAGE(G13:H13)</f>
        <v>440</v>
      </c>
      <c r="M13" s="6">
        <f>MAX(A13:K13)</f>
        <v>145200</v>
      </c>
      <c r="N13" s="6">
        <f>MIN(A13:M13)</f>
        <v>0.33333333333333331</v>
      </c>
    </row>
    <row r="14" spans="1:14" thickTop="1" thickBot="1" x14ac:dyDescent="0.4">
      <c r="A14" s="5">
        <f>A13+5</f>
        <v>60</v>
      </c>
      <c r="B14" s="6">
        <f>B13+5</f>
        <v>60</v>
      </c>
      <c r="C14" s="6">
        <f>A14+B14</f>
        <v>120</v>
      </c>
      <c r="D14" s="6">
        <f>SUM(A14,B14,C14)</f>
        <v>240</v>
      </c>
      <c r="E14" s="6">
        <f>SUM(A14:D14)</f>
        <v>480</v>
      </c>
      <c r="F14" s="6">
        <f>SUM(D14+E14)</f>
        <v>720</v>
      </c>
      <c r="G14" s="6">
        <f>SUM(D14,E14)</f>
        <v>720</v>
      </c>
      <c r="H14" s="6">
        <f>E14-D14</f>
        <v>240</v>
      </c>
      <c r="I14" s="6">
        <f>G14*H14</f>
        <v>172800</v>
      </c>
      <c r="J14" s="6">
        <f>PRODUCT(G14:H14)</f>
        <v>172800</v>
      </c>
      <c r="K14" s="6">
        <f>H14/G14</f>
        <v>0.33333333333333331</v>
      </c>
      <c r="L14" s="6">
        <f>AVERAGE(G14:H14)</f>
        <v>480</v>
      </c>
      <c r="M14" s="6">
        <f>MAX(A14:K14)</f>
        <v>172800</v>
      </c>
      <c r="N14" s="6">
        <f>MIN(A14:M14)</f>
        <v>0.33333333333333331</v>
      </c>
    </row>
    <row r="15" spans="1:14" thickTop="1" thickBot="1" x14ac:dyDescent="0.4">
      <c r="A15" s="5">
        <f>A14+5</f>
        <v>65</v>
      </c>
      <c r="B15" s="6">
        <f>B14+5</f>
        <v>65</v>
      </c>
      <c r="C15" s="6">
        <f>A15+B15</f>
        <v>130</v>
      </c>
      <c r="D15" s="6">
        <f>SUM(A15,B15,C15)</f>
        <v>260</v>
      </c>
      <c r="E15" s="6">
        <f>SUM(A15:D15)</f>
        <v>520</v>
      </c>
      <c r="F15" s="6">
        <f>SUM(D15+E15)</f>
        <v>780</v>
      </c>
      <c r="G15" s="6">
        <f>SUM(D15,E15)</f>
        <v>780</v>
      </c>
      <c r="H15" s="6">
        <f>E15-D15</f>
        <v>260</v>
      </c>
      <c r="I15" s="6">
        <f>G15*H15</f>
        <v>202800</v>
      </c>
      <c r="J15" s="6">
        <f>PRODUCT(G15:H15)</f>
        <v>202800</v>
      </c>
      <c r="K15" s="6">
        <f>H15/G15</f>
        <v>0.33333333333333331</v>
      </c>
      <c r="L15" s="6">
        <f>AVERAGE(G15:H15)</f>
        <v>520</v>
      </c>
      <c r="M15" s="6">
        <f>MAX(A15:K15)</f>
        <v>202800</v>
      </c>
      <c r="N15" s="6">
        <f>MIN(A15:M15)</f>
        <v>0.33333333333333331</v>
      </c>
    </row>
    <row r="16" spans="1:14" thickTop="1" thickBot="1" x14ac:dyDescent="0.4">
      <c r="A16" s="5">
        <f>A15+5</f>
        <v>70</v>
      </c>
      <c r="B16" s="6">
        <f>B15+5</f>
        <v>70</v>
      </c>
      <c r="C16" s="6">
        <f>A16+B16</f>
        <v>140</v>
      </c>
      <c r="D16" s="6">
        <f>SUM(A16,B16,C16)</f>
        <v>280</v>
      </c>
      <c r="E16" s="6">
        <f>SUM(A16:D16)</f>
        <v>560</v>
      </c>
      <c r="F16" s="6">
        <f>SUM(D16+E16)</f>
        <v>840</v>
      </c>
      <c r="G16" s="6">
        <f>SUM(D16,E16)</f>
        <v>840</v>
      </c>
      <c r="H16" s="6">
        <f>E16-D16</f>
        <v>280</v>
      </c>
      <c r="I16" s="6">
        <f>G16*H16</f>
        <v>235200</v>
      </c>
      <c r="J16" s="6">
        <f>PRODUCT(G16:H16)</f>
        <v>235200</v>
      </c>
      <c r="K16" s="6">
        <f>H16/G16</f>
        <v>0.33333333333333331</v>
      </c>
      <c r="L16" s="6">
        <f>AVERAGE(G16:H16)</f>
        <v>560</v>
      </c>
      <c r="M16" s="6">
        <f>MAX(A16:K16)</f>
        <v>235200</v>
      </c>
      <c r="N16" s="6">
        <f>MIN(A16:M16)</f>
        <v>0.33333333333333331</v>
      </c>
    </row>
    <row r="17" spans="1:14" thickTop="1" thickBot="1" x14ac:dyDescent="0.4">
      <c r="A17" s="5">
        <f>A16+5</f>
        <v>75</v>
      </c>
      <c r="B17" s="6">
        <f>B16+5</f>
        <v>75</v>
      </c>
      <c r="C17" s="6">
        <f>A17+B17</f>
        <v>150</v>
      </c>
      <c r="D17" s="6">
        <f>SUM(A17,B17,C17)</f>
        <v>300</v>
      </c>
      <c r="E17" s="6">
        <f>SUM(A17:D17)</f>
        <v>600</v>
      </c>
      <c r="F17" s="6">
        <f>SUM(D17+E17)</f>
        <v>900</v>
      </c>
      <c r="G17" s="6">
        <f>SUM(D17,E17)</f>
        <v>900</v>
      </c>
      <c r="H17" s="6">
        <f>E17-D17</f>
        <v>300</v>
      </c>
      <c r="I17" s="6">
        <f>G17*H17</f>
        <v>270000</v>
      </c>
      <c r="J17" s="6">
        <f>PRODUCT(G17:H17)</f>
        <v>270000</v>
      </c>
      <c r="K17" s="6">
        <f>H17/G17</f>
        <v>0.33333333333333331</v>
      </c>
      <c r="L17" s="6">
        <f>AVERAGE(G17:H17)</f>
        <v>600</v>
      </c>
      <c r="M17" s="6">
        <f>MAX(A17:K17)</f>
        <v>270000</v>
      </c>
      <c r="N17" s="6">
        <f>MIN(A17:M17)</f>
        <v>0.33333333333333331</v>
      </c>
    </row>
    <row r="18" spans="1:14" thickTop="1" thickBot="1" x14ac:dyDescent="0.4">
      <c r="A18" s="5">
        <f>A17+5</f>
        <v>80</v>
      </c>
      <c r="B18" s="6">
        <f>B17+5</f>
        <v>80</v>
      </c>
      <c r="C18" s="6">
        <f>A18+B18</f>
        <v>160</v>
      </c>
      <c r="D18" s="6">
        <f>SUM(A18,B18,C18)</f>
        <v>320</v>
      </c>
      <c r="E18" s="6">
        <f>SUM(A18:D18)</f>
        <v>640</v>
      </c>
      <c r="F18" s="6">
        <f>SUM(D18+E18)</f>
        <v>960</v>
      </c>
      <c r="G18" s="6">
        <f>SUM(D18,E18)</f>
        <v>960</v>
      </c>
      <c r="H18" s="6">
        <f>E18-D18</f>
        <v>320</v>
      </c>
      <c r="I18" s="6">
        <f>G18*H18</f>
        <v>307200</v>
      </c>
      <c r="J18" s="6">
        <f>PRODUCT(G18:H18)</f>
        <v>307200</v>
      </c>
      <c r="K18" s="6">
        <f>H18/G18</f>
        <v>0.33333333333333331</v>
      </c>
      <c r="L18" s="6">
        <f>AVERAGE(G18:H18)</f>
        <v>640</v>
      </c>
      <c r="M18" s="6">
        <f>MAX(A18:K18)</f>
        <v>307200</v>
      </c>
      <c r="N18" s="6">
        <f>MIN(A18:M18)</f>
        <v>0.33333333333333331</v>
      </c>
    </row>
    <row r="19" spans="1:14" thickTop="1" thickBot="1" x14ac:dyDescent="0.4">
      <c r="A19" s="5">
        <f>A18+5</f>
        <v>85</v>
      </c>
      <c r="B19" s="6">
        <f>B18+5</f>
        <v>85</v>
      </c>
      <c r="C19" s="6">
        <f>A19+B19</f>
        <v>170</v>
      </c>
      <c r="D19" s="6">
        <f>SUM(A19,B19,C19)</f>
        <v>340</v>
      </c>
      <c r="E19" s="6">
        <f>SUM(A19:D19)</f>
        <v>680</v>
      </c>
      <c r="F19" s="6">
        <f>SUM(D19+E19)</f>
        <v>1020</v>
      </c>
      <c r="G19" s="6">
        <f>SUM(D19,E19)</f>
        <v>1020</v>
      </c>
      <c r="H19" s="6">
        <f>E19-D19</f>
        <v>340</v>
      </c>
      <c r="I19" s="6">
        <f>G19*H19</f>
        <v>346800</v>
      </c>
      <c r="J19" s="6">
        <f>PRODUCT(G19:H19)</f>
        <v>346800</v>
      </c>
      <c r="K19" s="6">
        <f>H19/G19</f>
        <v>0.33333333333333331</v>
      </c>
      <c r="L19" s="6">
        <f>AVERAGE(G19:H19)</f>
        <v>680</v>
      </c>
      <c r="M19" s="6">
        <f>MAX(A19:K19)</f>
        <v>346800</v>
      </c>
      <c r="N19" s="6">
        <f>MIN(A19:M19)</f>
        <v>0.33333333333333331</v>
      </c>
    </row>
    <row r="20" spans="1:14" thickTop="1" thickBot="1" x14ac:dyDescent="0.4">
      <c r="A20" s="5">
        <f>A19+5</f>
        <v>90</v>
      </c>
      <c r="B20" s="6">
        <f>B19+5</f>
        <v>90</v>
      </c>
      <c r="C20" s="6">
        <f>A20+B20</f>
        <v>180</v>
      </c>
      <c r="D20" s="6">
        <f>SUM(A20,B20,C20)</f>
        <v>360</v>
      </c>
      <c r="E20" s="6">
        <f>SUM(A20:D20)</f>
        <v>720</v>
      </c>
      <c r="F20" s="6">
        <f>SUM(D20+E20)</f>
        <v>1080</v>
      </c>
      <c r="G20" s="6">
        <f>SUM(D20,E20)</f>
        <v>1080</v>
      </c>
      <c r="H20" s="6">
        <f>E20-D20</f>
        <v>360</v>
      </c>
      <c r="I20" s="6">
        <f>G20*H20</f>
        <v>388800</v>
      </c>
      <c r="J20" s="6">
        <f>PRODUCT(G20:H20)</f>
        <v>388800</v>
      </c>
      <c r="K20" s="6">
        <f>H20/G20</f>
        <v>0.33333333333333331</v>
      </c>
      <c r="L20" s="6">
        <f>AVERAGE(G20:H20)</f>
        <v>720</v>
      </c>
      <c r="M20" s="6">
        <f>MAX(A20:K20)</f>
        <v>388800</v>
      </c>
      <c r="N20" s="6">
        <f>MIN(A20:M20)</f>
        <v>0.33333333333333331</v>
      </c>
    </row>
    <row r="21" spans="1:14" thickTop="1" thickBot="1" x14ac:dyDescent="0.4">
      <c r="A21" s="5">
        <f>A20+5</f>
        <v>95</v>
      </c>
      <c r="B21" s="6">
        <f>B20+5</f>
        <v>95</v>
      </c>
      <c r="C21" s="6">
        <f>A21+B21</f>
        <v>190</v>
      </c>
      <c r="D21" s="6">
        <f>SUM(A21,B21,C21)</f>
        <v>380</v>
      </c>
      <c r="E21" s="6">
        <f>SUM(A21:D21)</f>
        <v>760</v>
      </c>
      <c r="F21" s="6">
        <f>SUM(D21+E21)</f>
        <v>1140</v>
      </c>
      <c r="G21" s="6">
        <f>SUM(D21,E21)</f>
        <v>1140</v>
      </c>
      <c r="H21" s="6">
        <f>E21-D21</f>
        <v>380</v>
      </c>
      <c r="I21" s="6">
        <f>G21*H21</f>
        <v>433200</v>
      </c>
      <c r="J21" s="6">
        <f>PRODUCT(G21:H21)</f>
        <v>433200</v>
      </c>
      <c r="K21" s="6">
        <f>H21/G21</f>
        <v>0.33333333333333331</v>
      </c>
      <c r="L21" s="6">
        <f>AVERAGE(G21:H21)</f>
        <v>760</v>
      </c>
      <c r="M21" s="6">
        <f>MAX(A21:K21)</f>
        <v>433200</v>
      </c>
      <c r="N21" s="6">
        <f>MIN(A21:M21)</f>
        <v>0.33333333333333331</v>
      </c>
    </row>
    <row r="22" spans="1:14" thickTop="1" thickBot="1" x14ac:dyDescent="0.4">
      <c r="A22" s="5">
        <f>A21+5</f>
        <v>100</v>
      </c>
      <c r="B22" s="6">
        <f>B21+5</f>
        <v>100</v>
      </c>
      <c r="C22" s="6">
        <f>A22+B22</f>
        <v>200</v>
      </c>
      <c r="D22" s="6">
        <f>SUM(A22,B22,C22)</f>
        <v>400</v>
      </c>
      <c r="E22" s="6">
        <f>SUM(A22:D22)</f>
        <v>800</v>
      </c>
      <c r="F22" s="6">
        <f>SUM(D22+E22)</f>
        <v>1200</v>
      </c>
      <c r="G22" s="6">
        <f>SUM(D22,E22)</f>
        <v>1200</v>
      </c>
      <c r="H22" s="6">
        <f>E22-D22</f>
        <v>400</v>
      </c>
      <c r="I22" s="6">
        <f>G22*H22</f>
        <v>480000</v>
      </c>
      <c r="J22" s="6">
        <f>PRODUCT(G22:H22)</f>
        <v>480000</v>
      </c>
      <c r="K22" s="6">
        <f>H22/G22</f>
        <v>0.33333333333333331</v>
      </c>
      <c r="L22" s="6">
        <f>AVERAGE(G22:H22)</f>
        <v>800</v>
      </c>
      <c r="M22" s="6">
        <f>MAX(A22:K22)</f>
        <v>480000</v>
      </c>
      <c r="N22" s="6">
        <f>MIN(A22:M22)</f>
        <v>0.33333333333333331</v>
      </c>
    </row>
    <row r="23" spans="1:14" thickTop="1" thickBot="1" x14ac:dyDescent="0.4">
      <c r="A23" s="5">
        <f>A22+5</f>
        <v>105</v>
      </c>
      <c r="B23" s="6">
        <f>B22+5</f>
        <v>105</v>
      </c>
      <c r="C23" s="6">
        <f>A23+B23</f>
        <v>210</v>
      </c>
      <c r="D23" s="6">
        <f>SUM(A23,B23,C23)</f>
        <v>420</v>
      </c>
      <c r="E23" s="6">
        <f>SUM(A23:D23)</f>
        <v>840</v>
      </c>
      <c r="F23" s="6">
        <f>SUM(D23+E23)</f>
        <v>1260</v>
      </c>
      <c r="G23" s="6">
        <f>SUM(D23,E23)</f>
        <v>1260</v>
      </c>
      <c r="H23" s="6">
        <f>E23-D23</f>
        <v>420</v>
      </c>
      <c r="I23" s="6">
        <f>G23*H23</f>
        <v>529200</v>
      </c>
      <c r="J23" s="6">
        <f>PRODUCT(G23:H23)</f>
        <v>529200</v>
      </c>
      <c r="K23" s="6">
        <f>H23/G23</f>
        <v>0.33333333333333331</v>
      </c>
      <c r="L23" s="6">
        <f>AVERAGE(G23:H23)</f>
        <v>840</v>
      </c>
      <c r="M23" s="6">
        <f>MAX(A23:K23)</f>
        <v>529200</v>
      </c>
      <c r="N23" s="6">
        <f>MIN(A23:M23)</f>
        <v>0.33333333333333331</v>
      </c>
    </row>
    <row r="24" spans="1:14" thickTop="1" thickBot="1" x14ac:dyDescent="0.4">
      <c r="A24" s="5">
        <f>A23+5</f>
        <v>110</v>
      </c>
      <c r="B24" s="6">
        <f>B23+5</f>
        <v>110</v>
      </c>
      <c r="C24" s="6">
        <f>A24+B24</f>
        <v>220</v>
      </c>
      <c r="D24" s="6">
        <f>SUM(A24,B24,C24)</f>
        <v>440</v>
      </c>
      <c r="E24" s="6">
        <f>SUM(A24:D24)</f>
        <v>880</v>
      </c>
      <c r="F24" s="6">
        <f>SUM(D24+E24)</f>
        <v>1320</v>
      </c>
      <c r="G24" s="6">
        <f>SUM(D24,E24)</f>
        <v>1320</v>
      </c>
      <c r="H24" s="6">
        <f>E24-D24</f>
        <v>440</v>
      </c>
      <c r="I24" s="6">
        <f>G24*H24</f>
        <v>580800</v>
      </c>
      <c r="J24" s="6">
        <f>PRODUCT(G24:H24)</f>
        <v>580800</v>
      </c>
      <c r="K24" s="6">
        <f>H24/G24</f>
        <v>0.33333333333333331</v>
      </c>
      <c r="L24" s="6">
        <f>AVERAGE(G24:H24)</f>
        <v>880</v>
      </c>
      <c r="M24" s="6">
        <f>MAX(A24:K24)</f>
        <v>580800</v>
      </c>
      <c r="N24" s="6">
        <f>MIN(A24:M24)</f>
        <v>0.33333333333333331</v>
      </c>
    </row>
    <row r="25" spans="1:14" thickTop="1" thickBot="1" x14ac:dyDescent="0.4">
      <c r="A25" s="5">
        <f>A24+5</f>
        <v>115</v>
      </c>
      <c r="B25" s="6">
        <f>B24+5</f>
        <v>115</v>
      </c>
      <c r="C25" s="6">
        <f>A25+B25</f>
        <v>230</v>
      </c>
      <c r="D25" s="6">
        <f>SUM(A25,B25,C25)</f>
        <v>460</v>
      </c>
      <c r="E25" s="6">
        <f>SUM(A25:D25)</f>
        <v>920</v>
      </c>
      <c r="F25" s="6">
        <f>SUM(D25+E25)</f>
        <v>1380</v>
      </c>
      <c r="G25" s="6">
        <f>SUM(D25,E25)</f>
        <v>1380</v>
      </c>
      <c r="H25" s="6">
        <f>E25-D25</f>
        <v>460</v>
      </c>
      <c r="I25" s="6">
        <f>G25*H25</f>
        <v>634800</v>
      </c>
      <c r="J25" s="6">
        <f>PRODUCT(G25:H25)</f>
        <v>634800</v>
      </c>
      <c r="K25" s="6">
        <f>H25/G25</f>
        <v>0.33333333333333331</v>
      </c>
      <c r="L25" s="6">
        <f>AVERAGE(G25:H25)</f>
        <v>920</v>
      </c>
      <c r="M25" s="6">
        <f>MAX(A25:K25)</f>
        <v>634800</v>
      </c>
      <c r="N25" s="6">
        <f>MIN(A25:M25)</f>
        <v>0.33333333333333331</v>
      </c>
    </row>
    <row r="26" spans="1:14" thickTop="1" thickBot="1" x14ac:dyDescent="0.4">
      <c r="A26" s="5">
        <f>A25+5</f>
        <v>120</v>
      </c>
      <c r="B26" s="6">
        <f>B25+5</f>
        <v>120</v>
      </c>
      <c r="C26" s="6">
        <f>A26+B26</f>
        <v>240</v>
      </c>
      <c r="D26" s="6">
        <f>SUM(A26,B26,C26)</f>
        <v>480</v>
      </c>
      <c r="E26" s="6">
        <f>SUM(A26:D26)</f>
        <v>960</v>
      </c>
      <c r="F26" s="6">
        <f>SUM(D26+E26)</f>
        <v>1440</v>
      </c>
      <c r="G26" s="6">
        <f>SUM(D26,E26)</f>
        <v>1440</v>
      </c>
      <c r="H26" s="6">
        <f>E26-D26</f>
        <v>480</v>
      </c>
      <c r="I26" s="6">
        <f>G26*H26</f>
        <v>691200</v>
      </c>
      <c r="J26" s="6">
        <f>PRODUCT(G26:H26)</f>
        <v>691200</v>
      </c>
      <c r="K26" s="6">
        <f>H26/G26</f>
        <v>0.33333333333333331</v>
      </c>
      <c r="L26" s="6">
        <f>AVERAGE(G26:H26)</f>
        <v>960</v>
      </c>
      <c r="M26" s="6">
        <f>MAX(A26:K26)</f>
        <v>691200</v>
      </c>
      <c r="N26" s="6">
        <f>MIN(A26:M26)</f>
        <v>0.33333333333333331</v>
      </c>
    </row>
    <row r="27" spans="1:14" thickTop="1" thickBot="1" x14ac:dyDescent="0.4">
      <c r="A27" s="5">
        <f>A26+5</f>
        <v>125</v>
      </c>
      <c r="B27" s="6">
        <f>B26+5</f>
        <v>125</v>
      </c>
      <c r="C27" s="6">
        <f>A27+B27</f>
        <v>250</v>
      </c>
      <c r="D27" s="6">
        <f>SUM(A27,B27,C27)</f>
        <v>500</v>
      </c>
      <c r="E27" s="6">
        <f>SUM(A27:D27)</f>
        <v>1000</v>
      </c>
      <c r="F27" s="6">
        <f>SUM(D27+E27)</f>
        <v>1500</v>
      </c>
      <c r="G27" s="6">
        <f>SUM(D27,E27)</f>
        <v>1500</v>
      </c>
      <c r="H27" s="6">
        <f>E27-D27</f>
        <v>500</v>
      </c>
      <c r="I27" s="6">
        <f>G27*H27</f>
        <v>750000</v>
      </c>
      <c r="J27" s="6">
        <f>PRODUCT(G27:H27)</f>
        <v>750000</v>
      </c>
      <c r="K27" s="6">
        <f>H27/G27</f>
        <v>0.33333333333333331</v>
      </c>
      <c r="L27" s="6">
        <f>AVERAGE(G27:H27)</f>
        <v>1000</v>
      </c>
      <c r="M27" s="6">
        <f>MAX(A27:K27)</f>
        <v>750000</v>
      </c>
      <c r="N27" s="6">
        <f>MIN(A27:M27)</f>
        <v>0.33333333333333331</v>
      </c>
    </row>
    <row r="28" spans="1:14" thickTop="1" thickBot="1" x14ac:dyDescent="0.4">
      <c r="A28" s="5">
        <f>A27+5</f>
        <v>130</v>
      </c>
      <c r="B28" s="6">
        <f>B27+5</f>
        <v>130</v>
      </c>
      <c r="C28" s="6">
        <f>A28+B28</f>
        <v>260</v>
      </c>
      <c r="D28" s="6">
        <f>SUM(A28,B28,C28)</f>
        <v>520</v>
      </c>
      <c r="E28" s="6">
        <f>SUM(A28:D28)</f>
        <v>1040</v>
      </c>
      <c r="F28" s="6">
        <f>SUM(D28+E28)</f>
        <v>1560</v>
      </c>
      <c r="G28" s="6">
        <f>SUM(D28,E28)</f>
        <v>1560</v>
      </c>
      <c r="H28" s="6">
        <f>E28-D28</f>
        <v>520</v>
      </c>
      <c r="I28" s="6">
        <f>G28*H28</f>
        <v>811200</v>
      </c>
      <c r="J28" s="6">
        <f>PRODUCT(G28:H28)</f>
        <v>811200</v>
      </c>
      <c r="K28" s="6">
        <f>H28/G28</f>
        <v>0.33333333333333331</v>
      </c>
      <c r="L28" s="6">
        <f>AVERAGE(G28:H28)</f>
        <v>1040</v>
      </c>
      <c r="M28" s="6">
        <f>MAX(A28:K28)</f>
        <v>811200</v>
      </c>
      <c r="N28" s="6">
        <f>MIN(A28:M28)</f>
        <v>0.33333333333333331</v>
      </c>
    </row>
    <row r="29" spans="1:14" thickTop="1" thickBot="1" x14ac:dyDescent="0.4">
      <c r="A29" s="5">
        <f>A28+5</f>
        <v>135</v>
      </c>
      <c r="B29" s="6">
        <f>B28+5</f>
        <v>135</v>
      </c>
      <c r="C29" s="6">
        <f>A29+B29</f>
        <v>270</v>
      </c>
      <c r="D29" s="6">
        <f>SUM(A29,B29,C29)</f>
        <v>540</v>
      </c>
      <c r="E29" s="6">
        <f>SUM(A29:D29)</f>
        <v>1080</v>
      </c>
      <c r="F29" s="6">
        <f>SUM(D29+E29)</f>
        <v>1620</v>
      </c>
      <c r="G29" s="6">
        <f>SUM(D29,E29)</f>
        <v>1620</v>
      </c>
      <c r="H29" s="6">
        <f>E29-D29</f>
        <v>540</v>
      </c>
      <c r="I29" s="6">
        <f>G29*H29</f>
        <v>874800</v>
      </c>
      <c r="J29" s="6">
        <f>PRODUCT(G29:H29)</f>
        <v>874800</v>
      </c>
      <c r="K29" s="6">
        <f>H29/G29</f>
        <v>0.33333333333333331</v>
      </c>
      <c r="L29" s="6">
        <f>AVERAGE(G29:H29)</f>
        <v>1080</v>
      </c>
      <c r="M29" s="6">
        <f>MAX(A29:K29)</f>
        <v>874800</v>
      </c>
      <c r="N29" s="6">
        <f>MIN(A29:M29)</f>
        <v>0.33333333333333331</v>
      </c>
    </row>
    <row r="30" spans="1:14" thickTop="1" thickBot="1" x14ac:dyDescent="0.4">
      <c r="A30" s="5">
        <f>A29+5</f>
        <v>140</v>
      </c>
      <c r="B30" s="6">
        <f>B29+5</f>
        <v>140</v>
      </c>
      <c r="C30" s="6">
        <f>A30+B30</f>
        <v>280</v>
      </c>
      <c r="D30" s="6">
        <f>SUM(A30,B30,C30)</f>
        <v>560</v>
      </c>
      <c r="E30" s="6">
        <f>SUM(A30:D30)</f>
        <v>1120</v>
      </c>
      <c r="F30" s="6">
        <f>SUM(D30+E30)</f>
        <v>1680</v>
      </c>
      <c r="G30" s="6">
        <f>SUM(D30,E30)</f>
        <v>1680</v>
      </c>
      <c r="H30" s="6">
        <f>E30-D30</f>
        <v>560</v>
      </c>
      <c r="I30" s="6">
        <f>G30*H30</f>
        <v>940800</v>
      </c>
      <c r="J30" s="6">
        <f>PRODUCT(G30:H30)</f>
        <v>940800</v>
      </c>
      <c r="K30" s="6">
        <f>H30/G30</f>
        <v>0.33333333333333331</v>
      </c>
      <c r="L30" s="6">
        <f>AVERAGE(G30:H30)</f>
        <v>1120</v>
      </c>
      <c r="M30" s="6">
        <f>MAX(A30:K30)</f>
        <v>940800</v>
      </c>
      <c r="N30" s="6">
        <f>MIN(A30:M30)</f>
        <v>0.33333333333333331</v>
      </c>
    </row>
    <row r="31" spans="1:14" thickTop="1" thickBot="1" x14ac:dyDescent="0.4">
      <c r="A31" s="5">
        <f>A30+5</f>
        <v>145</v>
      </c>
      <c r="B31" s="6">
        <f>B30+5</f>
        <v>145</v>
      </c>
      <c r="C31" s="6">
        <f>A31+B31</f>
        <v>290</v>
      </c>
      <c r="D31" s="6">
        <f>SUM(A31,B31,C31)</f>
        <v>580</v>
      </c>
      <c r="E31" s="6">
        <f>SUM(A31:D31)</f>
        <v>1160</v>
      </c>
      <c r="F31" s="6">
        <f>SUM(D31+E31)</f>
        <v>1740</v>
      </c>
      <c r="G31" s="6">
        <f>SUM(D31,E31)</f>
        <v>1740</v>
      </c>
      <c r="H31" s="6">
        <f>E31-D31</f>
        <v>580</v>
      </c>
      <c r="I31" s="6">
        <f>G31*H31</f>
        <v>1009200</v>
      </c>
      <c r="J31" s="6">
        <f>PRODUCT(G31:H31)</f>
        <v>1009200</v>
      </c>
      <c r="K31" s="6">
        <f>H31/G31</f>
        <v>0.33333333333333331</v>
      </c>
      <c r="L31" s="6">
        <f>AVERAGE(G31:H31)</f>
        <v>1160</v>
      </c>
      <c r="M31" s="6">
        <f>MAX(A31:K31)</f>
        <v>1009200</v>
      </c>
      <c r="N31" s="6">
        <f>MIN(A31:M31)</f>
        <v>0.33333333333333331</v>
      </c>
    </row>
    <row r="32" spans="1:14" thickTop="1" thickBot="1" x14ac:dyDescent="0.4">
      <c r="A32" s="5">
        <f>A31+5</f>
        <v>150</v>
      </c>
      <c r="B32" s="6">
        <f>B31+5</f>
        <v>150</v>
      </c>
      <c r="C32" s="6">
        <f>A32+B32</f>
        <v>300</v>
      </c>
      <c r="D32" s="6">
        <f>SUM(A32,B32,C32)</f>
        <v>600</v>
      </c>
      <c r="E32" s="6">
        <f>SUM(A32:D32)</f>
        <v>1200</v>
      </c>
      <c r="F32" s="6">
        <f>SUM(D32+E32)</f>
        <v>1800</v>
      </c>
      <c r="G32" s="6">
        <f>SUM(D32,E32)</f>
        <v>1800</v>
      </c>
      <c r="H32" s="6">
        <f>E32-D32</f>
        <v>600</v>
      </c>
      <c r="I32" s="6">
        <f>G32*H32</f>
        <v>1080000</v>
      </c>
      <c r="J32" s="6">
        <f>PRODUCT(G32:H32)</f>
        <v>1080000</v>
      </c>
      <c r="K32" s="6">
        <f>H32/G32</f>
        <v>0.33333333333333331</v>
      </c>
      <c r="L32" s="6">
        <f>AVERAGE(G32:H32)</f>
        <v>1200</v>
      </c>
      <c r="M32" s="6">
        <f>MAX(A32:K32)</f>
        <v>1080000</v>
      </c>
      <c r="N32" s="6">
        <f>MIN(A32:M32)</f>
        <v>0.33333333333333331</v>
      </c>
    </row>
    <row r="33" spans="1:14" thickTop="1" thickBot="1" x14ac:dyDescent="0.4">
      <c r="A33" s="5">
        <f>A32+5</f>
        <v>155</v>
      </c>
      <c r="B33" s="6">
        <f>B32+5</f>
        <v>155</v>
      </c>
      <c r="C33" s="6">
        <f>A33+B33</f>
        <v>310</v>
      </c>
      <c r="D33" s="6">
        <f>SUM(A33,B33,C33)</f>
        <v>620</v>
      </c>
      <c r="E33" s="6">
        <f>SUM(A33:D33)</f>
        <v>1240</v>
      </c>
      <c r="F33" s="6">
        <f>SUM(D33+E33)</f>
        <v>1860</v>
      </c>
      <c r="G33" s="6">
        <f>SUM(D33,E33)</f>
        <v>1860</v>
      </c>
      <c r="H33" s="6">
        <f>E33-D33</f>
        <v>620</v>
      </c>
      <c r="I33" s="6">
        <f>G33*H33</f>
        <v>1153200</v>
      </c>
      <c r="J33" s="6">
        <f>PRODUCT(G33:H33)</f>
        <v>1153200</v>
      </c>
      <c r="K33" s="6">
        <f>H33/G33</f>
        <v>0.33333333333333331</v>
      </c>
      <c r="L33" s="6">
        <f>AVERAGE(G33:H33)</f>
        <v>1240</v>
      </c>
      <c r="M33" s="6">
        <f>MAX(A33:K33)</f>
        <v>1153200</v>
      </c>
      <c r="N33" s="6">
        <f>MIN(A33:M33)</f>
        <v>0.33333333333333331</v>
      </c>
    </row>
    <row r="34" spans="1:14" thickTop="1" thickBot="1" x14ac:dyDescent="0.4">
      <c r="A34" s="5">
        <f>A33+5</f>
        <v>160</v>
      </c>
      <c r="B34" s="6">
        <f>B33+5</f>
        <v>160</v>
      </c>
      <c r="C34" s="6">
        <f>A34+B34</f>
        <v>320</v>
      </c>
      <c r="D34" s="6">
        <f>SUM(A34,B34,C34)</f>
        <v>640</v>
      </c>
      <c r="E34" s="6">
        <f>SUM(A34:D34)</f>
        <v>1280</v>
      </c>
      <c r="F34" s="6">
        <f>SUM(D34+E34)</f>
        <v>1920</v>
      </c>
      <c r="G34" s="6">
        <f>SUM(D34,E34)</f>
        <v>1920</v>
      </c>
      <c r="H34" s="6">
        <f>E34-D34</f>
        <v>640</v>
      </c>
      <c r="I34" s="6">
        <f>G34*H34</f>
        <v>1228800</v>
      </c>
      <c r="J34" s="6">
        <f>PRODUCT(G34:H34)</f>
        <v>1228800</v>
      </c>
      <c r="K34" s="6">
        <f>H34/G34</f>
        <v>0.33333333333333331</v>
      </c>
      <c r="L34" s="6">
        <f>AVERAGE(G34:H34)</f>
        <v>1280</v>
      </c>
      <c r="M34" s="6">
        <f>MAX(A34:K34)</f>
        <v>1228800</v>
      </c>
      <c r="N34" s="6">
        <f>MIN(A34:M34)</f>
        <v>0.33333333333333331</v>
      </c>
    </row>
    <row r="35" spans="1:14" thickTop="1" thickBot="1" x14ac:dyDescent="0.4">
      <c r="A35" s="5">
        <f>A34+5</f>
        <v>165</v>
      </c>
      <c r="B35" s="6">
        <f>B34+5</f>
        <v>165</v>
      </c>
      <c r="C35" s="6">
        <f>A35+B35</f>
        <v>330</v>
      </c>
      <c r="D35" s="6">
        <f>SUM(A35,B35,C35)</f>
        <v>660</v>
      </c>
      <c r="E35" s="6">
        <f>SUM(A35:D35)</f>
        <v>1320</v>
      </c>
      <c r="F35" s="6">
        <f>SUM(D35+E35)</f>
        <v>1980</v>
      </c>
      <c r="G35" s="6">
        <f>SUM(D35,E35)</f>
        <v>1980</v>
      </c>
      <c r="H35" s="6">
        <f>E35-D35</f>
        <v>660</v>
      </c>
      <c r="I35" s="6">
        <f>G35*H35</f>
        <v>1306800</v>
      </c>
      <c r="J35" s="6">
        <f>PRODUCT(G35:H35)</f>
        <v>1306800</v>
      </c>
      <c r="K35" s="6">
        <f>H35/G35</f>
        <v>0.33333333333333331</v>
      </c>
      <c r="L35" s="6">
        <f>AVERAGE(G35:H35)</f>
        <v>1320</v>
      </c>
      <c r="M35" s="6">
        <f>MAX(A35:K35)</f>
        <v>1306800</v>
      </c>
      <c r="N35" s="6">
        <f>MIN(A35:M35)</f>
        <v>0.33333333333333331</v>
      </c>
    </row>
    <row r="36" spans="1:14" thickTop="1" thickBot="1" x14ac:dyDescent="0.4">
      <c r="A36" s="5">
        <f>A35+5</f>
        <v>170</v>
      </c>
      <c r="B36" s="6">
        <f>B35+5</f>
        <v>170</v>
      </c>
      <c r="C36" s="6">
        <f>A36+B36</f>
        <v>340</v>
      </c>
      <c r="D36" s="6">
        <f>SUM(A36,B36,C36)</f>
        <v>680</v>
      </c>
      <c r="E36" s="6">
        <f>SUM(A36:D36)</f>
        <v>1360</v>
      </c>
      <c r="F36" s="6">
        <f>SUM(D36+E36)</f>
        <v>2040</v>
      </c>
      <c r="G36" s="6">
        <f>SUM(D36,E36)</f>
        <v>2040</v>
      </c>
      <c r="H36" s="6">
        <f>E36-D36</f>
        <v>680</v>
      </c>
      <c r="I36" s="6">
        <f>G36*H36</f>
        <v>1387200</v>
      </c>
      <c r="J36" s="6">
        <f>PRODUCT(G36:H36)</f>
        <v>1387200</v>
      </c>
      <c r="K36" s="6">
        <f>H36/G36</f>
        <v>0.33333333333333331</v>
      </c>
      <c r="L36" s="6">
        <f>AVERAGE(G36:H36)</f>
        <v>1360</v>
      </c>
      <c r="M36" s="6">
        <f>MAX(A36:K36)</f>
        <v>1387200</v>
      </c>
      <c r="N36" s="6">
        <f>MIN(A36:M36)</f>
        <v>0.33333333333333331</v>
      </c>
    </row>
    <row r="37" spans="1:14" thickTop="1" thickBot="1" x14ac:dyDescent="0.4">
      <c r="A37" s="5">
        <f>A36+5</f>
        <v>175</v>
      </c>
      <c r="B37" s="6">
        <f>B36+5</f>
        <v>175</v>
      </c>
      <c r="C37" s="6">
        <f>A37+B37</f>
        <v>350</v>
      </c>
      <c r="D37" s="6">
        <f>SUM(A37,B37,C37)</f>
        <v>700</v>
      </c>
      <c r="E37" s="6">
        <f>SUM(A37:D37)</f>
        <v>1400</v>
      </c>
      <c r="F37" s="6">
        <f>SUM(D37+E37)</f>
        <v>2100</v>
      </c>
      <c r="G37" s="6">
        <f>SUM(D37,E37)</f>
        <v>2100</v>
      </c>
      <c r="H37" s="6">
        <f>E37-D37</f>
        <v>700</v>
      </c>
      <c r="I37" s="6">
        <f>G37*H37</f>
        <v>1470000</v>
      </c>
      <c r="J37" s="6">
        <f>PRODUCT(G37:H37)</f>
        <v>1470000</v>
      </c>
      <c r="K37" s="6">
        <f>H37/G37</f>
        <v>0.33333333333333331</v>
      </c>
      <c r="L37" s="6">
        <f>AVERAGE(G37:H37)</f>
        <v>1400</v>
      </c>
      <c r="M37" s="6">
        <f>MAX(A37:K37)</f>
        <v>1470000</v>
      </c>
      <c r="N37" s="6">
        <f>MIN(A37:M37)</f>
        <v>0.33333333333333331</v>
      </c>
    </row>
    <row r="38" spans="1:14" thickTop="1" thickBot="1" x14ac:dyDescent="0.4">
      <c r="A38" s="5">
        <f>A37+5</f>
        <v>180</v>
      </c>
      <c r="B38" s="6">
        <f>B37+5</f>
        <v>180</v>
      </c>
      <c r="C38" s="6">
        <f>A38+B38</f>
        <v>360</v>
      </c>
      <c r="D38" s="6">
        <f>SUM(A38,B38,C38)</f>
        <v>720</v>
      </c>
      <c r="E38" s="6">
        <f>SUM(A38:D38)</f>
        <v>1440</v>
      </c>
      <c r="F38" s="6">
        <f>SUM(D38+E38)</f>
        <v>2160</v>
      </c>
      <c r="G38" s="6">
        <f>SUM(D38,E38)</f>
        <v>2160</v>
      </c>
      <c r="H38" s="6">
        <f>E38-D38</f>
        <v>720</v>
      </c>
      <c r="I38" s="6">
        <f>G38*H38</f>
        <v>1555200</v>
      </c>
      <c r="J38" s="6">
        <f>PRODUCT(G38:H38)</f>
        <v>1555200</v>
      </c>
      <c r="K38" s="6">
        <f>H38/G38</f>
        <v>0.33333333333333331</v>
      </c>
      <c r="L38" s="6">
        <f>AVERAGE(G38:H38)</f>
        <v>1440</v>
      </c>
      <c r="M38" s="6">
        <f>MAX(A38:K38)</f>
        <v>1555200</v>
      </c>
      <c r="N38" s="6">
        <f>MIN(A38:M38)</f>
        <v>0.33333333333333331</v>
      </c>
    </row>
    <row r="39" spans="1:14" thickTop="1" thickBot="1" x14ac:dyDescent="0.4">
      <c r="A39" s="5">
        <f>A38+5</f>
        <v>185</v>
      </c>
      <c r="B39" s="6">
        <f>B38+5</f>
        <v>185</v>
      </c>
      <c r="C39" s="6">
        <f>A39+B39</f>
        <v>370</v>
      </c>
      <c r="D39" s="6">
        <f>SUM(A39,B39,C39)</f>
        <v>740</v>
      </c>
      <c r="E39" s="6">
        <f>SUM(A39:D39)</f>
        <v>1480</v>
      </c>
      <c r="F39" s="6">
        <f>SUM(D39+E39)</f>
        <v>2220</v>
      </c>
      <c r="G39" s="6">
        <f>SUM(D39,E39)</f>
        <v>2220</v>
      </c>
      <c r="H39" s="6">
        <f>E39-D39</f>
        <v>740</v>
      </c>
      <c r="I39" s="6">
        <f>G39*H39</f>
        <v>1642800</v>
      </c>
      <c r="J39" s="6">
        <f>PRODUCT(G39:H39)</f>
        <v>1642800</v>
      </c>
      <c r="K39" s="6">
        <f>H39/G39</f>
        <v>0.33333333333333331</v>
      </c>
      <c r="L39" s="6">
        <f>AVERAGE(G39:H39)</f>
        <v>1480</v>
      </c>
      <c r="M39" s="6">
        <f>MAX(A39:K39)</f>
        <v>1642800</v>
      </c>
      <c r="N39" s="6">
        <f>MIN(A39:M39)</f>
        <v>0.33333333333333331</v>
      </c>
    </row>
    <row r="40" spans="1:14" thickTop="1" thickBot="1" x14ac:dyDescent="0.4">
      <c r="A40" s="5">
        <f>A39+5</f>
        <v>190</v>
      </c>
      <c r="B40" s="6">
        <f>B39+5</f>
        <v>190</v>
      </c>
      <c r="C40" s="6">
        <f>A40+B40</f>
        <v>380</v>
      </c>
      <c r="D40" s="6">
        <f>SUM(A40,B40,C40)</f>
        <v>760</v>
      </c>
      <c r="E40" s="6">
        <f>SUM(A40:D40)</f>
        <v>1520</v>
      </c>
      <c r="F40" s="6">
        <f>SUM(D40+E40)</f>
        <v>2280</v>
      </c>
      <c r="G40" s="6">
        <f>SUM(D40,E40)</f>
        <v>2280</v>
      </c>
      <c r="H40" s="6">
        <f>E40-D40</f>
        <v>760</v>
      </c>
      <c r="I40" s="6">
        <f>G40*H40</f>
        <v>1732800</v>
      </c>
      <c r="J40" s="6">
        <f>PRODUCT(G40:H40)</f>
        <v>1732800</v>
      </c>
      <c r="K40" s="6">
        <f>H40/G40</f>
        <v>0.33333333333333331</v>
      </c>
      <c r="L40" s="6">
        <f>AVERAGE(G40:H40)</f>
        <v>1520</v>
      </c>
      <c r="M40" s="6">
        <f>MAX(A40:K40)</f>
        <v>1732800</v>
      </c>
      <c r="N40" s="6">
        <f>MIN(A40:M40)</f>
        <v>0.33333333333333331</v>
      </c>
    </row>
    <row r="41" spans="1:14" thickTop="1" thickBot="1" x14ac:dyDescent="0.4">
      <c r="A41" s="5">
        <f>A40+5</f>
        <v>195</v>
      </c>
      <c r="B41" s="6">
        <f>B40+5</f>
        <v>195</v>
      </c>
      <c r="C41" s="6">
        <f>A41+B41</f>
        <v>390</v>
      </c>
      <c r="D41" s="6">
        <f>SUM(A41,B41,C41)</f>
        <v>780</v>
      </c>
      <c r="E41" s="6">
        <f>SUM(A41:D41)</f>
        <v>1560</v>
      </c>
      <c r="F41" s="6">
        <f>SUM(D41+E41)</f>
        <v>2340</v>
      </c>
      <c r="G41" s="6">
        <f>SUM(D41,E41)</f>
        <v>2340</v>
      </c>
      <c r="H41" s="6">
        <f>E41-D41</f>
        <v>780</v>
      </c>
      <c r="I41" s="6">
        <f>G41*H41</f>
        <v>1825200</v>
      </c>
      <c r="J41" s="6">
        <f>PRODUCT(G41:H41)</f>
        <v>1825200</v>
      </c>
      <c r="K41" s="6">
        <f>H41/G41</f>
        <v>0.33333333333333331</v>
      </c>
      <c r="L41" s="6">
        <f>AVERAGE(G41:H41)</f>
        <v>1560</v>
      </c>
      <c r="M41" s="6">
        <f>MAX(A41:K41)</f>
        <v>1825200</v>
      </c>
      <c r="N41" s="6">
        <f>MIN(A41:M41)</f>
        <v>0.33333333333333331</v>
      </c>
    </row>
    <row r="42" spans="1:14" thickTop="1" thickBot="1" x14ac:dyDescent="0.4">
      <c r="A42" s="5">
        <f>A41+5</f>
        <v>200</v>
      </c>
      <c r="B42" s="6">
        <f>B41+5</f>
        <v>200</v>
      </c>
      <c r="C42" s="6">
        <f>A42+B42</f>
        <v>400</v>
      </c>
      <c r="D42" s="6">
        <f>SUM(A42,B42,C42)</f>
        <v>800</v>
      </c>
      <c r="E42" s="6">
        <f>SUM(A42:D42)</f>
        <v>1600</v>
      </c>
      <c r="F42" s="6">
        <f>SUM(D42+E42)</f>
        <v>2400</v>
      </c>
      <c r="G42" s="6">
        <f>SUM(D42,E42)</f>
        <v>2400</v>
      </c>
      <c r="H42" s="6">
        <f>E42-D42</f>
        <v>800</v>
      </c>
      <c r="I42" s="6">
        <f>G42*H42</f>
        <v>1920000</v>
      </c>
      <c r="J42" s="6">
        <f>PRODUCT(G42:H42)</f>
        <v>1920000</v>
      </c>
      <c r="K42" s="6">
        <f>H42/G42</f>
        <v>0.33333333333333331</v>
      </c>
      <c r="L42" s="6">
        <f>AVERAGE(G42:H42)</f>
        <v>1600</v>
      </c>
      <c r="M42" s="6">
        <f>MAX(A42:K42)</f>
        <v>1920000</v>
      </c>
      <c r="N42" s="6">
        <f>MIN(A42:M42)</f>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57B0-DD48-4A66-9D86-10BFE1CE6A34}">
  <sheetPr codeName="Sheet3"/>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19" t="s">
        <v>1</v>
      </c>
      <c r="C1" s="20" t="s">
        <v>461</v>
      </c>
      <c r="D1" s="20" t="s">
        <v>462</v>
      </c>
      <c r="E1" s="20" t="s">
        <v>463</v>
      </c>
      <c r="F1" s="20" t="s">
        <v>464</v>
      </c>
      <c r="G1" s="20" t="s">
        <v>465</v>
      </c>
      <c r="H1" s="20" t="s">
        <v>466</v>
      </c>
      <c r="I1" s="21" t="s">
        <v>467</v>
      </c>
    </row>
    <row r="2" spans="2:9" ht="33" thickTop="1" thickBot="1" x14ac:dyDescent="0.55000000000000004">
      <c r="B2" s="22" t="s">
        <v>41</v>
      </c>
      <c r="C2" s="23" t="s">
        <v>468</v>
      </c>
      <c r="D2" s="23">
        <f ca="1">RANDBETWEEN(0,100)</f>
        <v>23</v>
      </c>
      <c r="E2" s="23">
        <f ca="1">RANDBETWEEN(0,100)</f>
        <v>6</v>
      </c>
      <c r="F2" s="23"/>
      <c r="G2" s="26">
        <f ca="1">COUNT(C2:F2)</f>
        <v>2</v>
      </c>
      <c r="H2" s="26">
        <f ca="1">COUNTA(C2:F2)</f>
        <v>3</v>
      </c>
      <c r="I2" s="27">
        <f ca="1">COUNTBLANK(C2:F2)</f>
        <v>1</v>
      </c>
    </row>
    <row r="3" spans="2:9" ht="33" thickTop="1" thickBot="1" x14ac:dyDescent="0.55000000000000004">
      <c r="B3" s="22" t="s">
        <v>89</v>
      </c>
      <c r="C3" s="23">
        <f ca="1">RANDBETWEEN(0,100)</f>
        <v>22</v>
      </c>
      <c r="D3" s="23">
        <f ca="1">RANDBETWEEN(0,100)</f>
        <v>9</v>
      </c>
      <c r="E3" s="23"/>
      <c r="F3" s="23">
        <f ca="1">RANDBETWEEN(0,100)</f>
        <v>21</v>
      </c>
      <c r="G3" s="26">
        <f ca="1">COUNT(C3:F3)</f>
        <v>3</v>
      </c>
      <c r="H3" s="26">
        <f ca="1">COUNTA(C3:F3)</f>
        <v>3</v>
      </c>
      <c r="I3" s="27">
        <f ca="1">COUNTBLANK(C3:F3)</f>
        <v>1</v>
      </c>
    </row>
    <row r="4" spans="2:9" ht="33" thickTop="1" thickBot="1" x14ac:dyDescent="0.55000000000000004">
      <c r="B4" s="22" t="s">
        <v>105</v>
      </c>
      <c r="C4" s="23"/>
      <c r="D4" s="23">
        <f ca="1">RANDBETWEEN(0,100)</f>
        <v>74</v>
      </c>
      <c r="E4" s="23">
        <f ca="1">RANDBETWEEN(0,100)</f>
        <v>90</v>
      </c>
      <c r="F4" s="23"/>
      <c r="G4" s="26">
        <f ca="1">COUNT(C4:F4)</f>
        <v>2</v>
      </c>
      <c r="H4" s="26">
        <f ca="1">COUNTA(C4:F4)</f>
        <v>2</v>
      </c>
      <c r="I4" s="27">
        <f ca="1">COUNTBLANK(C4:F4)</f>
        <v>2</v>
      </c>
    </row>
    <row r="5" spans="2:9" ht="33" thickTop="1" thickBot="1" x14ac:dyDescent="0.55000000000000004">
      <c r="B5" s="22" t="s">
        <v>59</v>
      </c>
      <c r="C5" s="23">
        <f ca="1">RANDBETWEEN(0,100)</f>
        <v>76</v>
      </c>
      <c r="D5" s="23">
        <f ca="1">RANDBETWEEN(0,100)</f>
        <v>7</v>
      </c>
      <c r="E5" s="23"/>
      <c r="F5" s="23">
        <f ca="1">RANDBETWEEN(0,100)</f>
        <v>21</v>
      </c>
      <c r="G5" s="26">
        <f ca="1">COUNT(C5:F5)</f>
        <v>3</v>
      </c>
      <c r="H5" s="26">
        <f ca="1">COUNTA(C5:F5)</f>
        <v>3</v>
      </c>
      <c r="I5" s="27">
        <f ca="1">COUNTBLANK(C5:F5)</f>
        <v>1</v>
      </c>
    </row>
    <row r="6" spans="2:9" ht="33" thickTop="1" thickBot="1" x14ac:dyDescent="0.55000000000000004">
      <c r="B6" s="22" t="s">
        <v>76</v>
      </c>
      <c r="C6" s="23">
        <f ca="1">RANDBETWEEN(0,100)</f>
        <v>63</v>
      </c>
      <c r="D6" s="23">
        <f ca="1">RANDBETWEEN(0,100)</f>
        <v>87</v>
      </c>
      <c r="E6" s="23"/>
      <c r="F6" s="23">
        <f ca="1">RANDBETWEEN(0,100)</f>
        <v>48</v>
      </c>
      <c r="G6" s="26">
        <f ca="1">COUNT(C6:F6)</f>
        <v>3</v>
      </c>
      <c r="H6" s="26">
        <f ca="1">COUNTA(C6:F6)</f>
        <v>3</v>
      </c>
      <c r="I6" s="27">
        <f ca="1">COUNTBLANK(C6:F6)</f>
        <v>1</v>
      </c>
    </row>
    <row r="7" spans="2:9" ht="33" thickTop="1" thickBot="1" x14ac:dyDescent="0.55000000000000004">
      <c r="B7" s="22" t="s">
        <v>142</v>
      </c>
      <c r="C7" s="23"/>
      <c r="D7" s="23">
        <f ca="1">RANDBETWEEN(0,100)</f>
        <v>3</v>
      </c>
      <c r="E7" s="23">
        <f ca="1">RANDBETWEEN(0,100)</f>
        <v>10</v>
      </c>
      <c r="F7" s="23">
        <f ca="1">RANDBETWEEN(0,100)</f>
        <v>79</v>
      </c>
      <c r="G7" s="26">
        <f ca="1">COUNT(C7:F7)</f>
        <v>3</v>
      </c>
      <c r="H7" s="26">
        <f ca="1">COUNTA(C7:F7)</f>
        <v>3</v>
      </c>
      <c r="I7" s="27">
        <f ca="1">COUNTBLANK(C7:F7)</f>
        <v>1</v>
      </c>
    </row>
    <row r="8" spans="2:9" ht="33" thickTop="1" thickBot="1" x14ac:dyDescent="0.55000000000000004">
      <c r="B8" s="22" t="s">
        <v>152</v>
      </c>
      <c r="C8" s="23">
        <f ca="1">RANDBETWEEN(0,100)</f>
        <v>1</v>
      </c>
      <c r="D8" s="23" t="s">
        <v>468</v>
      </c>
      <c r="E8" s="23" t="s">
        <v>468</v>
      </c>
      <c r="F8" s="23">
        <f ca="1">RANDBETWEEN(0,100)</f>
        <v>43</v>
      </c>
      <c r="G8" s="26">
        <f ca="1">COUNT(C8:F8)</f>
        <v>2</v>
      </c>
      <c r="H8" s="26">
        <f ca="1">COUNTA(C8:F8)</f>
        <v>4</v>
      </c>
      <c r="I8" s="27">
        <f ca="1">COUNTBLANK(C8:F8)</f>
        <v>0</v>
      </c>
    </row>
    <row r="9" spans="2:9" ht="33" thickTop="1" thickBot="1" x14ac:dyDescent="0.55000000000000004">
      <c r="B9" s="22" t="s">
        <v>156</v>
      </c>
      <c r="C9" s="23">
        <f ca="1">RANDBETWEEN(0,100)</f>
        <v>80</v>
      </c>
      <c r="D9" s="23">
        <f ca="1">RANDBETWEEN(0,100)</f>
        <v>16</v>
      </c>
      <c r="E9" s="23">
        <f ca="1">RANDBETWEEN(0,100)</f>
        <v>5</v>
      </c>
      <c r="F9" s="23">
        <f ca="1">RANDBETWEEN(0,100)</f>
        <v>72</v>
      </c>
      <c r="G9" s="26">
        <f ca="1">COUNT(C9:F9)</f>
        <v>4</v>
      </c>
      <c r="H9" s="26">
        <f ca="1">COUNTA(C9:F9)</f>
        <v>4</v>
      </c>
      <c r="I9" s="27">
        <f ca="1">COUNTBLANK(C9:F9)</f>
        <v>0</v>
      </c>
    </row>
    <row r="10" spans="2:9" ht="33" thickTop="1" thickBot="1" x14ac:dyDescent="0.55000000000000004">
      <c r="B10" s="22" t="s">
        <v>164</v>
      </c>
      <c r="C10" s="23">
        <f ca="1">RANDBETWEEN(0,100)</f>
        <v>32</v>
      </c>
      <c r="D10" s="23"/>
      <c r="E10" s="23">
        <f ca="1">RANDBETWEEN(0,100)</f>
        <v>46</v>
      </c>
      <c r="F10" s="23"/>
      <c r="G10" s="26">
        <f ca="1">COUNT(C10:F10)</f>
        <v>2</v>
      </c>
      <c r="H10" s="26">
        <f ca="1">COUNTA(C10:F10)</f>
        <v>2</v>
      </c>
      <c r="I10" s="27">
        <f ca="1">COUNTBLANK(C10:F10)</f>
        <v>2</v>
      </c>
    </row>
    <row r="11" spans="2:9" ht="33" thickTop="1" thickBot="1" x14ac:dyDescent="0.55000000000000004">
      <c r="B11" s="22" t="s">
        <v>171</v>
      </c>
      <c r="C11" s="23">
        <f ca="1">RANDBETWEEN(0,100)</f>
        <v>96</v>
      </c>
      <c r="D11" s="23">
        <f ca="1">RANDBETWEEN(0,100)</f>
        <v>86</v>
      </c>
      <c r="E11" s="23">
        <f ca="1">RANDBETWEEN(0,100)</f>
        <v>30</v>
      </c>
      <c r="F11" s="23">
        <f ca="1">RANDBETWEEN(0,100)</f>
        <v>51</v>
      </c>
      <c r="G11" s="26">
        <f ca="1">COUNT(C11:F11)</f>
        <v>4</v>
      </c>
      <c r="H11" s="26">
        <f ca="1">COUNTA(C11:F11)</f>
        <v>4</v>
      </c>
      <c r="I11" s="27">
        <f ca="1">COUNTBLANK(C11:F11)</f>
        <v>0</v>
      </c>
    </row>
    <row r="12" spans="2:9" ht="33" thickTop="1" thickBot="1" x14ac:dyDescent="0.55000000000000004">
      <c r="B12" s="22" t="s">
        <v>176</v>
      </c>
      <c r="C12" s="23">
        <f ca="1">RANDBETWEEN(0,100)</f>
        <v>30</v>
      </c>
      <c r="D12" s="23">
        <f ca="1">RANDBETWEEN(0,100)</f>
        <v>100</v>
      </c>
      <c r="E12" s="23">
        <f ca="1">RANDBETWEEN(0,100)</f>
        <v>57</v>
      </c>
      <c r="F12" s="23"/>
      <c r="G12" s="26">
        <f ca="1">COUNT(C12:F12)</f>
        <v>3</v>
      </c>
      <c r="H12" s="26">
        <f ca="1">COUNTA(C12:F12)</f>
        <v>3</v>
      </c>
      <c r="I12" s="27">
        <f ca="1">COUNTBLANK(C12:F12)</f>
        <v>1</v>
      </c>
    </row>
    <row r="13" spans="2:9" ht="33" thickTop="1" thickBot="1" x14ac:dyDescent="0.55000000000000004">
      <c r="B13" s="22" t="s">
        <v>181</v>
      </c>
      <c r="C13" s="23">
        <f ca="1">RANDBETWEEN(0,100)</f>
        <v>39</v>
      </c>
      <c r="D13" s="23">
        <f ca="1">RANDBETWEEN(0,100)</f>
        <v>81</v>
      </c>
      <c r="E13" s="23"/>
      <c r="F13" s="23">
        <f ca="1">RANDBETWEEN(0,100)</f>
        <v>59</v>
      </c>
      <c r="G13" s="26">
        <f ca="1">COUNT(C13:F13)</f>
        <v>3</v>
      </c>
      <c r="H13" s="26">
        <f ca="1">COUNTA(C13:F13)</f>
        <v>3</v>
      </c>
      <c r="I13" s="27">
        <f ca="1">COUNTBLANK(C13:F13)</f>
        <v>1</v>
      </c>
    </row>
    <row r="14" spans="2:9" ht="33" thickTop="1" thickBot="1" x14ac:dyDescent="0.55000000000000004">
      <c r="B14" s="22" t="s">
        <v>42</v>
      </c>
      <c r="C14" s="23">
        <f ca="1">RANDBETWEEN(0,100)</f>
        <v>28</v>
      </c>
      <c r="D14" s="23">
        <f ca="1">RANDBETWEEN(0,100)</f>
        <v>46</v>
      </c>
      <c r="E14" s="23" t="s">
        <v>468</v>
      </c>
      <c r="F14" s="23">
        <f ca="1">RANDBETWEEN(0,100)</f>
        <v>4</v>
      </c>
      <c r="G14" s="26">
        <f ca="1">COUNT(C14:F14)</f>
        <v>3</v>
      </c>
      <c r="H14" s="26">
        <f ca="1">COUNTA(C14:F14)</f>
        <v>4</v>
      </c>
      <c r="I14" s="27">
        <f ca="1">COUNTBLANK(C14:F14)</f>
        <v>0</v>
      </c>
    </row>
    <row r="15" spans="2:9" ht="33" thickTop="1" thickBot="1" x14ac:dyDescent="0.55000000000000004">
      <c r="B15" s="24" t="s">
        <v>196</v>
      </c>
      <c r="C15" s="25" t="s">
        <v>468</v>
      </c>
      <c r="D15" s="25"/>
      <c r="E15" s="25">
        <f ca="1">RANDBETWEEN(0,100)</f>
        <v>18</v>
      </c>
      <c r="F15" s="25" t="s">
        <v>468</v>
      </c>
      <c r="G15" s="26">
        <f ca="1">COUNT(C15:F15)</f>
        <v>1</v>
      </c>
      <c r="H15" s="26">
        <f ca="1">COUNTA(C15:F15)</f>
        <v>3</v>
      </c>
      <c r="I15" s="27">
        <f ca="1">COUNTBLANK(C15:F15)</f>
        <v>1</v>
      </c>
    </row>
    <row r="16" spans="2:9" ht="29.25" thickTop="1" x14ac:dyDescent="0.45">
      <c r="B16" s="190"/>
      <c r="C16" s="190"/>
      <c r="D16" s="190"/>
      <c r="E16" s="190"/>
      <c r="F16" s="190"/>
    </row>
    <row r="17" spans="2:6" ht="28.5" x14ac:dyDescent="0.45">
      <c r="B17" s="190"/>
      <c r="C17" s="190"/>
      <c r="D17" s="190"/>
      <c r="E17" s="190"/>
      <c r="F17" s="190"/>
    </row>
    <row r="18" spans="2:6" ht="28.5" x14ac:dyDescent="0.45">
      <c r="B18" s="190"/>
      <c r="C18" s="190"/>
      <c r="D18" s="190"/>
      <c r="E18" s="190"/>
      <c r="F18" s="190"/>
    </row>
    <row r="19" spans="2:6" ht="28.5" x14ac:dyDescent="0.45">
      <c r="B19" s="190"/>
      <c r="C19" s="190"/>
      <c r="D19" s="190"/>
      <c r="E19" s="190"/>
      <c r="F19" s="190"/>
    </row>
    <row r="20" spans="2:6" ht="28.5" x14ac:dyDescent="0.45">
      <c r="B20" s="190"/>
      <c r="C20" s="190"/>
      <c r="D20" s="190"/>
      <c r="E20" s="190"/>
      <c r="F20" s="190"/>
    </row>
    <row r="21" spans="2:6" ht="28.5" x14ac:dyDescent="0.45">
      <c r="B21" s="190"/>
      <c r="C21" s="190"/>
      <c r="D21" s="190"/>
      <c r="E21" s="190"/>
      <c r="F21" s="190"/>
    </row>
    <row r="22" spans="2:6" ht="28.5" x14ac:dyDescent="0.45">
      <c r="B22" s="190"/>
      <c r="C22" s="190"/>
      <c r="D22" s="190"/>
      <c r="E22" s="190"/>
      <c r="F22" s="190"/>
    </row>
    <row r="23" spans="2:6" ht="28.5" x14ac:dyDescent="0.45">
      <c r="B23" s="190"/>
      <c r="C23" s="190"/>
      <c r="D23" s="190"/>
      <c r="E23" s="190"/>
      <c r="F23" s="190"/>
    </row>
    <row r="24" spans="2:6" ht="28.5" x14ac:dyDescent="0.45">
      <c r="B24" s="190"/>
      <c r="C24" s="190"/>
      <c r="D24" s="190"/>
      <c r="E24" s="190"/>
      <c r="F24" s="190"/>
    </row>
    <row r="25" spans="2:6" ht="28.5" x14ac:dyDescent="0.45">
      <c r="B25" s="190"/>
      <c r="C25" s="190"/>
      <c r="D25" s="190"/>
      <c r="E25" s="190"/>
      <c r="F25" s="190"/>
    </row>
    <row r="26" spans="2:6" ht="28.5" x14ac:dyDescent="0.45">
      <c r="B26" s="190"/>
      <c r="C26" s="190"/>
      <c r="D26" s="190"/>
      <c r="E26" s="190"/>
      <c r="F26" s="190"/>
    </row>
    <row r="27" spans="2:6" ht="28.5" x14ac:dyDescent="0.45">
      <c r="B27" s="190"/>
      <c r="C27" s="190"/>
      <c r="D27" s="190"/>
      <c r="E27" s="190"/>
      <c r="F27" s="190"/>
    </row>
    <row r="28" spans="2:6" ht="28.5" x14ac:dyDescent="0.45">
      <c r="B28" s="190"/>
      <c r="C28" s="190"/>
      <c r="D28" s="190"/>
      <c r="E28" s="190"/>
      <c r="F28" s="190"/>
    </row>
    <row r="29" spans="2:6" ht="28.5" x14ac:dyDescent="0.45">
      <c r="B29" s="190"/>
      <c r="C29" s="190"/>
      <c r="D29" s="190"/>
      <c r="E29" s="190"/>
      <c r="F29" s="190"/>
    </row>
    <row r="30" spans="2:6" ht="28.5" x14ac:dyDescent="0.45">
      <c r="B30" s="190"/>
      <c r="C30" s="190"/>
      <c r="D30" s="190"/>
      <c r="E30" s="190"/>
      <c r="F30" s="190"/>
    </row>
    <row r="31" spans="2:6" ht="28.5" x14ac:dyDescent="0.45">
      <c r="B31" s="190"/>
      <c r="C31" s="190"/>
      <c r="D31" s="190"/>
      <c r="E31" s="190"/>
      <c r="F31" s="190"/>
    </row>
    <row r="32" spans="2:6" ht="28.5" x14ac:dyDescent="0.45">
      <c r="B32" s="190"/>
      <c r="C32" s="190"/>
      <c r="D32" s="190"/>
      <c r="E32" s="190"/>
      <c r="F32" s="190"/>
    </row>
    <row r="33" spans="2:6" ht="28.5" x14ac:dyDescent="0.45">
      <c r="B33" s="190"/>
      <c r="C33" s="190"/>
      <c r="D33" s="190"/>
      <c r="E33" s="190"/>
      <c r="F33" s="190"/>
    </row>
    <row r="34" spans="2:6" ht="28.5" x14ac:dyDescent="0.45">
      <c r="B34" s="190"/>
      <c r="C34" s="190"/>
      <c r="D34" s="190"/>
      <c r="E34" s="190"/>
      <c r="F34" s="190"/>
    </row>
    <row r="35" spans="2:6" ht="28.5" x14ac:dyDescent="0.45">
      <c r="B35" s="190"/>
      <c r="C35" s="190"/>
      <c r="D35" s="190"/>
      <c r="E35" s="190"/>
      <c r="F35" s="190"/>
    </row>
    <row r="36" spans="2:6" ht="28.5" x14ac:dyDescent="0.45">
      <c r="B36" s="190"/>
      <c r="C36" s="190"/>
      <c r="D36" s="190"/>
      <c r="E36" s="190"/>
      <c r="F36" s="190"/>
    </row>
    <row r="37" spans="2:6" ht="28.5" x14ac:dyDescent="0.45">
      <c r="B37" s="190"/>
      <c r="C37" s="190"/>
      <c r="D37" s="190"/>
      <c r="E37" s="190"/>
      <c r="F37" s="190"/>
    </row>
    <row r="38" spans="2:6" ht="28.5" x14ac:dyDescent="0.45">
      <c r="B38" s="190"/>
      <c r="C38" s="190"/>
      <c r="D38" s="190"/>
      <c r="E38" s="190"/>
      <c r="F38" s="190"/>
    </row>
    <row r="39" spans="2:6" ht="28.5" x14ac:dyDescent="0.45">
      <c r="B39" s="190"/>
      <c r="C39" s="190"/>
      <c r="D39" s="190"/>
      <c r="E39" s="190"/>
      <c r="F39" s="190"/>
    </row>
    <row r="40" spans="2:6" ht="28.5" x14ac:dyDescent="0.45">
      <c r="B40" s="190"/>
      <c r="C40" s="190"/>
      <c r="D40" s="190"/>
      <c r="E40" s="190"/>
      <c r="F40" s="190"/>
    </row>
    <row r="41" spans="2:6" ht="28.5" x14ac:dyDescent="0.45">
      <c r="B41" s="190"/>
      <c r="C41" s="190"/>
      <c r="D41" s="190"/>
      <c r="E41" s="190"/>
      <c r="F41" s="190"/>
    </row>
    <row r="42" spans="2:6" ht="28.5" x14ac:dyDescent="0.45">
      <c r="B42" s="190"/>
      <c r="C42" s="190"/>
      <c r="D42" s="190"/>
      <c r="E42" s="190"/>
      <c r="F42" s="190"/>
    </row>
    <row r="43" spans="2:6" ht="28.5" x14ac:dyDescent="0.45">
      <c r="B43" s="190"/>
      <c r="C43" s="190"/>
      <c r="D43" s="190"/>
      <c r="E43" s="190"/>
      <c r="F43" s="190"/>
    </row>
    <row r="44" spans="2:6" ht="28.5" x14ac:dyDescent="0.45">
      <c r="B44" s="190"/>
      <c r="C44" s="190"/>
      <c r="D44" s="190"/>
      <c r="E44" s="190"/>
      <c r="F44" s="190"/>
    </row>
    <row r="45" spans="2:6" ht="28.5" x14ac:dyDescent="0.45">
      <c r="B45" s="190"/>
      <c r="C45" s="190"/>
      <c r="D45" s="190"/>
      <c r="E45" s="190"/>
      <c r="F45" s="190"/>
    </row>
    <row r="46" spans="2:6" ht="28.5" x14ac:dyDescent="0.45">
      <c r="B46" s="190"/>
      <c r="C46" s="190"/>
      <c r="D46" s="190"/>
      <c r="E46" s="190"/>
      <c r="F46" s="190"/>
    </row>
    <row r="47" spans="2:6" ht="28.5" x14ac:dyDescent="0.45">
      <c r="B47" s="190"/>
      <c r="C47" s="190"/>
      <c r="D47" s="190"/>
      <c r="E47" s="190"/>
      <c r="F47" s="190"/>
    </row>
    <row r="48" spans="2:6" ht="28.5" x14ac:dyDescent="0.45">
      <c r="B48" s="190"/>
      <c r="C48" s="190"/>
      <c r="D48" s="190"/>
      <c r="E48" s="190"/>
      <c r="F48" s="190"/>
    </row>
    <row r="49" spans="2:6" ht="28.5" x14ac:dyDescent="0.45">
      <c r="B49" s="190"/>
      <c r="C49" s="190"/>
      <c r="D49" s="190"/>
      <c r="E49" s="190"/>
      <c r="F49" s="190"/>
    </row>
    <row r="50" spans="2:6" ht="28.5" x14ac:dyDescent="0.45">
      <c r="B50" s="190"/>
      <c r="C50" s="190"/>
      <c r="D50" s="190"/>
      <c r="E50" s="190"/>
      <c r="F50" s="190"/>
    </row>
    <row r="51" spans="2:6" ht="28.5" x14ac:dyDescent="0.45">
      <c r="B51" s="190"/>
      <c r="C51" s="190"/>
      <c r="D51" s="190"/>
      <c r="E51" s="190"/>
      <c r="F51" s="190"/>
    </row>
    <row r="52" spans="2:6" ht="28.5" x14ac:dyDescent="0.45">
      <c r="B52" s="190"/>
      <c r="C52" s="190"/>
      <c r="D52" s="190"/>
      <c r="E52" s="190"/>
      <c r="F52" s="190"/>
    </row>
    <row r="53" spans="2:6" ht="28.5" x14ac:dyDescent="0.45">
      <c r="B53" s="190"/>
      <c r="C53" s="190"/>
      <c r="D53" s="190"/>
      <c r="E53" s="190"/>
      <c r="F53" s="190"/>
    </row>
    <row r="54" spans="2:6" ht="28.5" x14ac:dyDescent="0.45">
      <c r="B54" s="190"/>
      <c r="C54" s="190"/>
      <c r="D54" s="190"/>
      <c r="E54" s="190"/>
      <c r="F54" s="190"/>
    </row>
    <row r="55" spans="2:6" ht="28.5" x14ac:dyDescent="0.45">
      <c r="B55" s="190"/>
      <c r="C55" s="190"/>
      <c r="D55" s="190"/>
      <c r="E55" s="190"/>
      <c r="F55" s="190"/>
    </row>
    <row r="56" spans="2:6" ht="28.5" x14ac:dyDescent="0.45">
      <c r="B56" s="190"/>
      <c r="C56" s="190"/>
      <c r="D56" s="190"/>
      <c r="E56" s="190"/>
      <c r="F56" s="190"/>
    </row>
    <row r="57" spans="2:6" ht="28.5" x14ac:dyDescent="0.45">
      <c r="B57" s="190"/>
      <c r="C57" s="190"/>
      <c r="D57" s="190"/>
      <c r="E57" s="190"/>
      <c r="F57" s="190"/>
    </row>
    <row r="58" spans="2:6" ht="28.5" x14ac:dyDescent="0.45">
      <c r="B58" s="190"/>
      <c r="C58" s="190"/>
      <c r="D58" s="190"/>
      <c r="E58" s="190"/>
      <c r="F58" s="190"/>
    </row>
    <row r="59" spans="2:6" ht="28.5" x14ac:dyDescent="0.45">
      <c r="B59" s="190"/>
      <c r="C59" s="190"/>
      <c r="D59" s="190"/>
      <c r="E59" s="190"/>
      <c r="F59" s="190"/>
    </row>
    <row r="60" spans="2:6" ht="28.5" x14ac:dyDescent="0.45">
      <c r="B60" s="190"/>
      <c r="C60" s="190"/>
      <c r="D60" s="190"/>
      <c r="E60" s="190"/>
      <c r="F60" s="190"/>
    </row>
    <row r="61" spans="2:6" ht="28.5" x14ac:dyDescent="0.45">
      <c r="B61" s="190"/>
      <c r="C61" s="190"/>
      <c r="D61" s="190"/>
      <c r="E61" s="190"/>
      <c r="F61" s="190"/>
    </row>
    <row r="62" spans="2:6" ht="28.5" x14ac:dyDescent="0.45">
      <c r="B62" s="190"/>
      <c r="C62" s="190"/>
      <c r="D62" s="190"/>
      <c r="E62" s="190"/>
      <c r="F62" s="190"/>
    </row>
    <row r="63" spans="2:6" ht="28.5" x14ac:dyDescent="0.45">
      <c r="B63" s="190"/>
      <c r="C63" s="190"/>
      <c r="D63" s="190"/>
      <c r="E63" s="190"/>
      <c r="F63" s="190"/>
    </row>
    <row r="64" spans="2:6" ht="28.5" x14ac:dyDescent="0.45">
      <c r="B64" s="190"/>
      <c r="C64" s="190"/>
      <c r="D64" s="190"/>
      <c r="E64" s="190"/>
      <c r="F64" s="190"/>
    </row>
    <row r="65" spans="2:6" ht="28.5" x14ac:dyDescent="0.45">
      <c r="B65" s="190"/>
      <c r="C65" s="190"/>
      <c r="D65" s="190"/>
      <c r="E65" s="190"/>
      <c r="F65" s="190"/>
    </row>
    <row r="66" spans="2:6" ht="28.5" x14ac:dyDescent="0.45">
      <c r="B66" s="190"/>
      <c r="C66" s="190"/>
      <c r="D66" s="190"/>
      <c r="E66" s="190"/>
      <c r="F66" s="190"/>
    </row>
    <row r="67" spans="2:6" ht="28.5" x14ac:dyDescent="0.45">
      <c r="B67" s="190"/>
      <c r="C67" s="190"/>
      <c r="D67" s="190"/>
      <c r="E67" s="190"/>
      <c r="F67" s="190"/>
    </row>
    <row r="68" spans="2:6" ht="28.5" x14ac:dyDescent="0.45">
      <c r="B68" s="190"/>
      <c r="C68" s="190"/>
      <c r="D68" s="190"/>
      <c r="E68" s="190"/>
      <c r="F68" s="190"/>
    </row>
    <row r="69" spans="2:6" ht="28.5" x14ac:dyDescent="0.45">
      <c r="B69" s="190"/>
      <c r="C69" s="190"/>
      <c r="D69" s="190"/>
      <c r="E69" s="190"/>
      <c r="F69" s="190"/>
    </row>
    <row r="70" spans="2:6" ht="28.5" x14ac:dyDescent="0.45">
      <c r="B70" s="190"/>
      <c r="C70" s="190"/>
      <c r="D70" s="190"/>
      <c r="E70" s="190"/>
      <c r="F70" s="190"/>
    </row>
    <row r="71" spans="2:6" ht="28.5" x14ac:dyDescent="0.45">
      <c r="B71" s="190"/>
      <c r="C71" s="190"/>
      <c r="D71" s="190"/>
      <c r="E71" s="190"/>
      <c r="F71" s="190"/>
    </row>
    <row r="72" spans="2:6" ht="28.5" x14ac:dyDescent="0.45">
      <c r="B72" s="190"/>
      <c r="C72" s="190"/>
      <c r="D72" s="190"/>
      <c r="E72" s="190"/>
      <c r="F72" s="190"/>
    </row>
    <row r="73" spans="2:6" ht="28.5" x14ac:dyDescent="0.45">
      <c r="B73" s="190"/>
      <c r="C73" s="190"/>
      <c r="D73" s="190"/>
      <c r="E73" s="190"/>
      <c r="F73" s="190"/>
    </row>
    <row r="74" spans="2:6" ht="28.5" x14ac:dyDescent="0.45">
      <c r="B74" s="190"/>
      <c r="C74" s="190"/>
      <c r="D74" s="190"/>
      <c r="E74" s="190"/>
      <c r="F74" s="190"/>
    </row>
    <row r="75" spans="2:6" ht="28.5" x14ac:dyDescent="0.45">
      <c r="B75" s="190"/>
      <c r="C75" s="190"/>
      <c r="D75" s="190"/>
      <c r="E75" s="190"/>
      <c r="F75" s="190"/>
    </row>
    <row r="76" spans="2:6" ht="28.5" x14ac:dyDescent="0.45">
      <c r="B76" s="190"/>
      <c r="C76" s="190"/>
      <c r="D76" s="190"/>
      <c r="E76" s="190"/>
      <c r="F76" s="190"/>
    </row>
    <row r="77" spans="2:6" ht="28.5" x14ac:dyDescent="0.45">
      <c r="B77" s="190"/>
      <c r="C77" s="190"/>
      <c r="D77" s="190"/>
      <c r="E77" s="190"/>
      <c r="F77" s="190"/>
    </row>
    <row r="78" spans="2:6" ht="28.5" x14ac:dyDescent="0.45">
      <c r="B78" s="190"/>
      <c r="C78" s="190"/>
      <c r="D78" s="190"/>
      <c r="E78" s="190"/>
      <c r="F78" s="190"/>
    </row>
    <row r="79" spans="2:6" ht="28.5" x14ac:dyDescent="0.45">
      <c r="B79" s="190"/>
      <c r="C79" s="190"/>
      <c r="D79" s="190"/>
      <c r="E79" s="190"/>
      <c r="F79" s="190"/>
    </row>
    <row r="80" spans="2:6" ht="28.5" x14ac:dyDescent="0.45">
      <c r="B80" s="190"/>
      <c r="C80" s="190"/>
      <c r="D80" s="190"/>
      <c r="E80" s="190"/>
      <c r="F80" s="190"/>
    </row>
    <row r="81" spans="2:6" ht="28.5" x14ac:dyDescent="0.45">
      <c r="B81" s="190"/>
      <c r="C81" s="190"/>
      <c r="D81" s="190"/>
      <c r="E81" s="190"/>
      <c r="F81" s="190"/>
    </row>
    <row r="82" spans="2:6" ht="28.5" x14ac:dyDescent="0.45">
      <c r="B82" s="190"/>
      <c r="C82" s="190"/>
      <c r="D82" s="190"/>
      <c r="E82" s="190"/>
      <c r="F82" s="190"/>
    </row>
    <row r="83" spans="2:6" ht="28.5" x14ac:dyDescent="0.45">
      <c r="B83" s="190"/>
      <c r="C83" s="190"/>
      <c r="D83" s="190"/>
      <c r="E83" s="190"/>
      <c r="F83" s="190"/>
    </row>
    <row r="84" spans="2:6" ht="28.5" x14ac:dyDescent="0.45">
      <c r="B84" s="190"/>
      <c r="C84" s="190"/>
      <c r="D84" s="190"/>
      <c r="E84" s="190"/>
      <c r="F84" s="190"/>
    </row>
    <row r="85" spans="2:6" ht="28.5" x14ac:dyDescent="0.45">
      <c r="B85" s="190"/>
      <c r="C85" s="190"/>
      <c r="D85" s="190"/>
      <c r="E85" s="190"/>
      <c r="F85" s="190"/>
    </row>
    <row r="86" spans="2:6" ht="28.5" x14ac:dyDescent="0.45">
      <c r="B86" s="190"/>
      <c r="C86" s="190"/>
      <c r="D86" s="190"/>
      <c r="E86" s="190"/>
      <c r="F86" s="190"/>
    </row>
    <row r="87" spans="2:6" ht="28.5" x14ac:dyDescent="0.45">
      <c r="B87" s="190"/>
      <c r="C87" s="190"/>
      <c r="D87" s="190"/>
      <c r="E87" s="190"/>
      <c r="F87" s="190"/>
    </row>
    <row r="88" spans="2:6" ht="28.5" x14ac:dyDescent="0.45">
      <c r="B88" s="190"/>
      <c r="C88" s="190"/>
      <c r="D88" s="190"/>
      <c r="E88" s="190"/>
      <c r="F88" s="190"/>
    </row>
    <row r="89" spans="2:6" ht="28.5" x14ac:dyDescent="0.45">
      <c r="B89" s="190"/>
      <c r="C89" s="190"/>
      <c r="D89" s="190"/>
      <c r="E89" s="190"/>
      <c r="F89" s="190"/>
    </row>
    <row r="90" spans="2:6" ht="28.5" x14ac:dyDescent="0.45">
      <c r="B90" s="190"/>
      <c r="C90" s="190"/>
      <c r="D90" s="190"/>
      <c r="E90" s="190"/>
      <c r="F90" s="190"/>
    </row>
    <row r="91" spans="2:6" ht="28.5" x14ac:dyDescent="0.45">
      <c r="B91" s="190"/>
      <c r="C91" s="190"/>
      <c r="D91" s="190"/>
      <c r="E91" s="190"/>
      <c r="F91" s="190"/>
    </row>
    <row r="92" spans="2:6" ht="28.5" x14ac:dyDescent="0.45">
      <c r="B92" s="190"/>
      <c r="C92" s="190"/>
      <c r="D92" s="190"/>
      <c r="E92" s="190"/>
      <c r="F92" s="190"/>
    </row>
    <row r="93" spans="2:6" ht="28.5" x14ac:dyDescent="0.45">
      <c r="B93" s="190"/>
      <c r="C93" s="190"/>
      <c r="D93" s="190"/>
      <c r="E93" s="190"/>
      <c r="F93" s="190"/>
    </row>
    <row r="94" spans="2:6" ht="28.5" x14ac:dyDescent="0.45">
      <c r="B94" s="190"/>
      <c r="C94" s="190"/>
      <c r="D94" s="190"/>
      <c r="E94" s="190"/>
      <c r="F94" s="190"/>
    </row>
    <row r="95" spans="2:6" ht="28.5" x14ac:dyDescent="0.45">
      <c r="B95" s="190"/>
      <c r="C95" s="190"/>
      <c r="D95" s="190"/>
      <c r="E95" s="190"/>
      <c r="F95" s="190"/>
    </row>
    <row r="96" spans="2:6" ht="28.5" x14ac:dyDescent="0.45">
      <c r="B96" s="190"/>
      <c r="C96" s="190"/>
      <c r="D96" s="190"/>
      <c r="E96" s="190"/>
      <c r="F96" s="190"/>
    </row>
    <row r="97" spans="2:6" ht="28.5" x14ac:dyDescent="0.45">
      <c r="B97" s="190"/>
      <c r="C97" s="190"/>
      <c r="D97" s="190"/>
      <c r="E97" s="190"/>
      <c r="F97" s="1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4A02-2159-4B00-AF17-1AF5CD9020F2}">
  <sheetPr codeName="Sheet4"/>
  <dimension ref="A1:M23"/>
  <sheetViews>
    <sheetView workbookViewId="0">
      <selection sqref="A1:B23"/>
    </sheetView>
  </sheetViews>
  <sheetFormatPr defaultRowHeight="15" x14ac:dyDescent="0.25"/>
  <cols>
    <col min="1" max="1" width="17.85546875" customWidth="1"/>
    <col min="2" max="2" width="36.28515625" style="40" customWidth="1"/>
    <col min="6" max="6" width="16.5703125" customWidth="1"/>
    <col min="7" max="7" width="19.140625" customWidth="1"/>
    <col min="11" max="11" width="21.5703125" customWidth="1"/>
  </cols>
  <sheetData>
    <row r="1" spans="1:13" ht="15.75" x14ac:dyDescent="0.25">
      <c r="A1" s="41" t="s">
        <v>469</v>
      </c>
      <c r="B1" s="191" t="s">
        <v>470</v>
      </c>
      <c r="F1" s="41" t="s">
        <v>469</v>
      </c>
      <c r="G1" s="191" t="s">
        <v>470</v>
      </c>
      <c r="K1" s="191" t="s">
        <v>470</v>
      </c>
      <c r="M1" s="40"/>
    </row>
    <row r="2" spans="1:13" x14ac:dyDescent="0.25">
      <c r="A2" s="42">
        <v>46304</v>
      </c>
      <c r="B2" s="39" t="s">
        <v>473</v>
      </c>
      <c r="F2" s="42">
        <v>46304</v>
      </c>
      <c r="G2" s="39" t="s">
        <v>473</v>
      </c>
      <c r="K2" s="39" t="s">
        <v>473</v>
      </c>
      <c r="M2" s="40"/>
    </row>
    <row r="3" spans="1:13" x14ac:dyDescent="0.25">
      <c r="A3" s="43">
        <f>A2+1</f>
        <v>46305</v>
      </c>
      <c r="B3" s="39" t="s">
        <v>474</v>
      </c>
      <c r="F3" s="43">
        <f>F2+1</f>
        <v>46305</v>
      </c>
      <c r="G3" s="39" t="s">
        <v>474</v>
      </c>
      <c r="K3" s="39" t="s">
        <v>474</v>
      </c>
      <c r="M3" s="40"/>
    </row>
    <row r="4" spans="1:13" x14ac:dyDescent="0.25">
      <c r="A4" s="43">
        <f>A3+1</f>
        <v>46306</v>
      </c>
      <c r="B4" s="39" t="s">
        <v>475</v>
      </c>
      <c r="F4" s="43">
        <f>F3+1</f>
        <v>46306</v>
      </c>
      <c r="G4" s="39" t="s">
        <v>475</v>
      </c>
      <c r="K4" s="39" t="s">
        <v>475</v>
      </c>
      <c r="M4" s="40"/>
    </row>
    <row r="5" spans="1:13" x14ac:dyDescent="0.25">
      <c r="A5" s="43">
        <f>A4+1</f>
        <v>46307</v>
      </c>
      <c r="B5" s="39" t="s">
        <v>476</v>
      </c>
      <c r="F5" s="43">
        <f>F4+1</f>
        <v>46307</v>
      </c>
      <c r="G5" s="39" t="s">
        <v>476</v>
      </c>
      <c r="K5" s="39" t="s">
        <v>476</v>
      </c>
      <c r="M5" s="40"/>
    </row>
    <row r="6" spans="1:13" x14ac:dyDescent="0.25">
      <c r="A6" s="43">
        <f>A5+1</f>
        <v>46308</v>
      </c>
      <c r="B6" s="39" t="s">
        <v>477</v>
      </c>
      <c r="F6" s="43">
        <f>F5+1</f>
        <v>46308</v>
      </c>
      <c r="G6" s="39" t="s">
        <v>477</v>
      </c>
      <c r="K6" s="39" t="s">
        <v>477</v>
      </c>
    </row>
    <row r="7" spans="1:13" x14ac:dyDescent="0.25">
      <c r="A7" s="43">
        <f>A6+1</f>
        <v>46309</v>
      </c>
      <c r="B7" s="39" t="s">
        <v>478</v>
      </c>
      <c r="F7" s="43">
        <f>F6+1</f>
        <v>46309</v>
      </c>
      <c r="G7" s="39" t="s">
        <v>478</v>
      </c>
      <c r="K7" s="39" t="s">
        <v>478</v>
      </c>
    </row>
    <row r="8" spans="1:13" x14ac:dyDescent="0.25">
      <c r="A8" s="43">
        <f>A7+1</f>
        <v>46310</v>
      </c>
      <c r="B8" s="39" t="s">
        <v>479</v>
      </c>
      <c r="F8" s="43">
        <f>F7+1</f>
        <v>46310</v>
      </c>
      <c r="G8" s="39" t="s">
        <v>479</v>
      </c>
    </row>
    <row r="9" spans="1:13" x14ac:dyDescent="0.25">
      <c r="A9" s="43">
        <f>A8+1</f>
        <v>46311</v>
      </c>
      <c r="B9" s="39" t="s">
        <v>480</v>
      </c>
      <c r="F9" s="43">
        <f>F8+1</f>
        <v>46311</v>
      </c>
      <c r="G9" s="39" t="s">
        <v>480</v>
      </c>
    </row>
    <row r="10" spans="1:13" x14ac:dyDescent="0.25">
      <c r="A10" s="43">
        <f>A9+1</f>
        <v>46312</v>
      </c>
      <c r="B10" s="39" t="s">
        <v>481</v>
      </c>
      <c r="F10" s="43">
        <f>F9+1</f>
        <v>46312</v>
      </c>
      <c r="G10" s="39" t="s">
        <v>481</v>
      </c>
    </row>
    <row r="11" spans="1:13" x14ac:dyDescent="0.25">
      <c r="A11" s="43">
        <f>A10+1</f>
        <v>46313</v>
      </c>
      <c r="B11" s="39" t="s">
        <v>482</v>
      </c>
      <c r="F11" s="43">
        <f>F10+1</f>
        <v>46313</v>
      </c>
      <c r="G11" s="39" t="s">
        <v>482</v>
      </c>
    </row>
    <row r="12" spans="1:13" x14ac:dyDescent="0.25">
      <c r="A12" s="43">
        <f>A11+1</f>
        <v>46314</v>
      </c>
      <c r="B12" s="39" t="s">
        <v>483</v>
      </c>
      <c r="F12" s="43">
        <f>F11+1</f>
        <v>46314</v>
      </c>
      <c r="G12" s="39" t="s">
        <v>483</v>
      </c>
    </row>
    <row r="13" spans="1:13" x14ac:dyDescent="0.25">
      <c r="A13" s="43">
        <f>A12+1</f>
        <v>46315</v>
      </c>
      <c r="B13" s="39" t="s">
        <v>484</v>
      </c>
      <c r="F13" s="43">
        <f>F12+1</f>
        <v>46315</v>
      </c>
      <c r="G13" s="39" t="s">
        <v>484</v>
      </c>
    </row>
    <row r="14" spans="1:13" x14ac:dyDescent="0.25">
      <c r="A14" s="43">
        <f>A13+1</f>
        <v>46316</v>
      </c>
      <c r="B14" s="39" t="s">
        <v>485</v>
      </c>
      <c r="F14" s="43">
        <f>F13+1</f>
        <v>46316</v>
      </c>
      <c r="G14" s="39" t="s">
        <v>485</v>
      </c>
    </row>
    <row r="15" spans="1:13" x14ac:dyDescent="0.25">
      <c r="A15" s="43">
        <f>A14+1</f>
        <v>46317</v>
      </c>
      <c r="B15" s="39" t="s">
        <v>486</v>
      </c>
      <c r="F15" s="43">
        <f>F14+1</f>
        <v>46317</v>
      </c>
      <c r="G15" s="39" t="s">
        <v>486</v>
      </c>
    </row>
    <row r="16" spans="1:13" x14ac:dyDescent="0.25">
      <c r="A16" s="43">
        <f>A15+1</f>
        <v>46318</v>
      </c>
      <c r="B16" s="39" t="s">
        <v>487</v>
      </c>
      <c r="F16" s="43">
        <f>F15+1</f>
        <v>46318</v>
      </c>
      <c r="G16" s="39" t="s">
        <v>487</v>
      </c>
    </row>
    <row r="17" spans="1:7" x14ac:dyDescent="0.25">
      <c r="A17" s="43">
        <f>A16+1</f>
        <v>46319</v>
      </c>
      <c r="B17" s="39" t="s">
        <v>488</v>
      </c>
      <c r="F17" s="43">
        <f>F16+1</f>
        <v>46319</v>
      </c>
      <c r="G17" s="39" t="s">
        <v>488</v>
      </c>
    </row>
    <row r="18" spans="1:7" x14ac:dyDescent="0.25">
      <c r="A18" s="43">
        <f>A17+1</f>
        <v>46320</v>
      </c>
      <c r="B18" s="39" t="s">
        <v>489</v>
      </c>
      <c r="F18" s="43">
        <f>F17+1</f>
        <v>46320</v>
      </c>
      <c r="G18" s="39" t="s">
        <v>489</v>
      </c>
    </row>
    <row r="19" spans="1:7" x14ac:dyDescent="0.25">
      <c r="A19" s="43">
        <f>A18+1</f>
        <v>46321</v>
      </c>
      <c r="B19" s="39" t="s">
        <v>490</v>
      </c>
      <c r="F19" s="43">
        <f>F18+1</f>
        <v>46321</v>
      </c>
      <c r="G19" s="39" t="s">
        <v>490</v>
      </c>
    </row>
    <row r="20" spans="1:7" x14ac:dyDescent="0.25">
      <c r="A20" s="43">
        <f>A19+1</f>
        <v>46322</v>
      </c>
      <c r="B20" s="39" t="s">
        <v>491</v>
      </c>
      <c r="F20" s="43">
        <f>F19+1</f>
        <v>46322</v>
      </c>
      <c r="G20" s="39" t="s">
        <v>491</v>
      </c>
    </row>
    <row r="21" spans="1:7" x14ac:dyDescent="0.25">
      <c r="A21" s="43">
        <f>A20+1</f>
        <v>46323</v>
      </c>
      <c r="B21" s="39" t="s">
        <v>492</v>
      </c>
      <c r="F21" s="43">
        <f>F20+1</f>
        <v>46323</v>
      </c>
      <c r="G21" s="39" t="s">
        <v>492</v>
      </c>
    </row>
    <row r="22" spans="1:7" x14ac:dyDescent="0.25">
      <c r="A22" s="43">
        <f>A21+1</f>
        <v>46324</v>
      </c>
      <c r="B22" s="39" t="s">
        <v>493</v>
      </c>
      <c r="F22" s="43">
        <f>F21+1</f>
        <v>46324</v>
      </c>
      <c r="G22" s="39" t="s">
        <v>493</v>
      </c>
    </row>
    <row r="23" spans="1:7" x14ac:dyDescent="0.25">
      <c r="A23" s="43">
        <f>A22+1</f>
        <v>46325</v>
      </c>
      <c r="B23" s="39" t="s">
        <v>494</v>
      </c>
      <c r="F23" s="43">
        <f>F22+1</f>
        <v>46325</v>
      </c>
      <c r="G23" s="39" t="s">
        <v>494</v>
      </c>
    </row>
  </sheetData>
  <conditionalFormatting sqref="B1:B23">
    <cfRule type="dataBar" priority="7">
      <dataBar>
        <cfvo type="min"/>
        <cfvo type="max"/>
        <color rgb="FF638EC6"/>
      </dataBar>
      <extLst>
        <ext xmlns:x14="http://schemas.microsoft.com/office/spreadsheetml/2009/9/main" uri="{B025F937-C7B1-47D3-B67F-A62EFF666E3E}">
          <x14:id>{0211D15D-DD8F-4B23-8AC7-48B0A8F4E8FD}</x14:id>
        </ext>
      </extLst>
    </cfRule>
  </conditionalFormatting>
  <conditionalFormatting sqref="B1:B23">
    <cfRule type="iconSet" priority="8">
      <iconSet>
        <cfvo type="percent" val="0"/>
        <cfvo type="percent" val="33"/>
        <cfvo type="percent" val="67"/>
      </iconSet>
    </cfRule>
  </conditionalFormatting>
  <conditionalFormatting sqref="G1:G23">
    <cfRule type="dataBar" priority="5">
      <dataBar>
        <cfvo type="min"/>
        <cfvo type="max"/>
        <color rgb="FF638EC6"/>
      </dataBar>
      <extLst>
        <ext xmlns:x14="http://schemas.microsoft.com/office/spreadsheetml/2009/9/main" uri="{B025F937-C7B1-47D3-B67F-A62EFF666E3E}">
          <x14:id>{AE5DE070-8AFB-44B8-9F02-CE7B74F45A29}</x14:id>
        </ext>
      </extLst>
    </cfRule>
  </conditionalFormatting>
  <conditionalFormatting sqref="G1:G23">
    <cfRule type="iconSet" priority="6">
      <iconSet>
        <cfvo type="percent" val="0"/>
        <cfvo type="percent" val="33"/>
        <cfvo type="percent" val="67"/>
      </iconSet>
    </cfRule>
  </conditionalFormatting>
  <conditionalFormatting sqref="M1:M5 B30">
    <cfRule type="dataBar" priority="3">
      <dataBar>
        <cfvo type="min"/>
        <cfvo type="max"/>
        <color rgb="FF638EC6"/>
      </dataBar>
      <extLst>
        <ext xmlns:x14="http://schemas.microsoft.com/office/spreadsheetml/2009/9/main" uri="{B025F937-C7B1-47D3-B67F-A62EFF666E3E}">
          <x14:id>{2709E80C-2455-44E0-9D6E-2602BF4207EA}</x14:id>
        </ext>
      </extLst>
    </cfRule>
  </conditionalFormatting>
  <conditionalFormatting sqref="B30 M1:M5">
    <cfRule type="iconSet" priority="4">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{38179500-1C3C-4F2D-8496-DEE2A2FDDA17}</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211D15D-DD8F-4B23-8AC7-48B0A8F4E8FD}">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AE5DE070-8AFB-44B8-9F02-CE7B74F45A29}">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2709E80C-2455-44E0-9D6E-2602BF4207EA}">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38179500-1C3C-4F2D-8496-DEE2A2FDDA17}">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1B25-7530-4E98-A3C9-2AA09BBC2F6A}">
  <sheetPr codeName="Sheet5"/>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28"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202" t="s">
        <v>469</v>
      </c>
      <c r="B1" s="201" t="s">
        <v>470</v>
      </c>
      <c r="C1" s="201" t="s">
        <v>6</v>
      </c>
      <c r="D1" s="201" t="s">
        <v>36</v>
      </c>
      <c r="E1" s="200" t="s">
        <v>471</v>
      </c>
      <c r="F1" s="199" t="s">
        <v>472</v>
      </c>
      <c r="K1" s="29" t="s">
        <v>469</v>
      </c>
      <c r="L1" s="206" t="s">
        <v>470</v>
      </c>
      <c r="M1" s="206" t="s">
        <v>6</v>
      </c>
      <c r="N1" s="206" t="s">
        <v>36</v>
      </c>
      <c r="O1" s="205" t="s">
        <v>471</v>
      </c>
      <c r="P1" s="204" t="s">
        <v>472</v>
      </c>
    </row>
    <row r="2" spans="1:16" x14ac:dyDescent="0.25">
      <c r="A2" s="198">
        <v>46304</v>
      </c>
      <c r="B2" s="63" t="s">
        <v>473</v>
      </c>
      <c r="C2" s="63" t="s">
        <v>93</v>
      </c>
      <c r="D2" s="63" t="s">
        <v>74</v>
      </c>
      <c r="E2" s="196">
        <v>38278</v>
      </c>
      <c r="F2" s="195">
        <v>137196</v>
      </c>
      <c r="K2" s="30">
        <v>46304</v>
      </c>
      <c r="L2" s="31" t="s">
        <v>473</v>
      </c>
      <c r="M2" s="31" t="s">
        <v>93</v>
      </c>
      <c r="N2" s="31" t="s">
        <v>74</v>
      </c>
      <c r="O2" s="32">
        <v>38278</v>
      </c>
      <c r="P2" s="33">
        <v>137196</v>
      </c>
    </row>
    <row r="3" spans="1:16" x14ac:dyDescent="0.25">
      <c r="A3" s="197">
        <f>A2+1</f>
        <v>46305</v>
      </c>
      <c r="B3" s="63" t="s">
        <v>474</v>
      </c>
      <c r="C3" s="63" t="s">
        <v>185</v>
      </c>
      <c r="D3" s="63" t="s">
        <v>57</v>
      </c>
      <c r="E3" s="196">
        <v>64256</v>
      </c>
      <c r="F3" s="195">
        <v>58289</v>
      </c>
      <c r="K3" s="34">
        <f>K2+1</f>
        <v>46305</v>
      </c>
      <c r="L3" s="31" t="s">
        <v>474</v>
      </c>
      <c r="M3" s="31" t="s">
        <v>185</v>
      </c>
      <c r="N3" s="31" t="s">
        <v>57</v>
      </c>
      <c r="O3" s="32">
        <v>64256</v>
      </c>
      <c r="P3" s="33">
        <v>58289</v>
      </c>
    </row>
    <row r="4" spans="1:16" x14ac:dyDescent="0.25">
      <c r="A4" s="197">
        <f>A3+1</f>
        <v>46306</v>
      </c>
      <c r="B4" s="63" t="s">
        <v>475</v>
      </c>
      <c r="C4" s="63" t="s">
        <v>93</v>
      </c>
      <c r="D4" s="63" t="s">
        <v>74</v>
      </c>
      <c r="E4" s="196">
        <v>123696</v>
      </c>
      <c r="F4" s="195">
        <v>137080</v>
      </c>
      <c r="K4" s="34">
        <f>K3+1</f>
        <v>46306</v>
      </c>
      <c r="L4" s="31" t="s">
        <v>475</v>
      </c>
      <c r="M4" s="31" t="s">
        <v>93</v>
      </c>
      <c r="N4" s="31" t="s">
        <v>74</v>
      </c>
      <c r="O4" s="32">
        <v>123696</v>
      </c>
      <c r="P4" s="33">
        <v>137080</v>
      </c>
    </row>
    <row r="5" spans="1:16" x14ac:dyDescent="0.25">
      <c r="A5" s="197">
        <f>A4+1</f>
        <v>46307</v>
      </c>
      <c r="B5" s="63" t="s">
        <v>476</v>
      </c>
      <c r="C5" s="63" t="s">
        <v>80</v>
      </c>
      <c r="D5" s="63" t="s">
        <v>74</v>
      </c>
      <c r="E5" s="196">
        <v>112397</v>
      </c>
      <c r="F5" s="195">
        <v>95302</v>
      </c>
      <c r="K5" s="34">
        <f>K4+1</f>
        <v>46307</v>
      </c>
      <c r="L5" s="31" t="s">
        <v>476</v>
      </c>
      <c r="M5" s="31" t="s">
        <v>80</v>
      </c>
      <c r="N5" s="31" t="s">
        <v>74</v>
      </c>
      <c r="O5" s="32">
        <v>112397</v>
      </c>
      <c r="P5" s="33">
        <v>95302</v>
      </c>
    </row>
    <row r="6" spans="1:16" x14ac:dyDescent="0.25">
      <c r="A6" s="197">
        <f>A5+1</f>
        <v>46308</v>
      </c>
      <c r="B6" s="63" t="s">
        <v>477</v>
      </c>
      <c r="C6" s="63" t="s">
        <v>134</v>
      </c>
      <c r="D6" s="63" t="s">
        <v>74</v>
      </c>
      <c r="E6" s="196">
        <v>47280</v>
      </c>
      <c r="F6" s="195">
        <v>68657</v>
      </c>
      <c r="K6" s="34">
        <f>K5+1</f>
        <v>46308</v>
      </c>
      <c r="L6" s="31" t="s">
        <v>477</v>
      </c>
      <c r="M6" s="31" t="s">
        <v>134</v>
      </c>
      <c r="N6" s="31" t="s">
        <v>74</v>
      </c>
      <c r="O6" s="32">
        <v>47280</v>
      </c>
      <c r="P6" s="33">
        <v>68657</v>
      </c>
    </row>
    <row r="7" spans="1:16" x14ac:dyDescent="0.25">
      <c r="A7" s="197">
        <f>A6+1</f>
        <v>46309</v>
      </c>
      <c r="B7" s="63" t="s">
        <v>478</v>
      </c>
      <c r="C7" s="63" t="s">
        <v>45</v>
      </c>
      <c r="D7" s="63" t="s">
        <v>74</v>
      </c>
      <c r="E7" s="196">
        <v>108563</v>
      </c>
      <c r="F7" s="195">
        <v>66062</v>
      </c>
      <c r="K7" s="34">
        <f>K6+1</f>
        <v>46309</v>
      </c>
      <c r="L7" s="31" t="s">
        <v>478</v>
      </c>
      <c r="M7" s="31" t="s">
        <v>45</v>
      </c>
      <c r="N7" s="31" t="s">
        <v>74</v>
      </c>
      <c r="O7" s="32">
        <v>108563</v>
      </c>
      <c r="P7" s="33">
        <v>66062</v>
      </c>
    </row>
    <row r="8" spans="1:16" x14ac:dyDescent="0.25">
      <c r="A8" s="197">
        <f>A7+1</f>
        <v>46310</v>
      </c>
      <c r="B8" s="63" t="s">
        <v>479</v>
      </c>
      <c r="C8" s="63" t="s">
        <v>93</v>
      </c>
      <c r="D8" s="63" t="s">
        <v>87</v>
      </c>
      <c r="E8" s="196">
        <v>63893</v>
      </c>
      <c r="F8" s="195">
        <v>98878</v>
      </c>
      <c r="K8" s="34">
        <f>K7+1</f>
        <v>46310</v>
      </c>
      <c r="L8" s="31" t="s">
        <v>479</v>
      </c>
      <c r="M8" s="31" t="s">
        <v>93</v>
      </c>
      <c r="N8" s="31" t="s">
        <v>87</v>
      </c>
      <c r="O8" s="32">
        <v>63893</v>
      </c>
      <c r="P8" s="33">
        <v>98878</v>
      </c>
    </row>
    <row r="9" spans="1:16" x14ac:dyDescent="0.25">
      <c r="A9" s="197">
        <f>A8+1</f>
        <v>46311</v>
      </c>
      <c r="B9" s="63" t="s">
        <v>480</v>
      </c>
      <c r="C9" s="63" t="s">
        <v>80</v>
      </c>
      <c r="D9" s="63" t="s">
        <v>123</v>
      </c>
      <c r="E9" s="196">
        <v>141093</v>
      </c>
      <c r="F9" s="195">
        <v>40851</v>
      </c>
      <c r="K9" s="34">
        <f>K8+1</f>
        <v>46311</v>
      </c>
      <c r="L9" s="31" t="s">
        <v>480</v>
      </c>
      <c r="M9" s="31" t="s">
        <v>80</v>
      </c>
      <c r="N9" s="31" t="s">
        <v>123</v>
      </c>
      <c r="O9" s="32">
        <v>141093</v>
      </c>
      <c r="P9" s="33">
        <v>40851</v>
      </c>
    </row>
    <row r="10" spans="1:16" x14ac:dyDescent="0.25">
      <c r="A10" s="197">
        <f>A9+1</f>
        <v>46312</v>
      </c>
      <c r="B10" s="63" t="s">
        <v>481</v>
      </c>
      <c r="C10" s="63" t="s">
        <v>45</v>
      </c>
      <c r="D10" s="63" t="s">
        <v>87</v>
      </c>
      <c r="E10" s="196">
        <v>79597</v>
      </c>
      <c r="F10" s="195">
        <v>76421</v>
      </c>
      <c r="K10" s="34">
        <f>K9+1</f>
        <v>46312</v>
      </c>
      <c r="L10" s="31" t="s">
        <v>481</v>
      </c>
      <c r="M10" s="31" t="s">
        <v>45</v>
      </c>
      <c r="N10" s="31" t="s">
        <v>87</v>
      </c>
      <c r="O10" s="32">
        <v>79597</v>
      </c>
      <c r="P10" s="33">
        <v>76421</v>
      </c>
    </row>
    <row r="11" spans="1:16" x14ac:dyDescent="0.25">
      <c r="A11" s="197">
        <f>A10+1</f>
        <v>46313</v>
      </c>
      <c r="B11" s="63" t="s">
        <v>482</v>
      </c>
      <c r="C11" s="63" t="s">
        <v>45</v>
      </c>
      <c r="D11" s="63" t="s">
        <v>57</v>
      </c>
      <c r="E11" s="196">
        <v>135072</v>
      </c>
      <c r="F11" s="195">
        <v>84118</v>
      </c>
      <c r="K11" s="34">
        <f>K10+1</f>
        <v>46313</v>
      </c>
      <c r="L11" s="31" t="s">
        <v>482</v>
      </c>
      <c r="M11" s="31" t="s">
        <v>45</v>
      </c>
      <c r="N11" s="31" t="s">
        <v>57</v>
      </c>
      <c r="O11" s="32">
        <v>135072</v>
      </c>
      <c r="P11" s="33">
        <v>84118</v>
      </c>
    </row>
    <row r="12" spans="1:16" x14ac:dyDescent="0.25">
      <c r="A12" s="197">
        <f>A11+1</f>
        <v>46314</v>
      </c>
      <c r="B12" s="63" t="s">
        <v>483</v>
      </c>
      <c r="C12" s="63" t="s">
        <v>134</v>
      </c>
      <c r="D12" s="63" t="s">
        <v>74</v>
      </c>
      <c r="E12" s="196">
        <v>84797</v>
      </c>
      <c r="F12" s="195">
        <v>52676</v>
      </c>
      <c r="K12" s="34">
        <f>K11+1</f>
        <v>46314</v>
      </c>
      <c r="L12" s="31" t="s">
        <v>483</v>
      </c>
      <c r="M12" s="31" t="s">
        <v>134</v>
      </c>
      <c r="N12" s="31" t="s">
        <v>74</v>
      </c>
      <c r="O12" s="32">
        <v>84797</v>
      </c>
      <c r="P12" s="33">
        <v>52676</v>
      </c>
    </row>
    <row r="13" spans="1:16" x14ac:dyDescent="0.25">
      <c r="A13" s="197">
        <f>A12+1</f>
        <v>46315</v>
      </c>
      <c r="B13" s="63" t="s">
        <v>484</v>
      </c>
      <c r="C13" s="63" t="s">
        <v>185</v>
      </c>
      <c r="D13" s="63" t="s">
        <v>123</v>
      </c>
      <c r="E13" s="196">
        <v>20000</v>
      </c>
      <c r="F13" s="195">
        <v>74671</v>
      </c>
      <c r="K13" s="34">
        <f>K12+1</f>
        <v>46315</v>
      </c>
      <c r="L13" s="31" t="s">
        <v>484</v>
      </c>
      <c r="M13" s="31" t="s">
        <v>185</v>
      </c>
      <c r="N13" s="31" t="s">
        <v>123</v>
      </c>
      <c r="O13" s="32">
        <v>20000</v>
      </c>
      <c r="P13" s="33">
        <v>74671</v>
      </c>
    </row>
    <row r="14" spans="1:16" x14ac:dyDescent="0.25">
      <c r="A14" s="197">
        <f>A13+1</f>
        <v>46316</v>
      </c>
      <c r="B14" s="63" t="s">
        <v>485</v>
      </c>
      <c r="C14" s="63" t="s">
        <v>134</v>
      </c>
      <c r="D14" s="63" t="s">
        <v>87</v>
      </c>
      <c r="E14" s="196">
        <v>105284</v>
      </c>
      <c r="F14" s="195">
        <v>56361</v>
      </c>
      <c r="K14" s="34">
        <f>K13+1</f>
        <v>46316</v>
      </c>
      <c r="L14" s="31" t="s">
        <v>485</v>
      </c>
      <c r="M14" s="31" t="s">
        <v>134</v>
      </c>
      <c r="N14" s="31" t="s">
        <v>87</v>
      </c>
      <c r="O14" s="32">
        <v>105284</v>
      </c>
      <c r="P14" s="33">
        <v>56361</v>
      </c>
    </row>
    <row r="15" spans="1:16" x14ac:dyDescent="0.25">
      <c r="A15" s="197">
        <f>A14+1</f>
        <v>46317</v>
      </c>
      <c r="B15" s="63" t="s">
        <v>486</v>
      </c>
      <c r="C15" s="63" t="s">
        <v>126</v>
      </c>
      <c r="D15" s="63" t="s">
        <v>74</v>
      </c>
      <c r="E15" s="196">
        <v>20000</v>
      </c>
      <c r="F15" s="195">
        <v>78427</v>
      </c>
      <c r="K15" s="34">
        <f>K14+1</f>
        <v>46317</v>
      </c>
      <c r="L15" s="31" t="s">
        <v>486</v>
      </c>
      <c r="M15" s="31" t="s">
        <v>126</v>
      </c>
      <c r="N15" s="31" t="s">
        <v>74</v>
      </c>
      <c r="O15" s="32">
        <v>20000</v>
      </c>
      <c r="P15" s="33">
        <v>78427</v>
      </c>
    </row>
    <row r="16" spans="1:16" x14ac:dyDescent="0.25">
      <c r="A16" s="197">
        <f>A15+1</f>
        <v>46318</v>
      </c>
      <c r="B16" s="63" t="s">
        <v>487</v>
      </c>
      <c r="C16" s="63" t="s">
        <v>93</v>
      </c>
      <c r="D16" s="63" t="s">
        <v>123</v>
      </c>
      <c r="E16" s="196">
        <v>110674</v>
      </c>
      <c r="F16" s="195">
        <v>65203</v>
      </c>
      <c r="K16" s="34">
        <f>K15+1</f>
        <v>46318</v>
      </c>
      <c r="L16" s="31" t="s">
        <v>487</v>
      </c>
      <c r="M16" s="31" t="s">
        <v>93</v>
      </c>
      <c r="N16" s="31" t="s">
        <v>123</v>
      </c>
      <c r="O16" s="32">
        <v>110674</v>
      </c>
      <c r="P16" s="33">
        <v>65203</v>
      </c>
    </row>
    <row r="17" spans="1:16" x14ac:dyDescent="0.25">
      <c r="A17" s="197">
        <f>A16+1</f>
        <v>46319</v>
      </c>
      <c r="B17" s="63" t="s">
        <v>488</v>
      </c>
      <c r="C17" s="63" t="s">
        <v>93</v>
      </c>
      <c r="D17" s="63" t="s">
        <v>74</v>
      </c>
      <c r="E17" s="196">
        <v>41006</v>
      </c>
      <c r="F17" s="195">
        <v>126673</v>
      </c>
      <c r="K17" s="34">
        <f>K16+1</f>
        <v>46319</v>
      </c>
      <c r="L17" s="31" t="s">
        <v>488</v>
      </c>
      <c r="M17" s="31" t="s">
        <v>93</v>
      </c>
      <c r="N17" s="31" t="s">
        <v>74</v>
      </c>
      <c r="O17" s="32">
        <v>41006</v>
      </c>
      <c r="P17" s="33">
        <v>126673</v>
      </c>
    </row>
    <row r="18" spans="1:16" x14ac:dyDescent="0.25">
      <c r="A18" s="197">
        <f>A17+1</f>
        <v>46320</v>
      </c>
      <c r="B18" s="63" t="s">
        <v>489</v>
      </c>
      <c r="C18" s="63" t="s">
        <v>45</v>
      </c>
      <c r="D18" s="63" t="s">
        <v>123</v>
      </c>
      <c r="E18" s="196">
        <v>45458</v>
      </c>
      <c r="F18" s="195">
        <v>70512</v>
      </c>
      <c r="K18" s="34">
        <f>K17+1</f>
        <v>46320</v>
      </c>
      <c r="L18" s="31" t="s">
        <v>489</v>
      </c>
      <c r="M18" s="31" t="s">
        <v>45</v>
      </c>
      <c r="N18" s="31" t="s">
        <v>123</v>
      </c>
      <c r="O18" s="32">
        <v>45458</v>
      </c>
      <c r="P18" s="33">
        <v>70512</v>
      </c>
    </row>
    <row r="19" spans="1:16" x14ac:dyDescent="0.25">
      <c r="A19" s="197">
        <f>A18+1</f>
        <v>46321</v>
      </c>
      <c r="B19" s="63" t="s">
        <v>490</v>
      </c>
      <c r="C19" s="63" t="s">
        <v>134</v>
      </c>
      <c r="D19" s="63" t="s">
        <v>87</v>
      </c>
      <c r="E19" s="196">
        <v>71434</v>
      </c>
      <c r="F19" s="195">
        <v>99429</v>
      </c>
      <c r="K19" s="34">
        <f>K18+1</f>
        <v>46321</v>
      </c>
      <c r="L19" s="31" t="s">
        <v>490</v>
      </c>
      <c r="M19" s="31" t="s">
        <v>134</v>
      </c>
      <c r="N19" s="31" t="s">
        <v>87</v>
      </c>
      <c r="O19" s="32">
        <v>71434</v>
      </c>
      <c r="P19" s="33">
        <v>99429</v>
      </c>
    </row>
    <row r="20" spans="1:16" x14ac:dyDescent="0.25">
      <c r="A20" s="197">
        <f>A19+1</f>
        <v>46322</v>
      </c>
      <c r="B20" s="63" t="s">
        <v>491</v>
      </c>
      <c r="C20" s="63" t="s">
        <v>93</v>
      </c>
      <c r="D20" s="63" t="s">
        <v>123</v>
      </c>
      <c r="E20" s="196">
        <v>56319</v>
      </c>
      <c r="F20" s="195">
        <v>88520</v>
      </c>
      <c r="K20" s="34">
        <f>K19+1</f>
        <v>46322</v>
      </c>
      <c r="L20" s="31" t="s">
        <v>491</v>
      </c>
      <c r="M20" s="31" t="s">
        <v>93</v>
      </c>
      <c r="N20" s="31" t="s">
        <v>123</v>
      </c>
      <c r="O20" s="32">
        <v>56319</v>
      </c>
      <c r="P20" s="33">
        <v>88520</v>
      </c>
    </row>
    <row r="21" spans="1:16" x14ac:dyDescent="0.25">
      <c r="A21" s="197">
        <f>A20+1</f>
        <v>46323</v>
      </c>
      <c r="B21" s="63" t="s">
        <v>492</v>
      </c>
      <c r="C21" s="63" t="s">
        <v>185</v>
      </c>
      <c r="D21" s="63" t="s">
        <v>57</v>
      </c>
      <c r="E21" s="196">
        <v>122841</v>
      </c>
      <c r="F21" s="195">
        <v>74993</v>
      </c>
      <c r="K21" s="34">
        <f>K20+1</f>
        <v>46323</v>
      </c>
      <c r="L21" s="31" t="s">
        <v>492</v>
      </c>
      <c r="M21" s="31" t="s">
        <v>185</v>
      </c>
      <c r="N21" s="31" t="s">
        <v>57</v>
      </c>
      <c r="O21" s="32">
        <v>122841</v>
      </c>
      <c r="P21" s="33">
        <v>74993</v>
      </c>
    </row>
    <row r="22" spans="1:16" x14ac:dyDescent="0.25">
      <c r="A22" s="197">
        <f>A21+1</f>
        <v>46324</v>
      </c>
      <c r="B22" s="63" t="s">
        <v>493</v>
      </c>
      <c r="C22" s="63" t="s">
        <v>93</v>
      </c>
      <c r="D22" s="63" t="s">
        <v>74</v>
      </c>
      <c r="E22" s="196">
        <v>114840</v>
      </c>
      <c r="F22" s="195">
        <v>123227</v>
      </c>
      <c r="K22" s="34">
        <f>K21+1</f>
        <v>46324</v>
      </c>
      <c r="L22" s="31" t="s">
        <v>493</v>
      </c>
      <c r="M22" s="31" t="s">
        <v>93</v>
      </c>
      <c r="N22" s="31" t="s">
        <v>74</v>
      </c>
      <c r="O22" s="32">
        <v>114840</v>
      </c>
      <c r="P22" s="33">
        <v>123227</v>
      </c>
    </row>
    <row r="23" spans="1:16" x14ac:dyDescent="0.25">
      <c r="A23" s="197">
        <f>A22+1</f>
        <v>46325</v>
      </c>
      <c r="B23" s="63" t="s">
        <v>494</v>
      </c>
      <c r="C23" s="63" t="s">
        <v>45</v>
      </c>
      <c r="D23" s="63" t="s">
        <v>57</v>
      </c>
      <c r="E23" s="196">
        <v>56417</v>
      </c>
      <c r="F23" s="195">
        <v>100589</v>
      </c>
      <c r="K23" s="34">
        <f>K22+1</f>
        <v>46325</v>
      </c>
      <c r="L23" s="31" t="s">
        <v>494</v>
      </c>
      <c r="M23" s="31" t="s">
        <v>45</v>
      </c>
      <c r="N23" s="31" t="s">
        <v>57</v>
      </c>
      <c r="O23" s="32">
        <v>56417</v>
      </c>
      <c r="P23" s="33">
        <v>100589</v>
      </c>
    </row>
    <row r="24" spans="1:16" x14ac:dyDescent="0.25">
      <c r="A24" s="197">
        <f>A23+1</f>
        <v>46326</v>
      </c>
      <c r="B24" s="63" t="s">
        <v>495</v>
      </c>
      <c r="C24" s="63" t="s">
        <v>126</v>
      </c>
      <c r="D24" s="63" t="s">
        <v>123</v>
      </c>
      <c r="E24" s="196">
        <v>118886</v>
      </c>
      <c r="F24" s="195">
        <v>130198</v>
      </c>
      <c r="K24" s="34">
        <f>K23+1</f>
        <v>46326</v>
      </c>
      <c r="L24" s="31" t="s">
        <v>495</v>
      </c>
      <c r="M24" s="31" t="s">
        <v>126</v>
      </c>
      <c r="N24" s="31" t="s">
        <v>123</v>
      </c>
      <c r="O24" s="32">
        <v>118886</v>
      </c>
      <c r="P24" s="33">
        <v>130198</v>
      </c>
    </row>
    <row r="25" spans="1:16" x14ac:dyDescent="0.25">
      <c r="A25" s="197">
        <f>A24+1</f>
        <v>46327</v>
      </c>
      <c r="B25" s="63" t="s">
        <v>496</v>
      </c>
      <c r="C25" s="63" t="s">
        <v>80</v>
      </c>
      <c r="D25" s="63" t="s">
        <v>57</v>
      </c>
      <c r="E25" s="196">
        <v>124733</v>
      </c>
      <c r="F25" s="195">
        <v>82504</v>
      </c>
      <c r="K25" s="34">
        <f>K24+1</f>
        <v>46327</v>
      </c>
      <c r="L25" s="31" t="s">
        <v>496</v>
      </c>
      <c r="M25" s="31" t="s">
        <v>80</v>
      </c>
      <c r="N25" s="31" t="s">
        <v>57</v>
      </c>
      <c r="O25" s="32">
        <v>124733</v>
      </c>
      <c r="P25" s="33">
        <v>82504</v>
      </c>
    </row>
    <row r="26" spans="1:16" x14ac:dyDescent="0.25">
      <c r="A26" s="197">
        <f>A25+1</f>
        <v>46328</v>
      </c>
      <c r="B26" s="63" t="s">
        <v>497</v>
      </c>
      <c r="C26" s="63" t="s">
        <v>134</v>
      </c>
      <c r="D26" s="63" t="s">
        <v>57</v>
      </c>
      <c r="E26" s="196">
        <v>142715</v>
      </c>
      <c r="F26" s="195">
        <v>44207</v>
      </c>
      <c r="K26" s="34">
        <f>K25+1</f>
        <v>46328</v>
      </c>
      <c r="L26" s="31" t="s">
        <v>497</v>
      </c>
      <c r="M26" s="31" t="s">
        <v>134</v>
      </c>
      <c r="N26" s="31" t="s">
        <v>57</v>
      </c>
      <c r="O26" s="32">
        <v>142715</v>
      </c>
      <c r="P26" s="33">
        <v>44207</v>
      </c>
    </row>
    <row r="27" spans="1:16" x14ac:dyDescent="0.25">
      <c r="A27" s="197">
        <f>A26+1</f>
        <v>46329</v>
      </c>
      <c r="B27" s="63" t="s">
        <v>498</v>
      </c>
      <c r="C27" s="63" t="s">
        <v>185</v>
      </c>
      <c r="D27" s="63" t="s">
        <v>87</v>
      </c>
      <c r="E27" s="196">
        <v>70093</v>
      </c>
      <c r="F27" s="195">
        <v>48675</v>
      </c>
      <c r="K27" s="34">
        <f>K26+1</f>
        <v>46329</v>
      </c>
      <c r="L27" s="31" t="s">
        <v>498</v>
      </c>
      <c r="M27" s="31" t="s">
        <v>185</v>
      </c>
      <c r="N27" s="31" t="s">
        <v>87</v>
      </c>
      <c r="O27" s="32">
        <v>70093</v>
      </c>
      <c r="P27" s="33">
        <v>48675</v>
      </c>
    </row>
    <row r="28" spans="1:16" x14ac:dyDescent="0.25">
      <c r="A28" s="197">
        <f>A27+1</f>
        <v>46330</v>
      </c>
      <c r="B28" s="63" t="s">
        <v>499</v>
      </c>
      <c r="C28" s="63" t="s">
        <v>45</v>
      </c>
      <c r="D28" s="63" t="s">
        <v>123</v>
      </c>
      <c r="E28" s="196">
        <v>62869</v>
      </c>
      <c r="F28" s="195">
        <v>125909</v>
      </c>
      <c r="K28" s="34">
        <f>K27+1</f>
        <v>46330</v>
      </c>
      <c r="L28" s="31" t="s">
        <v>499</v>
      </c>
      <c r="M28" s="31" t="s">
        <v>45</v>
      </c>
      <c r="N28" s="31" t="s">
        <v>123</v>
      </c>
      <c r="O28" s="32">
        <v>62869</v>
      </c>
      <c r="P28" s="33">
        <v>125909</v>
      </c>
    </row>
    <row r="29" spans="1:16" x14ac:dyDescent="0.25">
      <c r="A29" s="197">
        <f>A28+1</f>
        <v>46331</v>
      </c>
      <c r="B29" s="63" t="s">
        <v>500</v>
      </c>
      <c r="C29" s="63" t="s">
        <v>126</v>
      </c>
      <c r="D29" s="63" t="s">
        <v>87</v>
      </c>
      <c r="E29" s="196">
        <v>119259</v>
      </c>
      <c r="F29" s="195">
        <v>100142</v>
      </c>
      <c r="K29" s="34">
        <f>K28+1</f>
        <v>46331</v>
      </c>
      <c r="L29" s="31" t="s">
        <v>500</v>
      </c>
      <c r="M29" s="31" t="s">
        <v>126</v>
      </c>
      <c r="N29" s="31" t="s">
        <v>87</v>
      </c>
      <c r="O29" s="32">
        <v>119259</v>
      </c>
      <c r="P29" s="33">
        <v>100142</v>
      </c>
    </row>
    <row r="30" spans="1:16" x14ac:dyDescent="0.25">
      <c r="A30" s="197">
        <f>A29+1</f>
        <v>46332</v>
      </c>
      <c r="B30" s="63" t="s">
        <v>501</v>
      </c>
      <c r="C30" s="63" t="s">
        <v>45</v>
      </c>
      <c r="D30" s="63" t="s">
        <v>123</v>
      </c>
      <c r="E30" s="196">
        <v>53301</v>
      </c>
      <c r="F30" s="195">
        <v>72325</v>
      </c>
      <c r="K30" s="34">
        <f>K29+1</f>
        <v>46332</v>
      </c>
      <c r="L30" s="31" t="s">
        <v>501</v>
      </c>
      <c r="M30" s="31" t="s">
        <v>45</v>
      </c>
      <c r="N30" s="31" t="s">
        <v>123</v>
      </c>
      <c r="O30" s="32">
        <v>53301</v>
      </c>
      <c r="P30" s="33">
        <v>72325</v>
      </c>
    </row>
    <row r="31" spans="1:16" x14ac:dyDescent="0.25">
      <c r="A31" s="197">
        <f>A30+1</f>
        <v>46333</v>
      </c>
      <c r="B31" s="63" t="s">
        <v>502</v>
      </c>
      <c r="C31" s="63" t="s">
        <v>93</v>
      </c>
      <c r="D31" s="63" t="s">
        <v>123</v>
      </c>
      <c r="E31" s="196">
        <v>132912</v>
      </c>
      <c r="F31" s="195">
        <v>116622</v>
      </c>
      <c r="K31" s="34">
        <f>K30+1</f>
        <v>46333</v>
      </c>
      <c r="L31" s="31" t="s">
        <v>502</v>
      </c>
      <c r="M31" s="31" t="s">
        <v>93</v>
      </c>
      <c r="N31" s="31" t="s">
        <v>123</v>
      </c>
      <c r="O31" s="32">
        <v>132912</v>
      </c>
      <c r="P31" s="33">
        <v>116622</v>
      </c>
    </row>
    <row r="32" spans="1:16" x14ac:dyDescent="0.25">
      <c r="A32" s="197">
        <f>A31+1</f>
        <v>46334</v>
      </c>
      <c r="B32" s="63" t="s">
        <v>503</v>
      </c>
      <c r="C32" s="63" t="s">
        <v>126</v>
      </c>
      <c r="D32" s="63" t="s">
        <v>87</v>
      </c>
      <c r="E32" s="196">
        <v>82447</v>
      </c>
      <c r="F32" s="195">
        <v>68746</v>
      </c>
      <c r="K32" s="34">
        <f>K31+1</f>
        <v>46334</v>
      </c>
      <c r="L32" s="31" t="s">
        <v>503</v>
      </c>
      <c r="M32" s="31" t="s">
        <v>126</v>
      </c>
      <c r="N32" s="31" t="s">
        <v>87</v>
      </c>
      <c r="O32" s="32">
        <v>82447</v>
      </c>
      <c r="P32" s="33">
        <v>68746</v>
      </c>
    </row>
    <row r="33" spans="1:16" x14ac:dyDescent="0.25">
      <c r="A33" s="197">
        <f>A32+1</f>
        <v>46335</v>
      </c>
      <c r="B33" s="63" t="s">
        <v>504</v>
      </c>
      <c r="C33" s="63" t="s">
        <v>45</v>
      </c>
      <c r="D33" s="63" t="s">
        <v>87</v>
      </c>
      <c r="E33" s="196">
        <v>46915</v>
      </c>
      <c r="F33" s="195">
        <v>139061</v>
      </c>
      <c r="K33" s="34">
        <f>K32+1</f>
        <v>46335</v>
      </c>
      <c r="L33" s="31" t="s">
        <v>504</v>
      </c>
      <c r="M33" s="31" t="s">
        <v>45</v>
      </c>
      <c r="N33" s="31" t="s">
        <v>87</v>
      </c>
      <c r="O33" s="32">
        <v>46915</v>
      </c>
      <c r="P33" s="33">
        <v>139061</v>
      </c>
    </row>
    <row r="34" spans="1:16" x14ac:dyDescent="0.25">
      <c r="A34" s="197">
        <f>A33+1</f>
        <v>46336</v>
      </c>
      <c r="B34" s="63" t="s">
        <v>505</v>
      </c>
      <c r="C34" s="63" t="s">
        <v>134</v>
      </c>
      <c r="D34" s="63" t="s">
        <v>74</v>
      </c>
      <c r="E34" s="196">
        <v>55033</v>
      </c>
      <c r="F34" s="195">
        <v>122240</v>
      </c>
      <c r="K34" s="34">
        <f>K33+1</f>
        <v>46336</v>
      </c>
      <c r="L34" s="31" t="s">
        <v>505</v>
      </c>
      <c r="M34" s="31" t="s">
        <v>134</v>
      </c>
      <c r="N34" s="31" t="s">
        <v>74</v>
      </c>
      <c r="O34" s="32">
        <v>55033</v>
      </c>
      <c r="P34" s="33">
        <v>122240</v>
      </c>
    </row>
    <row r="35" spans="1:16" x14ac:dyDescent="0.25">
      <c r="A35" s="197">
        <f>A34+1</f>
        <v>46337</v>
      </c>
      <c r="B35" s="63" t="s">
        <v>506</v>
      </c>
      <c r="C35" s="63" t="s">
        <v>45</v>
      </c>
      <c r="D35" s="63" t="s">
        <v>87</v>
      </c>
      <c r="E35" s="196">
        <v>113172</v>
      </c>
      <c r="F35" s="195">
        <v>48326</v>
      </c>
      <c r="K35" s="34">
        <f>K34+1</f>
        <v>46337</v>
      </c>
      <c r="L35" s="31" t="s">
        <v>506</v>
      </c>
      <c r="M35" s="31" t="s">
        <v>45</v>
      </c>
      <c r="N35" s="31" t="s">
        <v>87</v>
      </c>
      <c r="O35" s="32">
        <v>113172</v>
      </c>
      <c r="P35" s="33">
        <v>48326</v>
      </c>
    </row>
    <row r="36" spans="1:16" x14ac:dyDescent="0.25">
      <c r="A36" s="197">
        <f>A35+1</f>
        <v>46338</v>
      </c>
      <c r="B36" s="63" t="s">
        <v>507</v>
      </c>
      <c r="C36" s="63" t="s">
        <v>126</v>
      </c>
      <c r="D36" s="63" t="s">
        <v>87</v>
      </c>
      <c r="E36" s="196">
        <v>113104</v>
      </c>
      <c r="F36" s="195">
        <v>101348</v>
      </c>
      <c r="K36" s="34">
        <f>K35+1</f>
        <v>46338</v>
      </c>
      <c r="L36" s="31" t="s">
        <v>507</v>
      </c>
      <c r="M36" s="31" t="s">
        <v>126</v>
      </c>
      <c r="N36" s="31" t="s">
        <v>87</v>
      </c>
      <c r="O36" s="32">
        <v>113104</v>
      </c>
      <c r="P36" s="33">
        <v>101348</v>
      </c>
    </row>
    <row r="37" spans="1:16" x14ac:dyDescent="0.25">
      <c r="A37" s="197">
        <f>A36+1</f>
        <v>46339</v>
      </c>
      <c r="B37" s="63" t="s">
        <v>508</v>
      </c>
      <c r="C37" s="63" t="s">
        <v>80</v>
      </c>
      <c r="D37" s="63" t="s">
        <v>123</v>
      </c>
      <c r="E37" s="196">
        <v>20000</v>
      </c>
      <c r="F37" s="195">
        <v>41504</v>
      </c>
      <c r="K37" s="34">
        <f>K36+1</f>
        <v>46339</v>
      </c>
      <c r="L37" s="31" t="s">
        <v>508</v>
      </c>
      <c r="M37" s="31" t="s">
        <v>80</v>
      </c>
      <c r="N37" s="31" t="s">
        <v>123</v>
      </c>
      <c r="O37" s="32">
        <v>20000</v>
      </c>
      <c r="P37" s="33">
        <v>41504</v>
      </c>
    </row>
    <row r="38" spans="1:16" x14ac:dyDescent="0.25">
      <c r="A38" s="197">
        <f>A37+1</f>
        <v>46340</v>
      </c>
      <c r="B38" s="63" t="s">
        <v>509</v>
      </c>
      <c r="C38" s="63" t="s">
        <v>93</v>
      </c>
      <c r="D38" s="63" t="s">
        <v>74</v>
      </c>
      <c r="E38" s="196">
        <v>124353</v>
      </c>
      <c r="F38" s="195">
        <v>109163</v>
      </c>
      <c r="K38" s="34">
        <f>K37+1</f>
        <v>46340</v>
      </c>
      <c r="L38" s="31" t="s">
        <v>509</v>
      </c>
      <c r="M38" s="31" t="s">
        <v>93</v>
      </c>
      <c r="N38" s="31" t="s">
        <v>74</v>
      </c>
      <c r="O38" s="32">
        <v>124353</v>
      </c>
      <c r="P38" s="33">
        <v>109163</v>
      </c>
    </row>
    <row r="39" spans="1:16" x14ac:dyDescent="0.25">
      <c r="A39" s="197">
        <f>A38+1</f>
        <v>46341</v>
      </c>
      <c r="B39" s="63" t="s">
        <v>510</v>
      </c>
      <c r="C39" s="63" t="s">
        <v>185</v>
      </c>
      <c r="D39" s="63" t="s">
        <v>123</v>
      </c>
      <c r="E39" s="196">
        <v>49621</v>
      </c>
      <c r="F39" s="195">
        <v>78469</v>
      </c>
      <c r="K39" s="34">
        <f>K38+1</f>
        <v>46341</v>
      </c>
      <c r="L39" s="31" t="s">
        <v>510</v>
      </c>
      <c r="M39" s="31" t="s">
        <v>185</v>
      </c>
      <c r="N39" s="31" t="s">
        <v>123</v>
      </c>
      <c r="O39" s="32">
        <v>49621</v>
      </c>
      <c r="P39" s="33">
        <v>78469</v>
      </c>
    </row>
    <row r="40" spans="1:16" x14ac:dyDescent="0.25">
      <c r="A40" s="197">
        <f>A39+1</f>
        <v>46342</v>
      </c>
      <c r="B40" s="63" t="s">
        <v>511</v>
      </c>
      <c r="C40" s="63" t="s">
        <v>126</v>
      </c>
      <c r="D40" s="63" t="s">
        <v>57</v>
      </c>
      <c r="E40" s="196">
        <v>94470</v>
      </c>
      <c r="F40" s="195">
        <v>40425</v>
      </c>
      <c r="K40" s="34">
        <f>K39+1</f>
        <v>46342</v>
      </c>
      <c r="L40" s="31" t="s">
        <v>511</v>
      </c>
      <c r="M40" s="31" t="s">
        <v>126</v>
      </c>
      <c r="N40" s="31" t="s">
        <v>57</v>
      </c>
      <c r="O40" s="32">
        <v>94470</v>
      </c>
      <c r="P40" s="33">
        <v>40425</v>
      </c>
    </row>
    <row r="41" spans="1:16" x14ac:dyDescent="0.25">
      <c r="A41" s="197">
        <f>A40+1</f>
        <v>46343</v>
      </c>
      <c r="B41" s="63" t="s">
        <v>512</v>
      </c>
      <c r="C41" s="63" t="s">
        <v>93</v>
      </c>
      <c r="D41" s="63" t="s">
        <v>123</v>
      </c>
      <c r="E41" s="196">
        <v>100612</v>
      </c>
      <c r="F41" s="195">
        <v>139871</v>
      </c>
      <c r="K41" s="34">
        <f>K40+1</f>
        <v>46343</v>
      </c>
      <c r="L41" s="31" t="s">
        <v>512</v>
      </c>
      <c r="M41" s="31" t="s">
        <v>93</v>
      </c>
      <c r="N41" s="31" t="s">
        <v>123</v>
      </c>
      <c r="O41" s="32">
        <v>100612</v>
      </c>
      <c r="P41" s="33">
        <v>139871</v>
      </c>
    </row>
    <row r="42" spans="1:16" x14ac:dyDescent="0.25">
      <c r="A42" s="197">
        <f>A41+1</f>
        <v>46344</v>
      </c>
      <c r="B42" s="63" t="s">
        <v>513</v>
      </c>
      <c r="C42" s="63" t="s">
        <v>45</v>
      </c>
      <c r="D42" s="63" t="s">
        <v>74</v>
      </c>
      <c r="E42" s="196">
        <v>149100</v>
      </c>
      <c r="F42" s="195">
        <v>121959</v>
      </c>
      <c r="K42" s="34">
        <f>K41+1</f>
        <v>46344</v>
      </c>
      <c r="L42" s="31" t="s">
        <v>513</v>
      </c>
      <c r="M42" s="31" t="s">
        <v>45</v>
      </c>
      <c r="N42" s="31" t="s">
        <v>74</v>
      </c>
      <c r="O42" s="32">
        <v>149100</v>
      </c>
      <c r="P42" s="33">
        <v>121959</v>
      </c>
    </row>
    <row r="43" spans="1:16" x14ac:dyDescent="0.25">
      <c r="A43" s="197">
        <f>A42+1</f>
        <v>46345</v>
      </c>
      <c r="B43" s="63" t="s">
        <v>514</v>
      </c>
      <c r="C43" s="63" t="s">
        <v>185</v>
      </c>
      <c r="D43" s="63" t="s">
        <v>57</v>
      </c>
      <c r="E43" s="196">
        <v>55032</v>
      </c>
      <c r="F43" s="195">
        <v>89009</v>
      </c>
      <c r="K43" s="34">
        <f>K42+1</f>
        <v>46345</v>
      </c>
      <c r="L43" s="31" t="s">
        <v>514</v>
      </c>
      <c r="M43" s="31" t="s">
        <v>185</v>
      </c>
      <c r="N43" s="31" t="s">
        <v>57</v>
      </c>
      <c r="O43" s="32">
        <v>55032</v>
      </c>
      <c r="P43" s="33">
        <v>89009</v>
      </c>
    </row>
    <row r="44" spans="1:16" x14ac:dyDescent="0.25">
      <c r="A44" s="197">
        <f>A43+1</f>
        <v>46346</v>
      </c>
      <c r="B44" s="63" t="s">
        <v>515</v>
      </c>
      <c r="C44" s="63" t="s">
        <v>45</v>
      </c>
      <c r="D44" s="63" t="s">
        <v>74</v>
      </c>
      <c r="E44" s="196">
        <v>113504</v>
      </c>
      <c r="F44" s="195">
        <v>82487</v>
      </c>
      <c r="K44" s="34">
        <f>K43+1</f>
        <v>46346</v>
      </c>
      <c r="L44" s="31" t="s">
        <v>515</v>
      </c>
      <c r="M44" s="31" t="s">
        <v>45</v>
      </c>
      <c r="N44" s="31" t="s">
        <v>74</v>
      </c>
      <c r="O44" s="32">
        <v>113504</v>
      </c>
      <c r="P44" s="33">
        <v>82487</v>
      </c>
    </row>
    <row r="45" spans="1:16" x14ac:dyDescent="0.25">
      <c r="A45" s="197">
        <f>A44+1</f>
        <v>46347</v>
      </c>
      <c r="B45" s="63" t="s">
        <v>516</v>
      </c>
      <c r="C45" s="63" t="s">
        <v>126</v>
      </c>
      <c r="D45" s="63" t="s">
        <v>74</v>
      </c>
      <c r="E45" s="196">
        <v>49662</v>
      </c>
      <c r="F45" s="195">
        <v>87576</v>
      </c>
      <c r="K45" s="34">
        <f>K44+1</f>
        <v>46347</v>
      </c>
      <c r="L45" s="31" t="s">
        <v>516</v>
      </c>
      <c r="M45" s="31" t="s">
        <v>126</v>
      </c>
      <c r="N45" s="31" t="s">
        <v>74</v>
      </c>
      <c r="O45" s="32">
        <v>49662</v>
      </c>
      <c r="P45" s="33">
        <v>87576</v>
      </c>
    </row>
    <row r="46" spans="1:16" x14ac:dyDescent="0.25">
      <c r="A46" s="197">
        <f>A45+1</f>
        <v>46348</v>
      </c>
      <c r="B46" s="63" t="s">
        <v>517</v>
      </c>
      <c r="C46" s="63" t="s">
        <v>185</v>
      </c>
      <c r="D46" s="63" t="s">
        <v>57</v>
      </c>
      <c r="E46" s="196">
        <v>42592</v>
      </c>
      <c r="F46" s="195">
        <v>71571</v>
      </c>
      <c r="K46" s="34">
        <f>K45+1</f>
        <v>46348</v>
      </c>
      <c r="L46" s="31" t="s">
        <v>517</v>
      </c>
      <c r="M46" s="31" t="s">
        <v>185</v>
      </c>
      <c r="N46" s="31" t="s">
        <v>57</v>
      </c>
      <c r="O46" s="32">
        <v>42592</v>
      </c>
      <c r="P46" s="33">
        <v>71571</v>
      </c>
    </row>
    <row r="47" spans="1:16" x14ac:dyDescent="0.25">
      <c r="A47" s="197">
        <f>A46+1</f>
        <v>46349</v>
      </c>
      <c r="B47" s="63" t="s">
        <v>518</v>
      </c>
      <c r="C47" s="63" t="s">
        <v>80</v>
      </c>
      <c r="D47" s="63" t="s">
        <v>74</v>
      </c>
      <c r="E47" s="196">
        <v>46226</v>
      </c>
      <c r="F47" s="195">
        <v>135932</v>
      </c>
      <c r="K47" s="34">
        <f>K46+1</f>
        <v>46349</v>
      </c>
      <c r="L47" s="31" t="s">
        <v>518</v>
      </c>
      <c r="M47" s="31" t="s">
        <v>80</v>
      </c>
      <c r="N47" s="31" t="s">
        <v>74</v>
      </c>
      <c r="O47" s="32">
        <v>46226</v>
      </c>
      <c r="P47" s="33">
        <v>135932</v>
      </c>
    </row>
    <row r="48" spans="1:16" x14ac:dyDescent="0.25">
      <c r="A48" s="197">
        <f>A47+1</f>
        <v>46350</v>
      </c>
      <c r="B48" s="63" t="s">
        <v>519</v>
      </c>
      <c r="C48" s="63" t="s">
        <v>126</v>
      </c>
      <c r="D48" s="63" t="s">
        <v>74</v>
      </c>
      <c r="E48" s="196">
        <v>20000</v>
      </c>
      <c r="F48" s="195">
        <v>109822</v>
      </c>
      <c r="K48" s="34">
        <f>K47+1</f>
        <v>46350</v>
      </c>
      <c r="L48" s="31" t="s">
        <v>519</v>
      </c>
      <c r="M48" s="31" t="s">
        <v>126</v>
      </c>
      <c r="N48" s="31" t="s">
        <v>74</v>
      </c>
      <c r="O48" s="32">
        <v>20000</v>
      </c>
      <c r="P48" s="33">
        <v>109822</v>
      </c>
    </row>
    <row r="49" spans="1:16" x14ac:dyDescent="0.25">
      <c r="A49" s="197">
        <f>A48+1</f>
        <v>46351</v>
      </c>
      <c r="B49" s="63" t="s">
        <v>520</v>
      </c>
      <c r="C49" s="63" t="s">
        <v>45</v>
      </c>
      <c r="D49" s="63" t="s">
        <v>57</v>
      </c>
      <c r="E49" s="196">
        <v>121474</v>
      </c>
      <c r="F49" s="195">
        <v>102296</v>
      </c>
      <c r="K49" s="34">
        <f>K48+1</f>
        <v>46351</v>
      </c>
      <c r="L49" s="31" t="s">
        <v>520</v>
      </c>
      <c r="M49" s="31" t="s">
        <v>45</v>
      </c>
      <c r="N49" s="31" t="s">
        <v>57</v>
      </c>
      <c r="O49" s="32">
        <v>121474</v>
      </c>
      <c r="P49" s="33">
        <v>102296</v>
      </c>
    </row>
    <row r="50" spans="1:16" x14ac:dyDescent="0.25">
      <c r="A50" s="197">
        <f>A49+1</f>
        <v>46352</v>
      </c>
      <c r="B50" s="63" t="s">
        <v>521</v>
      </c>
      <c r="C50" s="63" t="s">
        <v>80</v>
      </c>
      <c r="D50" s="63" t="s">
        <v>57</v>
      </c>
      <c r="E50" s="196">
        <v>69741</v>
      </c>
      <c r="F50" s="195">
        <v>109163</v>
      </c>
      <c r="K50" s="34">
        <f>K49+1</f>
        <v>46352</v>
      </c>
      <c r="L50" s="31" t="s">
        <v>521</v>
      </c>
      <c r="M50" s="31" t="s">
        <v>80</v>
      </c>
      <c r="N50" s="31" t="s">
        <v>57</v>
      </c>
      <c r="O50" s="32">
        <v>69741</v>
      </c>
      <c r="P50" s="33">
        <v>109163</v>
      </c>
    </row>
    <row r="51" spans="1:16" ht="15.75" thickBot="1" x14ac:dyDescent="0.3">
      <c r="A51" s="194">
        <f>A50+1</f>
        <v>46353</v>
      </c>
      <c r="B51" s="90" t="s">
        <v>522</v>
      </c>
      <c r="C51" s="90" t="s">
        <v>80</v>
      </c>
      <c r="D51" s="90" t="s">
        <v>87</v>
      </c>
      <c r="E51" s="193">
        <v>62760</v>
      </c>
      <c r="F51" s="192">
        <v>110686</v>
      </c>
      <c r="K51" s="35">
        <f>K50+1</f>
        <v>46353</v>
      </c>
      <c r="L51" s="36" t="s">
        <v>522</v>
      </c>
      <c r="M51" s="36" t="s">
        <v>80</v>
      </c>
      <c r="N51" s="36" t="s">
        <v>87</v>
      </c>
      <c r="O51" s="37">
        <v>62760</v>
      </c>
      <c r="P51" s="38">
        <v>110686</v>
      </c>
    </row>
    <row r="52" spans="1:16" x14ac:dyDescent="0.25">
      <c r="A52" s="62"/>
      <c r="F52" s="203"/>
    </row>
    <row r="53" spans="1:16" x14ac:dyDescent="0.25">
      <c r="A53" s="62"/>
      <c r="F53" s="203"/>
    </row>
    <row r="54" spans="1:16" ht="15.75" thickBot="1" x14ac:dyDescent="0.3"/>
    <row r="55" spans="1:16" ht="15.75" x14ac:dyDescent="0.25">
      <c r="A55" s="202" t="s">
        <v>469</v>
      </c>
      <c r="B55" s="201" t="s">
        <v>470</v>
      </c>
      <c r="C55" s="201" t="s">
        <v>6</v>
      </c>
      <c r="D55" s="201" t="s">
        <v>36</v>
      </c>
      <c r="E55" s="200" t="s">
        <v>471</v>
      </c>
      <c r="F55" s="199" t="s">
        <v>472</v>
      </c>
      <c r="G55" s="199" t="s">
        <v>472</v>
      </c>
    </row>
    <row r="56" spans="1:16" x14ac:dyDescent="0.25">
      <c r="A56" s="198">
        <v>46304</v>
      </c>
      <c r="B56" s="63" t="s">
        <v>473</v>
      </c>
      <c r="C56" s="63" t="s">
        <v>93</v>
      </c>
      <c r="D56" s="63" t="s">
        <v>74</v>
      </c>
      <c r="E56" s="196">
        <v>38278</v>
      </c>
      <c r="F56" s="195">
        <v>137196</v>
      </c>
      <c r="G56" s="195">
        <v>137196</v>
      </c>
    </row>
    <row r="57" spans="1:16" x14ac:dyDescent="0.25">
      <c r="A57" s="197">
        <f>A56+1</f>
        <v>46305</v>
      </c>
      <c r="B57" s="63" t="s">
        <v>474</v>
      </c>
      <c r="C57" s="63" t="s">
        <v>185</v>
      </c>
      <c r="D57" s="63" t="s">
        <v>57</v>
      </c>
      <c r="E57" s="196">
        <v>64256</v>
      </c>
      <c r="F57" s="195">
        <v>58289</v>
      </c>
      <c r="G57" s="195">
        <v>58289</v>
      </c>
    </row>
    <row r="58" spans="1:16" x14ac:dyDescent="0.25">
      <c r="A58" s="197">
        <f>A57+1</f>
        <v>46306</v>
      </c>
      <c r="B58" s="63" t="s">
        <v>475</v>
      </c>
      <c r="C58" s="63" t="s">
        <v>93</v>
      </c>
      <c r="D58" s="63" t="s">
        <v>74</v>
      </c>
      <c r="E58" s="196">
        <v>123696</v>
      </c>
      <c r="F58" s="195">
        <v>137080</v>
      </c>
      <c r="G58" s="195">
        <v>137080</v>
      </c>
    </row>
    <row r="59" spans="1:16" x14ac:dyDescent="0.25">
      <c r="A59" s="197">
        <f>A58+1</f>
        <v>46307</v>
      </c>
      <c r="B59" s="63" t="s">
        <v>476</v>
      </c>
      <c r="C59" s="63" t="s">
        <v>80</v>
      </c>
      <c r="D59" s="63" t="s">
        <v>74</v>
      </c>
      <c r="E59" s="196">
        <v>112397</v>
      </c>
      <c r="F59" s="195">
        <v>95302</v>
      </c>
      <c r="G59" s="195">
        <v>95302</v>
      </c>
    </row>
    <row r="60" spans="1:16" x14ac:dyDescent="0.25">
      <c r="A60" s="197">
        <f>A59+1</f>
        <v>46308</v>
      </c>
      <c r="B60" s="63" t="s">
        <v>477</v>
      </c>
      <c r="C60" s="63" t="s">
        <v>134</v>
      </c>
      <c r="D60" s="63" t="s">
        <v>74</v>
      </c>
      <c r="E60" s="196">
        <v>47280</v>
      </c>
      <c r="F60" s="195">
        <v>68657</v>
      </c>
      <c r="G60" s="195">
        <v>68657</v>
      </c>
    </row>
    <row r="61" spans="1:16" x14ac:dyDescent="0.25">
      <c r="A61" s="197">
        <f>A60+1</f>
        <v>46309</v>
      </c>
      <c r="B61" s="63" t="s">
        <v>478</v>
      </c>
      <c r="C61" s="63" t="s">
        <v>45</v>
      </c>
      <c r="D61" s="63" t="s">
        <v>74</v>
      </c>
      <c r="E61" s="196">
        <v>108563</v>
      </c>
      <c r="F61" s="195">
        <v>66062</v>
      </c>
      <c r="G61" s="195">
        <v>66062</v>
      </c>
    </row>
    <row r="62" spans="1:16" x14ac:dyDescent="0.25">
      <c r="A62" s="197">
        <f>A61+1</f>
        <v>46310</v>
      </c>
      <c r="B62" s="63" t="s">
        <v>479</v>
      </c>
      <c r="C62" s="63" t="s">
        <v>93</v>
      </c>
      <c r="D62" s="63" t="s">
        <v>87</v>
      </c>
      <c r="E62" s="196">
        <v>63893</v>
      </c>
      <c r="F62" s="195">
        <v>98878</v>
      </c>
      <c r="G62" s="195">
        <v>98878</v>
      </c>
    </row>
    <row r="63" spans="1:16" x14ac:dyDescent="0.25">
      <c r="A63" s="197">
        <f>A62+1</f>
        <v>46311</v>
      </c>
      <c r="B63" s="63" t="s">
        <v>480</v>
      </c>
      <c r="C63" s="63" t="s">
        <v>80</v>
      </c>
      <c r="D63" s="63" t="s">
        <v>123</v>
      </c>
      <c r="E63" s="196">
        <v>141093</v>
      </c>
      <c r="F63" s="195">
        <v>40851</v>
      </c>
      <c r="G63" s="195">
        <v>40851</v>
      </c>
    </row>
    <row r="64" spans="1:16" x14ac:dyDescent="0.25">
      <c r="A64" s="197">
        <f>A63+1</f>
        <v>46312</v>
      </c>
      <c r="B64" s="63" t="s">
        <v>481</v>
      </c>
      <c r="C64" s="63" t="s">
        <v>45</v>
      </c>
      <c r="D64" s="63" t="s">
        <v>87</v>
      </c>
      <c r="E64" s="196">
        <v>79597</v>
      </c>
      <c r="F64" s="195">
        <v>76421</v>
      </c>
      <c r="G64" s="195">
        <v>76421</v>
      </c>
    </row>
    <row r="65" spans="1:7" x14ac:dyDescent="0.25">
      <c r="A65" s="197">
        <f>A64+1</f>
        <v>46313</v>
      </c>
      <c r="B65" s="63" t="s">
        <v>482</v>
      </c>
      <c r="C65" s="63" t="s">
        <v>45</v>
      </c>
      <c r="D65" s="63" t="s">
        <v>57</v>
      </c>
      <c r="E65" s="196">
        <v>135072</v>
      </c>
      <c r="F65" s="195">
        <v>84118</v>
      </c>
      <c r="G65" s="195">
        <v>84118</v>
      </c>
    </row>
    <row r="66" spans="1:7" x14ac:dyDescent="0.25">
      <c r="A66" s="197">
        <f>A65+1</f>
        <v>46314</v>
      </c>
      <c r="B66" s="63" t="s">
        <v>483</v>
      </c>
      <c r="C66" s="63" t="s">
        <v>134</v>
      </c>
      <c r="D66" s="63" t="s">
        <v>74</v>
      </c>
      <c r="E66" s="196">
        <v>84797</v>
      </c>
      <c r="F66" s="195">
        <v>52676</v>
      </c>
      <c r="G66" s="195">
        <v>52676</v>
      </c>
    </row>
    <row r="67" spans="1:7" x14ac:dyDescent="0.25">
      <c r="A67" s="197">
        <f>A66+1</f>
        <v>46315</v>
      </c>
      <c r="B67" s="63" t="s">
        <v>484</v>
      </c>
      <c r="C67" s="63" t="s">
        <v>185</v>
      </c>
      <c r="D67" s="63" t="s">
        <v>123</v>
      </c>
      <c r="E67" s="196">
        <v>20000</v>
      </c>
      <c r="F67" s="195">
        <v>74671</v>
      </c>
      <c r="G67" s="195">
        <v>74671</v>
      </c>
    </row>
    <row r="68" spans="1:7" x14ac:dyDescent="0.25">
      <c r="A68" s="197">
        <f>A67+1</f>
        <v>46316</v>
      </c>
      <c r="B68" s="63" t="s">
        <v>485</v>
      </c>
      <c r="C68" s="63" t="s">
        <v>134</v>
      </c>
      <c r="D68" s="63" t="s">
        <v>87</v>
      </c>
      <c r="E68" s="196">
        <v>105284</v>
      </c>
      <c r="F68" s="195">
        <v>56361</v>
      </c>
      <c r="G68" s="195">
        <v>56361</v>
      </c>
    </row>
    <row r="69" spans="1:7" x14ac:dyDescent="0.25">
      <c r="A69" s="197">
        <f>A68+1</f>
        <v>46317</v>
      </c>
      <c r="B69" s="63" t="s">
        <v>486</v>
      </c>
      <c r="C69" s="63" t="s">
        <v>126</v>
      </c>
      <c r="D69" s="63" t="s">
        <v>74</v>
      </c>
      <c r="E69" s="196">
        <v>20000</v>
      </c>
      <c r="F69" s="195">
        <v>78427</v>
      </c>
      <c r="G69" s="195">
        <v>78427</v>
      </c>
    </row>
    <row r="70" spans="1:7" x14ac:dyDescent="0.25">
      <c r="A70" s="197">
        <f>A69+1</f>
        <v>46318</v>
      </c>
      <c r="B70" s="63" t="s">
        <v>487</v>
      </c>
      <c r="C70" s="63" t="s">
        <v>93</v>
      </c>
      <c r="D70" s="63" t="s">
        <v>123</v>
      </c>
      <c r="E70" s="196">
        <v>110674</v>
      </c>
      <c r="F70" s="195">
        <v>65203</v>
      </c>
      <c r="G70" s="195">
        <v>65203</v>
      </c>
    </row>
    <row r="71" spans="1:7" x14ac:dyDescent="0.25">
      <c r="A71" s="197">
        <f>A70+1</f>
        <v>46319</v>
      </c>
      <c r="B71" s="63" t="s">
        <v>488</v>
      </c>
      <c r="C71" s="63" t="s">
        <v>93</v>
      </c>
      <c r="D71" s="63" t="s">
        <v>74</v>
      </c>
      <c r="E71" s="196">
        <v>41006</v>
      </c>
      <c r="F71" s="195">
        <v>126673</v>
      </c>
      <c r="G71" s="195">
        <v>126673</v>
      </c>
    </row>
    <row r="72" spans="1:7" x14ac:dyDescent="0.25">
      <c r="A72" s="197">
        <f>A71+1</f>
        <v>46320</v>
      </c>
      <c r="B72" s="63" t="s">
        <v>489</v>
      </c>
      <c r="C72" s="63" t="s">
        <v>45</v>
      </c>
      <c r="D72" s="63" t="s">
        <v>123</v>
      </c>
      <c r="E72" s="196">
        <v>45458</v>
      </c>
      <c r="F72" s="195">
        <v>70512</v>
      </c>
      <c r="G72" s="195">
        <v>70512</v>
      </c>
    </row>
    <row r="73" spans="1:7" x14ac:dyDescent="0.25">
      <c r="A73" s="197">
        <f>A72+1</f>
        <v>46321</v>
      </c>
      <c r="B73" s="63" t="s">
        <v>490</v>
      </c>
      <c r="C73" s="63" t="s">
        <v>134</v>
      </c>
      <c r="D73" s="63" t="s">
        <v>87</v>
      </c>
      <c r="E73" s="196">
        <v>71434</v>
      </c>
      <c r="F73" s="195">
        <v>99429</v>
      </c>
      <c r="G73" s="195">
        <v>99429</v>
      </c>
    </row>
    <row r="74" spans="1:7" x14ac:dyDescent="0.25">
      <c r="A74" s="197">
        <f>A73+1</f>
        <v>46322</v>
      </c>
      <c r="B74" s="63" t="s">
        <v>491</v>
      </c>
      <c r="C74" s="63" t="s">
        <v>93</v>
      </c>
      <c r="D74" s="63" t="s">
        <v>123</v>
      </c>
      <c r="E74" s="196">
        <v>56319</v>
      </c>
      <c r="F74" s="195">
        <v>88520</v>
      </c>
      <c r="G74" s="195">
        <v>88520</v>
      </c>
    </row>
    <row r="75" spans="1:7" x14ac:dyDescent="0.25">
      <c r="A75" s="197">
        <f>A74+1</f>
        <v>46323</v>
      </c>
      <c r="B75" s="63" t="s">
        <v>492</v>
      </c>
      <c r="C75" s="63" t="s">
        <v>185</v>
      </c>
      <c r="D75" s="63" t="s">
        <v>57</v>
      </c>
      <c r="E75" s="196">
        <v>122841</v>
      </c>
      <c r="F75" s="195">
        <v>74993</v>
      </c>
      <c r="G75" s="195">
        <v>74993</v>
      </c>
    </row>
    <row r="76" spans="1:7" x14ac:dyDescent="0.25">
      <c r="A76" s="197">
        <f>A75+1</f>
        <v>46324</v>
      </c>
      <c r="B76" s="63" t="s">
        <v>493</v>
      </c>
      <c r="C76" s="63" t="s">
        <v>93</v>
      </c>
      <c r="D76" s="63" t="s">
        <v>74</v>
      </c>
      <c r="E76" s="196">
        <v>114840</v>
      </c>
      <c r="F76" s="195">
        <v>123227</v>
      </c>
      <c r="G76" s="195">
        <v>123227</v>
      </c>
    </row>
    <row r="77" spans="1:7" x14ac:dyDescent="0.25">
      <c r="A77" s="197">
        <f>A76+1</f>
        <v>46325</v>
      </c>
      <c r="B77" s="63" t="s">
        <v>494</v>
      </c>
      <c r="C77" s="63" t="s">
        <v>45</v>
      </c>
      <c r="D77" s="63" t="s">
        <v>57</v>
      </c>
      <c r="E77" s="196">
        <v>56417</v>
      </c>
      <c r="F77" s="195">
        <v>100589</v>
      </c>
      <c r="G77" s="195">
        <v>100589</v>
      </c>
    </row>
    <row r="78" spans="1:7" x14ac:dyDescent="0.25">
      <c r="A78" s="197">
        <f>A77+1</f>
        <v>46326</v>
      </c>
      <c r="B78" s="63" t="s">
        <v>495</v>
      </c>
      <c r="C78" s="63" t="s">
        <v>126</v>
      </c>
      <c r="D78" s="63" t="s">
        <v>123</v>
      </c>
      <c r="E78" s="196">
        <v>118886</v>
      </c>
      <c r="F78" s="195">
        <v>130198</v>
      </c>
      <c r="G78" s="195">
        <v>130198</v>
      </c>
    </row>
    <row r="79" spans="1:7" x14ac:dyDescent="0.25">
      <c r="A79" s="197">
        <f>A78+1</f>
        <v>46327</v>
      </c>
      <c r="B79" s="63" t="s">
        <v>496</v>
      </c>
      <c r="C79" s="63" t="s">
        <v>80</v>
      </c>
      <c r="D79" s="63" t="s">
        <v>57</v>
      </c>
      <c r="E79" s="196">
        <v>124733</v>
      </c>
      <c r="F79" s="195">
        <v>82504</v>
      </c>
      <c r="G79" s="195">
        <v>82504</v>
      </c>
    </row>
    <row r="80" spans="1:7" x14ac:dyDescent="0.25">
      <c r="A80" s="197">
        <f>A79+1</f>
        <v>46328</v>
      </c>
      <c r="B80" s="63" t="s">
        <v>497</v>
      </c>
      <c r="C80" s="63" t="s">
        <v>134</v>
      </c>
      <c r="D80" s="63" t="s">
        <v>57</v>
      </c>
      <c r="E80" s="196">
        <v>142715</v>
      </c>
      <c r="F80" s="195">
        <v>44207</v>
      </c>
      <c r="G80" s="195">
        <v>44207</v>
      </c>
    </row>
    <row r="81" spans="1:7" x14ac:dyDescent="0.25">
      <c r="A81" s="197">
        <f>A80+1</f>
        <v>46329</v>
      </c>
      <c r="B81" s="63" t="s">
        <v>498</v>
      </c>
      <c r="C81" s="63" t="s">
        <v>185</v>
      </c>
      <c r="D81" s="63" t="s">
        <v>87</v>
      </c>
      <c r="E81" s="196">
        <v>70093</v>
      </c>
      <c r="F81" s="195">
        <v>48675</v>
      </c>
      <c r="G81" s="195">
        <v>48675</v>
      </c>
    </row>
    <row r="82" spans="1:7" x14ac:dyDescent="0.25">
      <c r="A82" s="197">
        <f>A81+1</f>
        <v>46330</v>
      </c>
      <c r="B82" s="63" t="s">
        <v>499</v>
      </c>
      <c r="C82" s="63" t="s">
        <v>45</v>
      </c>
      <c r="D82" s="63" t="s">
        <v>123</v>
      </c>
      <c r="E82" s="196">
        <v>62869</v>
      </c>
      <c r="F82" s="195">
        <v>125909</v>
      </c>
      <c r="G82" s="195">
        <v>125909</v>
      </c>
    </row>
    <row r="83" spans="1:7" x14ac:dyDescent="0.25">
      <c r="A83" s="197">
        <f>A82+1</f>
        <v>46331</v>
      </c>
      <c r="B83" s="63" t="s">
        <v>500</v>
      </c>
      <c r="C83" s="63" t="s">
        <v>126</v>
      </c>
      <c r="D83" s="63" t="s">
        <v>87</v>
      </c>
      <c r="E83" s="196">
        <v>119259</v>
      </c>
      <c r="F83" s="195">
        <v>100142</v>
      </c>
      <c r="G83" s="195">
        <v>100142</v>
      </c>
    </row>
    <row r="84" spans="1:7" x14ac:dyDescent="0.25">
      <c r="A84" s="197">
        <f>A83+1</f>
        <v>46332</v>
      </c>
      <c r="B84" s="63" t="s">
        <v>501</v>
      </c>
      <c r="C84" s="63" t="s">
        <v>45</v>
      </c>
      <c r="D84" s="63" t="s">
        <v>123</v>
      </c>
      <c r="E84" s="196">
        <v>53301</v>
      </c>
      <c r="F84" s="195">
        <v>72325</v>
      </c>
      <c r="G84" s="195">
        <v>72325</v>
      </c>
    </row>
    <row r="85" spans="1:7" x14ac:dyDescent="0.25">
      <c r="A85" s="197">
        <f>A84+1</f>
        <v>46333</v>
      </c>
      <c r="B85" s="63" t="s">
        <v>502</v>
      </c>
      <c r="C85" s="63" t="s">
        <v>93</v>
      </c>
      <c r="D85" s="63" t="s">
        <v>123</v>
      </c>
      <c r="E85" s="196">
        <v>132912</v>
      </c>
      <c r="F85" s="195">
        <v>116622</v>
      </c>
      <c r="G85" s="195">
        <v>116622</v>
      </c>
    </row>
    <row r="86" spans="1:7" x14ac:dyDescent="0.25">
      <c r="A86" s="197">
        <f>A85+1</f>
        <v>46334</v>
      </c>
      <c r="B86" s="63" t="s">
        <v>503</v>
      </c>
      <c r="C86" s="63" t="s">
        <v>126</v>
      </c>
      <c r="D86" s="63" t="s">
        <v>87</v>
      </c>
      <c r="E86" s="196">
        <v>82447</v>
      </c>
      <c r="F86" s="195">
        <v>68746</v>
      </c>
      <c r="G86" s="195">
        <v>68746</v>
      </c>
    </row>
    <row r="87" spans="1:7" x14ac:dyDescent="0.25">
      <c r="A87" s="197">
        <f>A86+1</f>
        <v>46335</v>
      </c>
      <c r="B87" s="63" t="s">
        <v>504</v>
      </c>
      <c r="C87" s="63" t="s">
        <v>45</v>
      </c>
      <c r="D87" s="63" t="s">
        <v>87</v>
      </c>
      <c r="E87" s="196">
        <v>46915</v>
      </c>
      <c r="F87" s="195">
        <v>139061</v>
      </c>
      <c r="G87" s="195">
        <v>139061</v>
      </c>
    </row>
    <row r="88" spans="1:7" x14ac:dyDescent="0.25">
      <c r="A88" s="197">
        <f>A87+1</f>
        <v>46336</v>
      </c>
      <c r="B88" s="63" t="s">
        <v>505</v>
      </c>
      <c r="C88" s="63" t="s">
        <v>134</v>
      </c>
      <c r="D88" s="63" t="s">
        <v>74</v>
      </c>
      <c r="E88" s="196">
        <v>55033</v>
      </c>
      <c r="F88" s="195">
        <v>122240</v>
      </c>
      <c r="G88" s="195">
        <v>122240</v>
      </c>
    </row>
    <row r="89" spans="1:7" x14ac:dyDescent="0.25">
      <c r="A89" s="197">
        <f>A88+1</f>
        <v>46337</v>
      </c>
      <c r="B89" s="63" t="s">
        <v>506</v>
      </c>
      <c r="C89" s="63" t="s">
        <v>45</v>
      </c>
      <c r="D89" s="63" t="s">
        <v>87</v>
      </c>
      <c r="E89" s="196">
        <v>113172</v>
      </c>
      <c r="F89" s="195">
        <v>48326</v>
      </c>
      <c r="G89" s="195">
        <v>48326</v>
      </c>
    </row>
    <row r="90" spans="1:7" x14ac:dyDescent="0.25">
      <c r="A90" s="197">
        <f>A89+1</f>
        <v>46338</v>
      </c>
      <c r="B90" s="63" t="s">
        <v>507</v>
      </c>
      <c r="C90" s="63" t="s">
        <v>126</v>
      </c>
      <c r="D90" s="63" t="s">
        <v>87</v>
      </c>
      <c r="E90" s="196">
        <v>113104</v>
      </c>
      <c r="F90" s="195">
        <v>101348</v>
      </c>
      <c r="G90" s="195">
        <v>101348</v>
      </c>
    </row>
    <row r="91" spans="1:7" x14ac:dyDescent="0.25">
      <c r="A91" s="197">
        <f>A90+1</f>
        <v>46339</v>
      </c>
      <c r="B91" s="63" t="s">
        <v>508</v>
      </c>
      <c r="C91" s="63" t="s">
        <v>80</v>
      </c>
      <c r="D91" s="63" t="s">
        <v>123</v>
      </c>
      <c r="E91" s="196">
        <v>20000</v>
      </c>
      <c r="F91" s="195">
        <v>41504</v>
      </c>
      <c r="G91" s="195">
        <v>41504</v>
      </c>
    </row>
    <row r="92" spans="1:7" x14ac:dyDescent="0.25">
      <c r="A92" s="197">
        <f>A91+1</f>
        <v>46340</v>
      </c>
      <c r="B92" s="63" t="s">
        <v>509</v>
      </c>
      <c r="C92" s="63" t="s">
        <v>93</v>
      </c>
      <c r="D92" s="63" t="s">
        <v>74</v>
      </c>
      <c r="E92" s="196">
        <v>124353</v>
      </c>
      <c r="F92" s="195">
        <v>109163</v>
      </c>
      <c r="G92" s="195">
        <v>109163</v>
      </c>
    </row>
    <row r="93" spans="1:7" x14ac:dyDescent="0.25">
      <c r="A93" s="197">
        <f>A92+1</f>
        <v>46341</v>
      </c>
      <c r="B93" s="63" t="s">
        <v>510</v>
      </c>
      <c r="C93" s="63" t="s">
        <v>185</v>
      </c>
      <c r="D93" s="63" t="s">
        <v>123</v>
      </c>
      <c r="E93" s="196">
        <v>49621</v>
      </c>
      <c r="F93" s="195">
        <v>78469</v>
      </c>
      <c r="G93" s="195">
        <v>78469</v>
      </c>
    </row>
    <row r="94" spans="1:7" x14ac:dyDescent="0.25">
      <c r="A94" s="197">
        <f>A93+1</f>
        <v>46342</v>
      </c>
      <c r="B94" s="63" t="s">
        <v>511</v>
      </c>
      <c r="C94" s="63" t="s">
        <v>126</v>
      </c>
      <c r="D94" s="63" t="s">
        <v>57</v>
      </c>
      <c r="E94" s="196">
        <v>94470</v>
      </c>
      <c r="F94" s="195">
        <v>40425</v>
      </c>
      <c r="G94" s="195">
        <v>40425</v>
      </c>
    </row>
    <row r="95" spans="1:7" x14ac:dyDescent="0.25">
      <c r="A95" s="197">
        <f>A94+1</f>
        <v>46343</v>
      </c>
      <c r="B95" s="63" t="s">
        <v>512</v>
      </c>
      <c r="C95" s="63" t="s">
        <v>93</v>
      </c>
      <c r="D95" s="63" t="s">
        <v>123</v>
      </c>
      <c r="E95" s="196">
        <v>100612</v>
      </c>
      <c r="F95" s="195">
        <v>139871</v>
      </c>
      <c r="G95" s="195">
        <v>139871</v>
      </c>
    </row>
    <row r="96" spans="1:7" x14ac:dyDescent="0.25">
      <c r="A96" s="197">
        <f>A95+1</f>
        <v>46344</v>
      </c>
      <c r="B96" s="63" t="s">
        <v>513</v>
      </c>
      <c r="C96" s="63" t="s">
        <v>45</v>
      </c>
      <c r="D96" s="63" t="s">
        <v>74</v>
      </c>
      <c r="E96" s="196">
        <v>149100</v>
      </c>
      <c r="F96" s="195">
        <v>121959</v>
      </c>
      <c r="G96" s="195">
        <v>121959</v>
      </c>
    </row>
    <row r="97" spans="1:7" x14ac:dyDescent="0.25">
      <c r="A97" s="197">
        <f>A96+1</f>
        <v>46345</v>
      </c>
      <c r="B97" s="63" t="s">
        <v>514</v>
      </c>
      <c r="C97" s="63" t="s">
        <v>185</v>
      </c>
      <c r="D97" s="63" t="s">
        <v>57</v>
      </c>
      <c r="E97" s="196">
        <v>55032</v>
      </c>
      <c r="F97" s="195">
        <v>89009</v>
      </c>
      <c r="G97" s="195">
        <v>89009</v>
      </c>
    </row>
    <row r="98" spans="1:7" x14ac:dyDescent="0.25">
      <c r="A98" s="197">
        <f>A97+1</f>
        <v>46346</v>
      </c>
      <c r="B98" s="63" t="s">
        <v>515</v>
      </c>
      <c r="C98" s="63" t="s">
        <v>45</v>
      </c>
      <c r="D98" s="63" t="s">
        <v>74</v>
      </c>
      <c r="E98" s="196">
        <v>113504</v>
      </c>
      <c r="F98" s="195">
        <v>82487</v>
      </c>
      <c r="G98" s="195">
        <v>82487</v>
      </c>
    </row>
    <row r="99" spans="1:7" x14ac:dyDescent="0.25">
      <c r="A99" s="197">
        <f>A98+1</f>
        <v>46347</v>
      </c>
      <c r="B99" s="63" t="s">
        <v>516</v>
      </c>
      <c r="C99" s="63" t="s">
        <v>126</v>
      </c>
      <c r="D99" s="63" t="s">
        <v>74</v>
      </c>
      <c r="E99" s="196">
        <v>49662</v>
      </c>
      <c r="F99" s="195">
        <v>87576</v>
      </c>
      <c r="G99" s="195">
        <v>87576</v>
      </c>
    </row>
    <row r="100" spans="1:7" x14ac:dyDescent="0.25">
      <c r="A100" s="197">
        <f>A99+1</f>
        <v>46348</v>
      </c>
      <c r="B100" s="63" t="s">
        <v>517</v>
      </c>
      <c r="C100" s="63" t="s">
        <v>185</v>
      </c>
      <c r="D100" s="63" t="s">
        <v>57</v>
      </c>
      <c r="E100" s="196">
        <v>42592</v>
      </c>
      <c r="F100" s="195">
        <v>71571</v>
      </c>
      <c r="G100" s="195">
        <v>71571</v>
      </c>
    </row>
    <row r="101" spans="1:7" x14ac:dyDescent="0.25">
      <c r="A101" s="197">
        <f>A100+1</f>
        <v>46349</v>
      </c>
      <c r="B101" s="63" t="s">
        <v>518</v>
      </c>
      <c r="C101" s="63" t="s">
        <v>80</v>
      </c>
      <c r="D101" s="63" t="s">
        <v>74</v>
      </c>
      <c r="E101" s="196">
        <v>46226</v>
      </c>
      <c r="F101" s="195">
        <v>135932</v>
      </c>
      <c r="G101" s="195">
        <v>135932</v>
      </c>
    </row>
    <row r="102" spans="1:7" x14ac:dyDescent="0.25">
      <c r="A102" s="197">
        <f>A101+1</f>
        <v>46350</v>
      </c>
      <c r="B102" s="63" t="s">
        <v>519</v>
      </c>
      <c r="C102" s="63" t="s">
        <v>126</v>
      </c>
      <c r="D102" s="63" t="s">
        <v>74</v>
      </c>
      <c r="E102" s="196">
        <v>20000</v>
      </c>
      <c r="F102" s="195">
        <v>109822</v>
      </c>
      <c r="G102" s="195">
        <v>109822</v>
      </c>
    </row>
    <row r="103" spans="1:7" x14ac:dyDescent="0.25">
      <c r="A103" s="197">
        <f>A102+1</f>
        <v>46351</v>
      </c>
      <c r="B103" s="63" t="s">
        <v>520</v>
      </c>
      <c r="C103" s="63" t="s">
        <v>45</v>
      </c>
      <c r="D103" s="63" t="s">
        <v>57</v>
      </c>
      <c r="E103" s="196">
        <v>121474</v>
      </c>
      <c r="F103" s="195">
        <v>102296</v>
      </c>
      <c r="G103" s="195">
        <v>102296</v>
      </c>
    </row>
    <row r="104" spans="1:7" x14ac:dyDescent="0.25">
      <c r="A104" s="197">
        <f>A103+1</f>
        <v>46352</v>
      </c>
      <c r="B104" s="63" t="s">
        <v>521</v>
      </c>
      <c r="C104" s="63" t="s">
        <v>80</v>
      </c>
      <c r="D104" s="63" t="s">
        <v>57</v>
      </c>
      <c r="E104" s="196">
        <v>69741</v>
      </c>
      <c r="F104" s="195">
        <v>109163</v>
      </c>
      <c r="G104" s="195">
        <v>109163</v>
      </c>
    </row>
    <row r="105" spans="1:7" ht="15.75" thickBot="1" x14ac:dyDescent="0.3">
      <c r="A105" s="194">
        <f>A104+1</f>
        <v>46353</v>
      </c>
      <c r="B105" s="90" t="s">
        <v>522</v>
      </c>
      <c r="C105" s="90" t="s">
        <v>80</v>
      </c>
      <c r="D105" s="90" t="s">
        <v>87</v>
      </c>
      <c r="E105" s="193">
        <v>62760</v>
      </c>
      <c r="F105" s="192">
        <v>110686</v>
      </c>
      <c r="G105" s="192">
        <v>110686</v>
      </c>
    </row>
  </sheetData>
  <conditionalFormatting sqref="E2:E51">
    <cfRule type="cellIs" dxfId="43" priority="13" operator="equal">
      <formula>20000</formula>
    </cfRule>
    <cfRule type="cellIs" dxfId="42" priority="14" operator="between">
      <formula>50000</formula>
      <formula>100000</formula>
    </cfRule>
    <cfRule type="cellIs" dxfId="41" priority="15" operator="between">
      <formula>"Rs. 65,984"</formula>
      <formula>"Rs. 121,395"</formula>
    </cfRule>
    <cfRule type="cellIs" dxfId="40" priority="16" operator="lessThan">
      <formula>93689</formula>
    </cfRule>
    <cfRule type="cellIs" dxfId="39" priority="17" operator="greaterThan">
      <formula>93689</formula>
    </cfRule>
    <cfRule type="cellIs" dxfId="38" priority="18" operator="greaterThan">
      <formula>"Rs. 93,689"</formula>
    </cfRule>
  </conditionalFormatting>
  <conditionalFormatting sqref="B2:B53">
    <cfRule type="containsText" dxfId="37" priority="12" operator="containsText" text="Ayesha khan">
      <formula>NOT(ISERROR(SEARCH("Ayesha khan",B2)))</formula>
    </cfRule>
  </conditionalFormatting>
  <conditionalFormatting sqref="A3:A53">
    <cfRule type="timePeriod" dxfId="36" priority="10" timePeriod="yesterday">
      <formula>FLOOR(A3,1)=TODAY()-1</formula>
    </cfRule>
    <cfRule type="timePeriod" dxfId="35" priority="11" timePeriod="yesterday">
      <formula>FLOOR(A3,1)=TODAY()-1</formula>
    </cfRule>
  </conditionalFormatting>
  <conditionalFormatting sqref="A2:A53">
    <cfRule type="timePeriod" dxfId="34" priority="7" timePeriod="nextWeek">
      <formula>AND(ROUNDDOWN(A2,0)-TODAY()&gt;(7-WEEKDAY(TODAY())),ROUNDDOWN(A2,0)-TODAY()&lt;(15-WEEKDAY(TODAY())))</formula>
    </cfRule>
    <cfRule type="timePeriod" dxfId="33" priority="8" timePeriod="yesterday">
      <formula>FLOOR(A2,1)=TODAY()-1</formula>
    </cfRule>
    <cfRule type="timePeriod" dxfId="32" priority="9" timePeriod="today">
      <formula>FLOOR(A2,1)=TODAY()</formula>
    </cfRule>
  </conditionalFormatting>
  <conditionalFormatting sqref="F2:F53">
    <cfRule type="uniqueValues" dxfId="31" priority="5"/>
    <cfRule type="duplicateValues" dxfId="30" priority="6"/>
  </conditionalFormatting>
  <conditionalFormatting sqref="E55:E105">
    <cfRule type="dataBar" priority="2">
      <dataBar>
        <cfvo type="min"/>
        <cfvo type="max"/>
        <color rgb="FF638EC6"/>
      </dataBar>
      <extLst>
        <ext xmlns:x14="http://schemas.microsoft.com/office/spreadsheetml/2009/9/main" uri="{B025F937-C7B1-47D3-B67F-A62EFF666E3E}">
          <x14:id>{2E309423-9767-4F71-AD6F-016B7BD20859}</x14:id>
        </ext>
      </extLst>
    </cfRule>
  </conditionalFormatting>
  <conditionalFormatting sqref="F55:F105">
    <cfRule type="colorScale" priority="3">
      <colorScale>
        <cfvo type="min"/>
        <cfvo type="max"/>
        <color rgb="FFFCFCFF"/>
        <color rgb="FFF8696B"/>
      </colorScale>
    </cfRule>
    <cfRule type="colorScale" priority="4">
      <colorScale>
        <cfvo type="min"/>
        <cfvo type="percentile" val="50"/>
        <cfvo type="max"/>
        <color rgb="FF63BE7B"/>
        <color rgb="FFFFEB84"/>
        <color rgb="FFF8696B"/>
      </colorScale>
    </cfRule>
  </conditionalFormatting>
  <conditionalFormatting sqref="G55:G105">
    <cfRule type="iconSet" priority="1">
      <iconSet iconSet="3Arrows">
        <cfvo type="percent" val="0"/>
        <cfvo type="percent" val="33"/>
        <cfvo type="percent" val="67"/>
      </iconSet>
    </cfRule>
  </conditionalFormatting>
  <conditionalFormatting sqref="L1:P51">
    <cfRule type="dataBar" priority="19">
      <dataBar>
        <cfvo type="min"/>
        <cfvo type="max"/>
        <color rgb="FF638EC6"/>
      </dataBar>
      <extLst>
        <ext xmlns:x14="http://schemas.microsoft.com/office/spreadsheetml/2009/9/main" uri="{B025F937-C7B1-47D3-B67F-A62EFF666E3E}">
          <x14:id>{C5C725F4-FE34-4BBF-A458-8AB1D293B7CF}</x14:id>
        </ext>
      </extLst>
    </cfRule>
  </conditionalFormatting>
  <conditionalFormatting sqref="L1:P51">
    <cfRule type="iconSet" priority="20">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E309423-9767-4F71-AD6F-016B7BD20859}">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C5C725F4-FE34-4BBF-A458-8AB1D293B7CF}">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2DB1-5163-4E99-AC18-B65E0564A1B5}">
  <sheetPr codeName="Sheet6"/>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51" bestFit="1" customWidth="1"/>
    <col min="6" max="6" width="18.140625" bestFit="1" customWidth="1"/>
  </cols>
  <sheetData>
    <row r="1" spans="1:6" ht="15.75" x14ac:dyDescent="0.25">
      <c r="A1" s="44" t="s">
        <v>469</v>
      </c>
      <c r="B1" s="208" t="s">
        <v>470</v>
      </c>
      <c r="C1" s="208" t="s">
        <v>6</v>
      </c>
      <c r="D1" s="208" t="s">
        <v>36</v>
      </c>
      <c r="E1" s="52" t="s">
        <v>471</v>
      </c>
      <c r="F1" s="207" t="s">
        <v>472</v>
      </c>
    </row>
    <row r="2" spans="1:6" x14ac:dyDescent="0.25">
      <c r="A2" s="47">
        <v>46340</v>
      </c>
      <c r="B2" s="46" t="s">
        <v>509</v>
      </c>
      <c r="C2" s="46" t="s">
        <v>93</v>
      </c>
      <c r="D2" s="46" t="s">
        <v>74</v>
      </c>
      <c r="E2" s="50">
        <v>124353</v>
      </c>
      <c r="F2" s="53">
        <v>109163</v>
      </c>
    </row>
    <row r="3" spans="1:6" x14ac:dyDescent="0.25">
      <c r="A3" s="47">
        <v>46322</v>
      </c>
      <c r="B3" s="49" t="s">
        <v>491</v>
      </c>
      <c r="C3" s="46" t="s">
        <v>93</v>
      </c>
      <c r="D3" s="46" t="s">
        <v>123</v>
      </c>
      <c r="E3" s="50">
        <v>56319</v>
      </c>
      <c r="F3" s="53">
        <v>88520</v>
      </c>
    </row>
    <row r="4" spans="1:6" x14ac:dyDescent="0.25">
      <c r="A4" s="47">
        <v>46319</v>
      </c>
      <c r="B4" s="46" t="s">
        <v>488</v>
      </c>
      <c r="C4" s="46" t="s">
        <v>93</v>
      </c>
      <c r="D4" s="46" t="s">
        <v>74</v>
      </c>
      <c r="E4" s="50">
        <v>41006</v>
      </c>
      <c r="F4" s="53">
        <v>126673</v>
      </c>
    </row>
    <row r="5" spans="1:6" x14ac:dyDescent="0.25">
      <c r="A5" s="47">
        <v>46333</v>
      </c>
      <c r="B5" s="46" t="s">
        <v>502</v>
      </c>
      <c r="C5" s="46" t="s">
        <v>93</v>
      </c>
      <c r="D5" s="46" t="s">
        <v>123</v>
      </c>
      <c r="E5" s="50">
        <v>132912</v>
      </c>
      <c r="F5" s="53">
        <v>116622</v>
      </c>
    </row>
    <row r="6" spans="1:6" x14ac:dyDescent="0.25">
      <c r="A6" s="47">
        <v>46275</v>
      </c>
      <c r="B6" s="49" t="s">
        <v>473</v>
      </c>
      <c r="C6" s="46" t="s">
        <v>93</v>
      </c>
      <c r="D6" s="46" t="s">
        <v>74</v>
      </c>
      <c r="E6" s="50">
        <v>38278</v>
      </c>
      <c r="F6" s="53">
        <v>137196</v>
      </c>
    </row>
    <row r="7" spans="1:6" x14ac:dyDescent="0.25">
      <c r="A7" s="47">
        <v>46306</v>
      </c>
      <c r="B7" s="46" t="s">
        <v>475</v>
      </c>
      <c r="C7" s="46" t="s">
        <v>93</v>
      </c>
      <c r="D7" s="46" t="s">
        <v>74</v>
      </c>
      <c r="E7" s="50">
        <v>123696</v>
      </c>
      <c r="F7" s="53">
        <v>137080</v>
      </c>
    </row>
    <row r="8" spans="1:6" x14ac:dyDescent="0.25">
      <c r="A8" s="47">
        <v>46324</v>
      </c>
      <c r="B8" s="46" t="s">
        <v>493</v>
      </c>
      <c r="C8" s="46" t="s">
        <v>93</v>
      </c>
      <c r="D8" s="46" t="s">
        <v>74</v>
      </c>
      <c r="E8" s="50">
        <v>114840</v>
      </c>
      <c r="F8" s="53">
        <v>123227</v>
      </c>
    </row>
    <row r="9" spans="1:6" x14ac:dyDescent="0.25">
      <c r="A9" s="47">
        <v>46318</v>
      </c>
      <c r="B9" s="46" t="s">
        <v>487</v>
      </c>
      <c r="C9" s="46" t="s">
        <v>93</v>
      </c>
      <c r="D9" s="46" t="s">
        <v>123</v>
      </c>
      <c r="E9" s="50">
        <v>110674</v>
      </c>
      <c r="F9" s="53">
        <v>65203</v>
      </c>
    </row>
    <row r="10" spans="1:6" x14ac:dyDescent="0.25">
      <c r="A10" s="47">
        <v>46310</v>
      </c>
      <c r="B10" s="46" t="s">
        <v>479</v>
      </c>
      <c r="C10" s="46" t="s">
        <v>93</v>
      </c>
      <c r="D10" s="46" t="s">
        <v>87</v>
      </c>
      <c r="E10" s="50">
        <v>63893</v>
      </c>
      <c r="F10" s="53">
        <v>98878</v>
      </c>
    </row>
    <row r="11" spans="1:6" x14ac:dyDescent="0.25">
      <c r="A11" s="47">
        <v>46307</v>
      </c>
      <c r="B11" s="46" t="s">
        <v>476</v>
      </c>
      <c r="C11" s="46" t="s">
        <v>80</v>
      </c>
      <c r="D11" s="46" t="s">
        <v>74</v>
      </c>
      <c r="E11" s="50">
        <v>112397</v>
      </c>
      <c r="F11" s="53">
        <v>95302</v>
      </c>
    </row>
    <row r="12" spans="1:6" x14ac:dyDescent="0.25">
      <c r="A12" s="47">
        <v>46339</v>
      </c>
      <c r="B12" s="46" t="s">
        <v>508</v>
      </c>
      <c r="C12" s="46" t="s">
        <v>80</v>
      </c>
      <c r="D12" s="46" t="s">
        <v>123</v>
      </c>
      <c r="E12" s="50">
        <v>20000</v>
      </c>
      <c r="F12" s="53">
        <v>41504</v>
      </c>
    </row>
    <row r="13" spans="1:6" x14ac:dyDescent="0.25">
      <c r="A13" s="47">
        <v>46327</v>
      </c>
      <c r="B13" s="48" t="s">
        <v>496</v>
      </c>
      <c r="C13" s="46" t="s">
        <v>80</v>
      </c>
      <c r="D13" s="46" t="s">
        <v>57</v>
      </c>
      <c r="E13" s="50">
        <v>124733</v>
      </c>
      <c r="F13" s="53">
        <v>82504</v>
      </c>
    </row>
    <row r="14" spans="1:6" x14ac:dyDescent="0.25">
      <c r="A14" s="47">
        <v>46311</v>
      </c>
      <c r="B14" s="46" t="s">
        <v>480</v>
      </c>
      <c r="C14" s="46" t="s">
        <v>80</v>
      </c>
      <c r="D14" s="46" t="s">
        <v>123</v>
      </c>
      <c r="E14" s="50">
        <v>141093</v>
      </c>
      <c r="F14" s="53">
        <v>40851</v>
      </c>
    </row>
    <row r="15" spans="1:6" x14ac:dyDescent="0.25">
      <c r="A15" s="47">
        <v>46312</v>
      </c>
      <c r="B15" s="49" t="s">
        <v>481</v>
      </c>
      <c r="C15" s="46" t="s">
        <v>45</v>
      </c>
      <c r="D15" s="46" t="s">
        <v>87</v>
      </c>
      <c r="E15" s="50">
        <v>79597</v>
      </c>
      <c r="F15" s="53">
        <v>76421</v>
      </c>
    </row>
    <row r="16" spans="1:6" x14ac:dyDescent="0.25">
      <c r="A16" s="47">
        <v>46320</v>
      </c>
      <c r="B16" s="46" t="s">
        <v>489</v>
      </c>
      <c r="C16" s="46" t="s">
        <v>45</v>
      </c>
      <c r="D16" s="46" t="s">
        <v>123</v>
      </c>
      <c r="E16" s="50">
        <v>45458</v>
      </c>
      <c r="F16" s="53">
        <v>70512</v>
      </c>
    </row>
    <row r="17" spans="1:6" x14ac:dyDescent="0.25">
      <c r="A17" s="47">
        <v>46335</v>
      </c>
      <c r="B17" s="46" t="s">
        <v>504</v>
      </c>
      <c r="C17" s="46" t="s">
        <v>45</v>
      </c>
      <c r="D17" s="46" t="s">
        <v>87</v>
      </c>
      <c r="E17" s="50">
        <v>46915</v>
      </c>
      <c r="F17" s="53">
        <v>139061</v>
      </c>
    </row>
    <row r="18" spans="1:6" x14ac:dyDescent="0.25">
      <c r="A18" s="47">
        <v>46325</v>
      </c>
      <c r="B18" s="48" t="s">
        <v>494</v>
      </c>
      <c r="C18" s="46" t="s">
        <v>45</v>
      </c>
      <c r="D18" s="46" t="s">
        <v>57</v>
      </c>
      <c r="E18" s="50">
        <v>56417</v>
      </c>
      <c r="F18" s="53">
        <v>100589</v>
      </c>
    </row>
    <row r="19" spans="1:6" x14ac:dyDescent="0.25">
      <c r="A19" s="47">
        <v>46313</v>
      </c>
      <c r="B19" s="46" t="s">
        <v>482</v>
      </c>
      <c r="C19" s="46" t="s">
        <v>45</v>
      </c>
      <c r="D19" s="46" t="s">
        <v>57</v>
      </c>
      <c r="E19" s="50">
        <v>135072</v>
      </c>
      <c r="F19" s="53">
        <v>84118</v>
      </c>
    </row>
    <row r="20" spans="1:6" x14ac:dyDescent="0.25">
      <c r="A20" s="47">
        <v>46337</v>
      </c>
      <c r="B20" s="46" t="s">
        <v>506</v>
      </c>
      <c r="C20" s="46" t="s">
        <v>45</v>
      </c>
      <c r="D20" s="46" t="s">
        <v>87</v>
      </c>
      <c r="E20" s="50">
        <v>113172</v>
      </c>
      <c r="F20" s="53">
        <v>48326</v>
      </c>
    </row>
    <row r="21" spans="1:6" x14ac:dyDescent="0.25">
      <c r="A21" s="45">
        <v>46309</v>
      </c>
      <c r="B21" s="46" t="s">
        <v>478</v>
      </c>
      <c r="C21" s="46" t="s">
        <v>45</v>
      </c>
      <c r="D21" s="46" t="s">
        <v>74</v>
      </c>
      <c r="E21" s="50">
        <v>108563</v>
      </c>
      <c r="F21" s="53">
        <v>66062</v>
      </c>
    </row>
    <row r="22" spans="1:6" x14ac:dyDescent="0.25">
      <c r="A22" s="47">
        <v>46332</v>
      </c>
      <c r="B22" s="46" t="s">
        <v>501</v>
      </c>
      <c r="C22" s="46" t="s">
        <v>45</v>
      </c>
      <c r="D22" s="46" t="s">
        <v>123</v>
      </c>
      <c r="E22" s="50">
        <v>53301</v>
      </c>
      <c r="F22" s="53">
        <v>72325</v>
      </c>
    </row>
    <row r="23" spans="1:6" x14ac:dyDescent="0.25">
      <c r="A23" s="47">
        <v>46330</v>
      </c>
      <c r="B23" s="46" t="s">
        <v>499</v>
      </c>
      <c r="C23" s="46" t="s">
        <v>45</v>
      </c>
      <c r="D23" s="46" t="s">
        <v>123</v>
      </c>
      <c r="E23" s="50">
        <v>62869</v>
      </c>
      <c r="F23" s="53">
        <v>125909</v>
      </c>
    </row>
    <row r="24" spans="1:6" x14ac:dyDescent="0.25">
      <c r="A24" s="47">
        <v>46305</v>
      </c>
      <c r="B24" s="48" t="s">
        <v>474</v>
      </c>
      <c r="C24" s="46" t="s">
        <v>185</v>
      </c>
      <c r="D24" s="46" t="s">
        <v>57</v>
      </c>
      <c r="E24" s="50">
        <v>64256</v>
      </c>
      <c r="F24" s="53">
        <v>58289</v>
      </c>
    </row>
    <row r="25" spans="1:6" x14ac:dyDescent="0.25">
      <c r="A25" s="47">
        <v>46315</v>
      </c>
      <c r="B25" s="46" t="s">
        <v>484</v>
      </c>
      <c r="C25" s="46" t="s">
        <v>185</v>
      </c>
      <c r="D25" s="46" t="s">
        <v>123</v>
      </c>
      <c r="E25" s="50">
        <v>20000</v>
      </c>
      <c r="F25" s="53">
        <v>74671</v>
      </c>
    </row>
    <row r="26" spans="1:6" x14ac:dyDescent="0.25">
      <c r="A26" s="47">
        <v>46323</v>
      </c>
      <c r="B26" s="46" t="s">
        <v>492</v>
      </c>
      <c r="C26" s="46" t="s">
        <v>185</v>
      </c>
      <c r="D26" s="46" t="s">
        <v>57</v>
      </c>
      <c r="E26" s="50">
        <v>122841</v>
      </c>
      <c r="F26" s="53">
        <v>74993</v>
      </c>
    </row>
    <row r="27" spans="1:6" x14ac:dyDescent="0.25">
      <c r="A27" s="47">
        <v>46329</v>
      </c>
      <c r="B27" s="49" t="s">
        <v>498</v>
      </c>
      <c r="C27" s="46" t="s">
        <v>185</v>
      </c>
      <c r="D27" s="46" t="s">
        <v>87</v>
      </c>
      <c r="E27" s="50">
        <v>70093</v>
      </c>
      <c r="F27" s="53">
        <v>48675</v>
      </c>
    </row>
    <row r="28" spans="1:6" x14ac:dyDescent="0.25">
      <c r="A28" s="47">
        <v>46331</v>
      </c>
      <c r="B28" s="46" t="s">
        <v>500</v>
      </c>
      <c r="C28" s="46" t="s">
        <v>126</v>
      </c>
      <c r="D28" s="46" t="s">
        <v>87</v>
      </c>
      <c r="E28" s="50">
        <v>119259</v>
      </c>
      <c r="F28" s="53">
        <v>100142</v>
      </c>
    </row>
    <row r="29" spans="1:6" x14ac:dyDescent="0.25">
      <c r="A29" s="47">
        <v>46338</v>
      </c>
      <c r="B29" s="46" t="s">
        <v>507</v>
      </c>
      <c r="C29" s="46" t="s">
        <v>126</v>
      </c>
      <c r="D29" s="46" t="s">
        <v>87</v>
      </c>
      <c r="E29" s="50">
        <v>113104</v>
      </c>
      <c r="F29" s="53">
        <v>101348</v>
      </c>
    </row>
    <row r="30" spans="1:6" x14ac:dyDescent="0.25">
      <c r="A30" s="47">
        <v>46317</v>
      </c>
      <c r="B30" s="46" t="s">
        <v>486</v>
      </c>
      <c r="C30" s="46" t="s">
        <v>126</v>
      </c>
      <c r="D30" s="46" t="s">
        <v>74</v>
      </c>
      <c r="E30" s="50">
        <v>20000</v>
      </c>
      <c r="F30" s="53">
        <v>78427</v>
      </c>
    </row>
    <row r="31" spans="1:6" x14ac:dyDescent="0.25">
      <c r="A31" s="47">
        <v>46334</v>
      </c>
      <c r="B31" s="46" t="s">
        <v>503</v>
      </c>
      <c r="C31" s="46" t="s">
        <v>126</v>
      </c>
      <c r="D31" s="46" t="s">
        <v>87</v>
      </c>
      <c r="E31" s="50">
        <v>82447</v>
      </c>
      <c r="F31" s="53">
        <v>68746</v>
      </c>
    </row>
    <row r="32" spans="1:6" x14ac:dyDescent="0.25">
      <c r="A32" s="47">
        <v>46326</v>
      </c>
      <c r="B32" s="48" t="s">
        <v>495</v>
      </c>
      <c r="C32" s="46" t="s">
        <v>126</v>
      </c>
      <c r="D32" s="46" t="s">
        <v>123</v>
      </c>
      <c r="E32" s="50">
        <v>118886</v>
      </c>
      <c r="F32" s="53">
        <v>130198</v>
      </c>
    </row>
    <row r="33" spans="1:6" x14ac:dyDescent="0.25">
      <c r="A33" s="47">
        <v>46316</v>
      </c>
      <c r="B33" s="46" t="s">
        <v>485</v>
      </c>
      <c r="C33" s="46" t="s">
        <v>134</v>
      </c>
      <c r="D33" s="46" t="s">
        <v>87</v>
      </c>
      <c r="E33" s="50">
        <v>105284</v>
      </c>
      <c r="F33" s="53">
        <v>56361</v>
      </c>
    </row>
    <row r="34" spans="1:6" x14ac:dyDescent="0.25">
      <c r="A34" s="47">
        <v>46328</v>
      </c>
      <c r="B34" s="46" t="s">
        <v>497</v>
      </c>
      <c r="C34" s="46" t="s">
        <v>134</v>
      </c>
      <c r="D34" s="46" t="s">
        <v>57</v>
      </c>
      <c r="E34" s="50">
        <v>142715</v>
      </c>
      <c r="F34" s="53">
        <v>44207</v>
      </c>
    </row>
    <row r="35" spans="1:6" x14ac:dyDescent="0.25">
      <c r="A35" s="47">
        <v>46314</v>
      </c>
      <c r="B35" s="48" t="s">
        <v>483</v>
      </c>
      <c r="C35" s="46" t="s">
        <v>134</v>
      </c>
      <c r="D35" s="46" t="s">
        <v>74</v>
      </c>
      <c r="E35" s="50">
        <v>84797</v>
      </c>
      <c r="F35" s="53">
        <v>52676</v>
      </c>
    </row>
    <row r="36" spans="1:6" x14ac:dyDescent="0.25">
      <c r="A36" s="47">
        <v>46308</v>
      </c>
      <c r="B36" s="46" t="s">
        <v>477</v>
      </c>
      <c r="C36" s="46" t="s">
        <v>134</v>
      </c>
      <c r="D36" s="46" t="s">
        <v>74</v>
      </c>
      <c r="E36" s="50">
        <v>47280</v>
      </c>
      <c r="F36" s="53">
        <v>68657</v>
      </c>
    </row>
    <row r="37" spans="1:6" x14ac:dyDescent="0.25">
      <c r="A37" s="47">
        <v>46321</v>
      </c>
      <c r="B37" s="46" t="s">
        <v>490</v>
      </c>
      <c r="C37" s="46" t="s">
        <v>134</v>
      </c>
      <c r="D37" s="46" t="s">
        <v>87</v>
      </c>
      <c r="E37" s="50">
        <v>71434</v>
      </c>
      <c r="F37" s="53">
        <v>99429</v>
      </c>
    </row>
    <row r="38" spans="1:6" x14ac:dyDescent="0.25">
      <c r="A38" s="47">
        <v>46336</v>
      </c>
      <c r="B38" s="46" t="s">
        <v>505</v>
      </c>
      <c r="C38" s="46" t="s">
        <v>134</v>
      </c>
      <c r="D38" s="46" t="s">
        <v>74</v>
      </c>
      <c r="E38" s="50">
        <v>55033</v>
      </c>
      <c r="F38" s="53">
        <v>122240</v>
      </c>
    </row>
  </sheetData>
  <autoFilter ref="A1:F38" xr:uid="{0A195CE7-5595-4350-96E0-F8F4BB758022}">
    <sortState xmlns:xlrd2="http://schemas.microsoft.com/office/spreadsheetml/2017/richdata2" ref="A2:F38">
      <sortCondition descending="1" ref="C2:C38" customList="finance,hr,marketing,sales"/>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0683-E635-4B2C-8175-1A9946B2FB1C}">
  <sheetPr codeName="Sheet7"/>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214" t="s">
        <v>469</v>
      </c>
      <c r="B1" s="214" t="s">
        <v>470</v>
      </c>
      <c r="C1" s="214" t="s">
        <v>6</v>
      </c>
      <c r="D1" s="214" t="s">
        <v>36</v>
      </c>
      <c r="E1" s="214" t="s">
        <v>471</v>
      </c>
      <c r="F1" s="213" t="s">
        <v>472</v>
      </c>
    </row>
    <row r="2" spans="1:6" x14ac:dyDescent="0.25">
      <c r="A2" s="212">
        <v>46340</v>
      </c>
      <c r="B2" s="212" t="s">
        <v>509</v>
      </c>
      <c r="C2" s="212" t="s">
        <v>93</v>
      </c>
      <c r="D2" s="212" t="s">
        <v>74</v>
      </c>
      <c r="E2" s="212">
        <v>124353</v>
      </c>
      <c r="F2" s="211">
        <v>109163</v>
      </c>
    </row>
    <row r="3" spans="1:6" x14ac:dyDescent="0.25">
      <c r="A3" s="212">
        <v>46322</v>
      </c>
      <c r="B3" s="212" t="s">
        <v>491</v>
      </c>
      <c r="C3" s="212" t="s">
        <v>93</v>
      </c>
      <c r="D3" s="212" t="s">
        <v>123</v>
      </c>
      <c r="E3" s="212">
        <v>56319</v>
      </c>
      <c r="F3" s="211">
        <v>88520</v>
      </c>
    </row>
    <row r="4" spans="1:6" x14ac:dyDescent="0.25">
      <c r="A4" s="212">
        <v>46319</v>
      </c>
      <c r="B4" s="212" t="s">
        <v>488</v>
      </c>
      <c r="C4" s="212" t="s">
        <v>93</v>
      </c>
      <c r="D4" s="212" t="s">
        <v>74</v>
      </c>
      <c r="E4" s="212">
        <v>41006</v>
      </c>
      <c r="F4" s="211">
        <v>126673</v>
      </c>
    </row>
    <row r="5" spans="1:6" x14ac:dyDescent="0.25">
      <c r="A5" s="212">
        <v>46333</v>
      </c>
      <c r="B5" s="212" t="s">
        <v>502</v>
      </c>
      <c r="C5" s="212" t="s">
        <v>93</v>
      </c>
      <c r="D5" s="212" t="s">
        <v>123</v>
      </c>
      <c r="E5" s="212">
        <v>132912</v>
      </c>
      <c r="F5" s="211">
        <v>116622</v>
      </c>
    </row>
    <row r="6" spans="1:6" x14ac:dyDescent="0.25">
      <c r="A6" s="212">
        <v>46275</v>
      </c>
      <c r="B6" s="212" t="s">
        <v>473</v>
      </c>
      <c r="C6" s="212" t="s">
        <v>93</v>
      </c>
      <c r="D6" s="212" t="s">
        <v>74</v>
      </c>
      <c r="E6" s="212">
        <v>38278</v>
      </c>
      <c r="F6" s="211">
        <v>137196</v>
      </c>
    </row>
    <row r="7" spans="1:6" x14ac:dyDescent="0.25">
      <c r="A7" s="212">
        <v>46306</v>
      </c>
      <c r="B7" s="212" t="s">
        <v>475</v>
      </c>
      <c r="C7" s="212" t="s">
        <v>93</v>
      </c>
      <c r="D7" s="212" t="s">
        <v>74</v>
      </c>
      <c r="E7" s="212">
        <v>123696</v>
      </c>
      <c r="F7" s="211">
        <v>137080</v>
      </c>
    </row>
    <row r="8" spans="1:6" x14ac:dyDescent="0.25">
      <c r="A8" s="212">
        <v>46324</v>
      </c>
      <c r="B8" s="212" t="s">
        <v>493</v>
      </c>
      <c r="C8" s="212" t="s">
        <v>93</v>
      </c>
      <c r="D8" s="212" t="s">
        <v>74</v>
      </c>
      <c r="E8" s="212">
        <v>114840</v>
      </c>
      <c r="F8" s="211">
        <v>123227</v>
      </c>
    </row>
    <row r="9" spans="1:6" x14ac:dyDescent="0.25">
      <c r="A9" s="212">
        <v>46318</v>
      </c>
      <c r="B9" s="212" t="s">
        <v>487</v>
      </c>
      <c r="C9" s="212" t="s">
        <v>93</v>
      </c>
      <c r="D9" s="212" t="s">
        <v>123</v>
      </c>
      <c r="E9" s="212">
        <v>110674</v>
      </c>
      <c r="F9" s="211">
        <v>65203</v>
      </c>
    </row>
    <row r="10" spans="1:6" x14ac:dyDescent="0.25">
      <c r="A10" s="212">
        <v>46310</v>
      </c>
      <c r="B10" s="212" t="s">
        <v>479</v>
      </c>
      <c r="C10" s="212" t="s">
        <v>93</v>
      </c>
      <c r="D10" s="212" t="s">
        <v>87</v>
      </c>
      <c r="E10" s="212">
        <v>63893</v>
      </c>
      <c r="F10" s="211">
        <v>98878</v>
      </c>
    </row>
    <row r="11" spans="1:6" x14ac:dyDescent="0.25">
      <c r="A11" s="212">
        <v>46307</v>
      </c>
      <c r="B11" s="212" t="s">
        <v>476</v>
      </c>
      <c r="C11" s="212" t="s">
        <v>80</v>
      </c>
      <c r="D11" s="212" t="s">
        <v>74</v>
      </c>
      <c r="E11" s="212">
        <v>112397</v>
      </c>
      <c r="F11" s="211">
        <v>95302</v>
      </c>
    </row>
    <row r="12" spans="1:6" x14ac:dyDescent="0.25">
      <c r="A12" s="212">
        <v>46339</v>
      </c>
      <c r="B12" s="212" t="s">
        <v>508</v>
      </c>
      <c r="C12" s="212" t="s">
        <v>80</v>
      </c>
      <c r="D12" s="212" t="s">
        <v>123</v>
      </c>
      <c r="E12" s="212">
        <v>20000</v>
      </c>
      <c r="F12" s="211">
        <v>41504</v>
      </c>
    </row>
    <row r="13" spans="1:6" x14ac:dyDescent="0.25">
      <c r="A13" s="212">
        <v>46327</v>
      </c>
      <c r="B13" s="212" t="s">
        <v>496</v>
      </c>
      <c r="C13" s="212" t="s">
        <v>80</v>
      </c>
      <c r="D13" s="212" t="s">
        <v>57</v>
      </c>
      <c r="E13" s="212">
        <v>124733</v>
      </c>
      <c r="F13" s="211">
        <v>82504</v>
      </c>
    </row>
    <row r="14" spans="1:6" x14ac:dyDescent="0.25">
      <c r="A14" s="212">
        <v>46311</v>
      </c>
      <c r="B14" s="212" t="s">
        <v>480</v>
      </c>
      <c r="C14" s="212" t="s">
        <v>80</v>
      </c>
      <c r="D14" s="212" t="s">
        <v>123</v>
      </c>
      <c r="E14" s="212">
        <v>141093</v>
      </c>
      <c r="F14" s="211">
        <v>40851</v>
      </c>
    </row>
    <row r="15" spans="1:6" x14ac:dyDescent="0.25">
      <c r="A15" s="212">
        <v>46312</v>
      </c>
      <c r="B15" s="212" t="s">
        <v>481</v>
      </c>
      <c r="C15" s="212" t="s">
        <v>45</v>
      </c>
      <c r="D15" s="212" t="s">
        <v>87</v>
      </c>
      <c r="E15" s="212">
        <v>79597</v>
      </c>
      <c r="F15" s="211">
        <v>76421</v>
      </c>
    </row>
    <row r="16" spans="1:6" x14ac:dyDescent="0.25">
      <c r="A16" s="212">
        <v>46320</v>
      </c>
      <c r="B16" s="212" t="s">
        <v>489</v>
      </c>
      <c r="C16" s="212" t="s">
        <v>45</v>
      </c>
      <c r="D16" s="212" t="s">
        <v>123</v>
      </c>
      <c r="E16" s="212">
        <v>45458</v>
      </c>
      <c r="F16" s="211">
        <v>70512</v>
      </c>
    </row>
    <row r="17" spans="1:6" x14ac:dyDescent="0.25">
      <c r="A17" s="212">
        <v>46335</v>
      </c>
      <c r="B17" s="212" t="s">
        <v>504</v>
      </c>
      <c r="C17" s="212" t="s">
        <v>45</v>
      </c>
      <c r="D17" s="212" t="s">
        <v>87</v>
      </c>
      <c r="E17" s="212">
        <v>46915</v>
      </c>
      <c r="F17" s="211">
        <v>139061</v>
      </c>
    </row>
    <row r="18" spans="1:6" x14ac:dyDescent="0.25">
      <c r="A18" s="212">
        <v>46325</v>
      </c>
      <c r="B18" s="212" t="s">
        <v>494</v>
      </c>
      <c r="C18" s="212" t="s">
        <v>45</v>
      </c>
      <c r="D18" s="212" t="s">
        <v>57</v>
      </c>
      <c r="E18" s="212">
        <v>56417</v>
      </c>
      <c r="F18" s="211">
        <v>100589</v>
      </c>
    </row>
    <row r="19" spans="1:6" x14ac:dyDescent="0.25">
      <c r="A19" s="212">
        <v>46313</v>
      </c>
      <c r="B19" s="212" t="s">
        <v>482</v>
      </c>
      <c r="C19" s="212" t="s">
        <v>45</v>
      </c>
      <c r="D19" s="212" t="s">
        <v>57</v>
      </c>
      <c r="E19" s="212">
        <v>135072</v>
      </c>
      <c r="F19" s="211">
        <v>84118</v>
      </c>
    </row>
    <row r="20" spans="1:6" x14ac:dyDescent="0.25">
      <c r="A20" s="212">
        <v>46337</v>
      </c>
      <c r="B20" s="212" t="s">
        <v>506</v>
      </c>
      <c r="C20" s="212" t="s">
        <v>45</v>
      </c>
      <c r="D20" s="212" t="s">
        <v>87</v>
      </c>
      <c r="E20" s="212">
        <v>113172</v>
      </c>
      <c r="F20" s="211">
        <v>48326</v>
      </c>
    </row>
    <row r="21" spans="1:6" x14ac:dyDescent="0.25">
      <c r="A21" s="212">
        <v>46309</v>
      </c>
      <c r="B21" s="212" t="s">
        <v>478</v>
      </c>
      <c r="C21" s="212" t="s">
        <v>45</v>
      </c>
      <c r="D21" s="212" t="s">
        <v>74</v>
      </c>
      <c r="E21" s="212">
        <v>108563</v>
      </c>
      <c r="F21" s="211">
        <v>66062</v>
      </c>
    </row>
    <row r="22" spans="1:6" x14ac:dyDescent="0.25">
      <c r="A22" s="212">
        <v>46332</v>
      </c>
      <c r="B22" s="212" t="s">
        <v>501</v>
      </c>
      <c r="C22" s="212" t="s">
        <v>45</v>
      </c>
      <c r="D22" s="212" t="s">
        <v>123</v>
      </c>
      <c r="E22" s="212">
        <v>53301</v>
      </c>
      <c r="F22" s="211">
        <v>72325</v>
      </c>
    </row>
    <row r="23" spans="1:6" x14ac:dyDescent="0.25">
      <c r="A23" s="212">
        <v>46330</v>
      </c>
      <c r="B23" s="212" t="s">
        <v>499</v>
      </c>
      <c r="C23" s="212" t="s">
        <v>45</v>
      </c>
      <c r="D23" s="212" t="s">
        <v>123</v>
      </c>
      <c r="E23" s="212">
        <v>62869</v>
      </c>
      <c r="F23" s="211">
        <v>125909</v>
      </c>
    </row>
    <row r="24" spans="1:6" x14ac:dyDescent="0.25">
      <c r="A24" s="212">
        <v>46305</v>
      </c>
      <c r="B24" s="212" t="s">
        <v>474</v>
      </c>
      <c r="C24" s="212" t="s">
        <v>185</v>
      </c>
      <c r="D24" s="212" t="s">
        <v>57</v>
      </c>
      <c r="E24" s="212">
        <v>64256</v>
      </c>
      <c r="F24" s="211">
        <v>58289</v>
      </c>
    </row>
    <row r="25" spans="1:6" x14ac:dyDescent="0.25">
      <c r="A25" s="212">
        <v>46315</v>
      </c>
      <c r="B25" s="212" t="s">
        <v>484</v>
      </c>
      <c r="C25" s="212" t="s">
        <v>185</v>
      </c>
      <c r="D25" s="212" t="s">
        <v>123</v>
      </c>
      <c r="E25" s="212">
        <v>20000</v>
      </c>
      <c r="F25" s="211">
        <v>74671</v>
      </c>
    </row>
    <row r="26" spans="1:6" x14ac:dyDescent="0.25">
      <c r="A26" s="212">
        <v>46323</v>
      </c>
      <c r="B26" s="212" t="s">
        <v>492</v>
      </c>
      <c r="C26" s="212" t="s">
        <v>185</v>
      </c>
      <c r="D26" s="212" t="s">
        <v>57</v>
      </c>
      <c r="E26" s="212">
        <v>122841</v>
      </c>
      <c r="F26" s="211">
        <v>74993</v>
      </c>
    </row>
    <row r="27" spans="1:6" x14ac:dyDescent="0.25">
      <c r="A27" s="212">
        <v>46329</v>
      </c>
      <c r="B27" s="212" t="s">
        <v>498</v>
      </c>
      <c r="C27" s="212" t="s">
        <v>185</v>
      </c>
      <c r="D27" s="212" t="s">
        <v>87</v>
      </c>
      <c r="E27" s="212">
        <v>70093</v>
      </c>
      <c r="F27" s="211">
        <v>48675</v>
      </c>
    </row>
    <row r="28" spans="1:6" x14ac:dyDescent="0.25">
      <c r="A28" s="212">
        <v>46331</v>
      </c>
      <c r="B28" s="212" t="s">
        <v>500</v>
      </c>
      <c r="C28" s="212" t="s">
        <v>126</v>
      </c>
      <c r="D28" s="212" t="s">
        <v>87</v>
      </c>
      <c r="E28" s="212">
        <v>119259</v>
      </c>
      <c r="F28" s="211">
        <v>100142</v>
      </c>
    </row>
    <row r="29" spans="1:6" x14ac:dyDescent="0.25">
      <c r="A29" s="212">
        <v>46338</v>
      </c>
      <c r="B29" s="212" t="s">
        <v>507</v>
      </c>
      <c r="C29" s="212" t="s">
        <v>126</v>
      </c>
      <c r="D29" s="212" t="s">
        <v>87</v>
      </c>
      <c r="E29" s="212">
        <v>113104</v>
      </c>
      <c r="F29" s="211">
        <v>101348</v>
      </c>
    </row>
    <row r="30" spans="1:6" x14ac:dyDescent="0.25">
      <c r="A30" s="212">
        <v>46317</v>
      </c>
      <c r="B30" s="212" t="s">
        <v>486</v>
      </c>
      <c r="C30" s="212" t="s">
        <v>126</v>
      </c>
      <c r="D30" s="212" t="s">
        <v>74</v>
      </c>
      <c r="E30" s="212">
        <v>20000</v>
      </c>
      <c r="F30" s="211">
        <v>78427</v>
      </c>
    </row>
    <row r="31" spans="1:6" x14ac:dyDescent="0.25">
      <c r="A31" s="212">
        <v>46334</v>
      </c>
      <c r="B31" s="212" t="s">
        <v>503</v>
      </c>
      <c r="C31" s="212" t="s">
        <v>126</v>
      </c>
      <c r="D31" s="212" t="s">
        <v>87</v>
      </c>
      <c r="E31" s="212">
        <v>82447</v>
      </c>
      <c r="F31" s="211">
        <v>68746</v>
      </c>
    </row>
    <row r="32" spans="1:6" x14ac:dyDescent="0.25">
      <c r="A32" s="212">
        <v>46326</v>
      </c>
      <c r="B32" s="212" t="s">
        <v>495</v>
      </c>
      <c r="C32" s="212" t="s">
        <v>126</v>
      </c>
      <c r="D32" s="212" t="s">
        <v>123</v>
      </c>
      <c r="E32" s="212">
        <v>118886</v>
      </c>
      <c r="F32" s="211">
        <v>130198</v>
      </c>
    </row>
    <row r="33" spans="1:6" x14ac:dyDescent="0.25">
      <c r="A33" s="212">
        <v>46316</v>
      </c>
      <c r="B33" s="212" t="s">
        <v>485</v>
      </c>
      <c r="C33" s="212" t="s">
        <v>134</v>
      </c>
      <c r="D33" s="212" t="s">
        <v>87</v>
      </c>
      <c r="E33" s="212">
        <v>105284</v>
      </c>
      <c r="F33" s="211">
        <v>56361</v>
      </c>
    </row>
    <row r="34" spans="1:6" x14ac:dyDescent="0.25">
      <c r="A34" s="212">
        <v>46328</v>
      </c>
      <c r="B34" s="212" t="s">
        <v>497</v>
      </c>
      <c r="C34" s="212" t="s">
        <v>134</v>
      </c>
      <c r="D34" s="212" t="s">
        <v>57</v>
      </c>
      <c r="E34" s="212">
        <v>142715</v>
      </c>
      <c r="F34" s="211">
        <v>44207</v>
      </c>
    </row>
    <row r="35" spans="1:6" x14ac:dyDescent="0.25">
      <c r="A35" s="212">
        <v>46314</v>
      </c>
      <c r="B35" s="212" t="s">
        <v>483</v>
      </c>
      <c r="C35" s="212" t="s">
        <v>134</v>
      </c>
      <c r="D35" s="212" t="s">
        <v>74</v>
      </c>
      <c r="E35" s="212">
        <v>84797</v>
      </c>
      <c r="F35" s="211">
        <v>52676</v>
      </c>
    </row>
    <row r="36" spans="1:6" x14ac:dyDescent="0.25">
      <c r="A36" s="212">
        <v>46308</v>
      </c>
      <c r="B36" s="212" t="s">
        <v>477</v>
      </c>
      <c r="C36" s="212" t="s">
        <v>134</v>
      </c>
      <c r="D36" s="212" t="s">
        <v>74</v>
      </c>
      <c r="E36" s="212">
        <v>47280</v>
      </c>
      <c r="F36" s="211">
        <v>68657</v>
      </c>
    </row>
    <row r="37" spans="1:6" x14ac:dyDescent="0.25">
      <c r="A37" s="212">
        <v>46321</v>
      </c>
      <c r="B37" s="212" t="s">
        <v>490</v>
      </c>
      <c r="C37" s="212" t="s">
        <v>134</v>
      </c>
      <c r="D37" s="212" t="s">
        <v>87</v>
      </c>
      <c r="E37" s="212">
        <v>71434</v>
      </c>
      <c r="F37" s="211">
        <v>99429</v>
      </c>
    </row>
    <row r="38" spans="1:6" x14ac:dyDescent="0.25">
      <c r="A38" s="210">
        <v>46336</v>
      </c>
      <c r="B38" s="210" t="s">
        <v>505</v>
      </c>
      <c r="C38" s="210" t="s">
        <v>134</v>
      </c>
      <c r="D38" s="210" t="s">
        <v>74</v>
      </c>
      <c r="E38" s="210">
        <v>55033</v>
      </c>
      <c r="F38" s="209">
        <v>122240</v>
      </c>
    </row>
    <row r="39" spans="1:6" x14ac:dyDescent="0.25">
      <c r="A39" s="210"/>
      <c r="B39" s="210"/>
      <c r="C39" s="210"/>
      <c r="D39" s="210"/>
      <c r="E39" s="210"/>
      <c r="F39" s="209">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63F5-4852-4DA0-BC02-BDB3051FA602}">
  <sheetPr codeName="Sheet8"/>
  <dimension ref="B1:H81"/>
  <sheetViews>
    <sheetView topLeftCell="C22" zoomScale="70" zoomScaleNormal="7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60" t="s">
        <v>525</v>
      </c>
      <c r="D1" s="60" t="s">
        <v>524</v>
      </c>
      <c r="E1" s="60" t="s">
        <v>523</v>
      </c>
      <c r="F1" s="60" t="s">
        <v>526</v>
      </c>
      <c r="G1" s="61" t="s">
        <v>527</v>
      </c>
    </row>
    <row r="2" spans="3:8" x14ac:dyDescent="0.25">
      <c r="C2" s="217">
        <v>1</v>
      </c>
      <c r="D2" s="217">
        <v>1</v>
      </c>
      <c r="E2" s="217">
        <v>15</v>
      </c>
      <c r="F2" s="217">
        <v>2</v>
      </c>
      <c r="G2" s="216">
        <v>10000</v>
      </c>
      <c r="H2" s="218"/>
    </row>
    <row r="3" spans="3:8" x14ac:dyDescent="0.25">
      <c r="C3" s="217">
        <v>2</v>
      </c>
      <c r="D3" s="217">
        <v>3</v>
      </c>
      <c r="E3" s="217">
        <v>12</v>
      </c>
      <c r="F3" s="217">
        <v>4</v>
      </c>
      <c r="G3" s="216">
        <v>1000</v>
      </c>
    </row>
    <row r="4" spans="3:8" x14ac:dyDescent="0.25">
      <c r="C4" s="217">
        <v>3</v>
      </c>
      <c r="D4" s="217">
        <v>5</v>
      </c>
      <c r="E4" s="217">
        <v>9</v>
      </c>
      <c r="F4" s="217">
        <v>8</v>
      </c>
      <c r="G4" s="216">
        <v>100.00000000000001</v>
      </c>
    </row>
    <row r="5" spans="3:8" x14ac:dyDescent="0.25">
      <c r="C5" s="217">
        <v>4</v>
      </c>
      <c r="D5" s="217">
        <v>7</v>
      </c>
      <c r="E5" s="217">
        <v>6</v>
      </c>
      <c r="F5" s="217">
        <v>16</v>
      </c>
      <c r="G5" s="216">
        <v>10.000000000000002</v>
      </c>
    </row>
    <row r="6" spans="3:8" x14ac:dyDescent="0.25">
      <c r="C6" s="217">
        <v>5</v>
      </c>
      <c r="D6" s="217">
        <v>9</v>
      </c>
      <c r="E6" s="217">
        <v>3</v>
      </c>
      <c r="F6" s="217">
        <v>32</v>
      </c>
      <c r="G6" s="216">
        <v>1.0000000000000004</v>
      </c>
    </row>
    <row r="7" spans="3:8" x14ac:dyDescent="0.25">
      <c r="C7" s="217">
        <v>6</v>
      </c>
      <c r="D7" s="217">
        <v>11</v>
      </c>
      <c r="E7" s="217"/>
      <c r="F7" s="217"/>
      <c r="G7" s="216"/>
    </row>
    <row r="8" spans="3:8" x14ac:dyDescent="0.25">
      <c r="C8" s="217">
        <v>7</v>
      </c>
      <c r="D8" s="217">
        <v>13</v>
      </c>
      <c r="E8" s="217"/>
      <c r="F8" s="217"/>
      <c r="G8" s="216"/>
    </row>
    <row r="9" spans="3:8" x14ac:dyDescent="0.25">
      <c r="C9" s="217">
        <v>8</v>
      </c>
      <c r="D9" s="217">
        <v>15</v>
      </c>
      <c r="E9" s="217"/>
      <c r="F9" s="217"/>
      <c r="G9" s="216"/>
    </row>
    <row r="10" spans="3:8" x14ac:dyDescent="0.25">
      <c r="C10" s="217">
        <v>9</v>
      </c>
      <c r="D10" s="217"/>
      <c r="E10" s="217"/>
      <c r="F10" s="217"/>
      <c r="G10" s="216"/>
    </row>
    <row r="11" spans="3:8" x14ac:dyDescent="0.25">
      <c r="C11" s="217">
        <v>10</v>
      </c>
      <c r="D11" s="217"/>
      <c r="E11" s="217"/>
      <c r="F11" s="217"/>
      <c r="G11" s="216"/>
    </row>
    <row r="12" spans="3:8" x14ac:dyDescent="0.25">
      <c r="C12" s="217">
        <v>11</v>
      </c>
      <c r="D12" s="217"/>
      <c r="E12" s="217"/>
      <c r="F12" s="217"/>
      <c r="G12" s="216"/>
    </row>
    <row r="13" spans="3:8" x14ac:dyDescent="0.25">
      <c r="C13" s="217">
        <v>12</v>
      </c>
      <c r="D13" s="217"/>
      <c r="E13" s="217"/>
      <c r="F13" s="217"/>
      <c r="G13" s="216"/>
    </row>
    <row r="14" spans="3:8" x14ac:dyDescent="0.25">
      <c r="C14" s="217">
        <v>13</v>
      </c>
      <c r="D14" s="217"/>
      <c r="E14" s="217"/>
      <c r="F14" s="217"/>
      <c r="G14" s="216"/>
    </row>
    <row r="15" spans="3:8" x14ac:dyDescent="0.25">
      <c r="C15" s="217">
        <v>14</v>
      </c>
      <c r="D15" s="217"/>
      <c r="E15" s="217"/>
      <c r="F15" s="217"/>
      <c r="G15" s="216"/>
    </row>
    <row r="16" spans="3:8" x14ac:dyDescent="0.25">
      <c r="C16" s="217">
        <v>15</v>
      </c>
      <c r="D16" s="217"/>
      <c r="E16" s="217"/>
      <c r="F16" s="217"/>
      <c r="G16" s="216"/>
    </row>
    <row r="17" spans="3:7" x14ac:dyDescent="0.25">
      <c r="C17" s="217">
        <v>16</v>
      </c>
      <c r="D17" s="217"/>
      <c r="E17" s="217"/>
      <c r="F17" s="217"/>
      <c r="G17" s="216"/>
    </row>
    <row r="18" spans="3:7" x14ac:dyDescent="0.25">
      <c r="C18" s="217">
        <v>17</v>
      </c>
      <c r="D18" s="217"/>
      <c r="E18" s="217"/>
      <c r="F18" s="217"/>
      <c r="G18" s="216"/>
    </row>
    <row r="19" spans="3:7" x14ac:dyDescent="0.25">
      <c r="C19" s="217">
        <v>18</v>
      </c>
      <c r="D19" s="217"/>
      <c r="E19" s="217"/>
      <c r="F19" s="217"/>
      <c r="G19" s="216"/>
    </row>
    <row r="20" spans="3:7" x14ac:dyDescent="0.25">
      <c r="C20" s="217">
        <v>19</v>
      </c>
      <c r="D20" s="217"/>
      <c r="E20" s="217"/>
      <c r="F20" s="217"/>
      <c r="G20" s="216"/>
    </row>
    <row r="21" spans="3:7" x14ac:dyDescent="0.25">
      <c r="C21" s="217">
        <v>20</v>
      </c>
      <c r="D21" s="217"/>
      <c r="E21" s="217"/>
      <c r="F21" s="217"/>
      <c r="G21" s="216"/>
    </row>
    <row r="22" spans="3:7" x14ac:dyDescent="0.25">
      <c r="C22" s="217">
        <v>21</v>
      </c>
      <c r="D22" s="217"/>
      <c r="E22" s="217"/>
      <c r="F22" s="217"/>
      <c r="G22" s="216"/>
    </row>
    <row r="23" spans="3:7" x14ac:dyDescent="0.25">
      <c r="C23" s="217">
        <v>22</v>
      </c>
      <c r="D23" s="217"/>
      <c r="E23" s="217"/>
      <c r="F23" s="217"/>
      <c r="G23" s="216"/>
    </row>
    <row r="24" spans="3:7" x14ac:dyDescent="0.25">
      <c r="C24" s="217">
        <v>23</v>
      </c>
      <c r="D24" s="217"/>
      <c r="E24" s="217"/>
      <c r="F24" s="217"/>
      <c r="G24" s="216"/>
    </row>
    <row r="25" spans="3:7" x14ac:dyDescent="0.25">
      <c r="C25" s="217">
        <v>24</v>
      </c>
      <c r="D25" s="217"/>
      <c r="E25" s="217"/>
      <c r="F25" s="217"/>
      <c r="G25" s="216"/>
    </row>
    <row r="26" spans="3:7" x14ac:dyDescent="0.25">
      <c r="C26" s="217">
        <v>25</v>
      </c>
      <c r="D26" s="217"/>
      <c r="E26" s="217"/>
      <c r="F26" s="217"/>
      <c r="G26" s="216"/>
    </row>
    <row r="27" spans="3:7" x14ac:dyDescent="0.25">
      <c r="C27" s="217">
        <v>26</v>
      </c>
      <c r="D27" s="217"/>
      <c r="E27" s="217"/>
      <c r="F27" s="217"/>
      <c r="G27" s="216"/>
    </row>
    <row r="28" spans="3:7" x14ac:dyDescent="0.25">
      <c r="C28" s="217">
        <v>27</v>
      </c>
      <c r="D28" s="217"/>
      <c r="E28" s="217"/>
      <c r="F28" s="217"/>
      <c r="G28" s="216"/>
    </row>
    <row r="29" spans="3:7" x14ac:dyDescent="0.25">
      <c r="C29" s="217">
        <v>28</v>
      </c>
      <c r="D29" s="217"/>
      <c r="E29" s="217"/>
      <c r="F29" s="217"/>
      <c r="G29" s="216"/>
    </row>
    <row r="30" spans="3:7" x14ac:dyDescent="0.25">
      <c r="C30" s="217">
        <v>29</v>
      </c>
      <c r="D30" s="217"/>
      <c r="E30" s="217"/>
      <c r="F30" s="217"/>
      <c r="G30" s="216"/>
    </row>
    <row r="31" spans="3:7" x14ac:dyDescent="0.25">
      <c r="C31" s="217">
        <v>30</v>
      </c>
      <c r="D31" s="217"/>
      <c r="E31" s="217"/>
      <c r="F31" s="217"/>
      <c r="G31" s="216"/>
    </row>
    <row r="32" spans="3:7" x14ac:dyDescent="0.25">
      <c r="C32" s="217">
        <v>31</v>
      </c>
      <c r="D32" s="217"/>
      <c r="E32" s="217"/>
      <c r="F32" s="217"/>
      <c r="G32" s="216"/>
    </row>
    <row r="33" spans="3:7" x14ac:dyDescent="0.25">
      <c r="C33" s="217">
        <v>32</v>
      </c>
      <c r="D33" s="217"/>
      <c r="E33" s="217"/>
      <c r="F33" s="217"/>
      <c r="G33" s="216"/>
    </row>
    <row r="34" spans="3:7" x14ac:dyDescent="0.25">
      <c r="C34" s="217">
        <v>33</v>
      </c>
      <c r="D34" s="217"/>
      <c r="E34" s="217"/>
      <c r="F34" s="217"/>
      <c r="G34" s="216"/>
    </row>
    <row r="35" spans="3:7" x14ac:dyDescent="0.25">
      <c r="C35" s="217">
        <v>34</v>
      </c>
      <c r="D35" s="217"/>
      <c r="E35" s="217"/>
      <c r="F35" s="217"/>
      <c r="G35" s="216"/>
    </row>
    <row r="36" spans="3:7" x14ac:dyDescent="0.25">
      <c r="C36" s="217">
        <v>35</v>
      </c>
      <c r="D36" s="217"/>
      <c r="E36" s="217"/>
      <c r="F36" s="217"/>
      <c r="G36" s="216"/>
    </row>
    <row r="37" spans="3:7" x14ac:dyDescent="0.25">
      <c r="C37" s="217">
        <v>36</v>
      </c>
      <c r="D37" s="217"/>
      <c r="E37" s="217"/>
      <c r="F37" s="217"/>
      <c r="G37" s="216"/>
    </row>
    <row r="38" spans="3:7" x14ac:dyDescent="0.25">
      <c r="C38" s="217">
        <v>37</v>
      </c>
      <c r="D38" s="217"/>
      <c r="E38" s="217"/>
      <c r="F38" s="217"/>
      <c r="G38" s="216"/>
    </row>
    <row r="39" spans="3:7" x14ac:dyDescent="0.25">
      <c r="C39" s="217">
        <v>38</v>
      </c>
      <c r="D39" s="217"/>
      <c r="E39" s="217"/>
      <c r="F39" s="217"/>
      <c r="G39" s="216"/>
    </row>
    <row r="40" spans="3:7" x14ac:dyDescent="0.25">
      <c r="C40" s="217">
        <v>39</v>
      </c>
      <c r="D40" s="217"/>
      <c r="E40" s="217"/>
      <c r="F40" s="217"/>
      <c r="G40" s="216"/>
    </row>
    <row r="41" spans="3:7" x14ac:dyDescent="0.25">
      <c r="C41" s="217">
        <v>40</v>
      </c>
      <c r="D41" s="217"/>
      <c r="E41" s="217"/>
      <c r="F41" s="217"/>
      <c r="G41" s="216"/>
    </row>
    <row r="42" spans="3:7" x14ac:dyDescent="0.25">
      <c r="C42" s="217">
        <v>41</v>
      </c>
      <c r="D42" s="217"/>
      <c r="E42" s="217"/>
      <c r="F42" s="217"/>
      <c r="G42" s="216"/>
    </row>
    <row r="43" spans="3:7" x14ac:dyDescent="0.25">
      <c r="C43" s="217">
        <v>42</v>
      </c>
      <c r="D43" s="217"/>
      <c r="E43" s="217"/>
      <c r="F43" s="217"/>
      <c r="G43" s="216"/>
    </row>
    <row r="44" spans="3:7" x14ac:dyDescent="0.25">
      <c r="C44" s="217">
        <v>43</v>
      </c>
      <c r="D44" s="217"/>
      <c r="E44" s="217"/>
      <c r="F44" s="217"/>
      <c r="G44" s="216"/>
    </row>
    <row r="45" spans="3:7" x14ac:dyDescent="0.25">
      <c r="C45" s="217">
        <v>44</v>
      </c>
      <c r="D45" s="217"/>
      <c r="E45" s="217"/>
      <c r="F45" s="217"/>
      <c r="G45" s="216"/>
    </row>
    <row r="46" spans="3:7" x14ac:dyDescent="0.25">
      <c r="C46" s="217">
        <v>45</v>
      </c>
      <c r="D46" s="217"/>
      <c r="E46" s="217"/>
      <c r="F46" s="217"/>
      <c r="G46" s="216"/>
    </row>
    <row r="47" spans="3:7" x14ac:dyDescent="0.25">
      <c r="C47" s="217">
        <v>46</v>
      </c>
      <c r="D47" s="217"/>
      <c r="E47" s="217"/>
      <c r="F47" s="217"/>
      <c r="G47" s="216"/>
    </row>
    <row r="48" spans="3:7" x14ac:dyDescent="0.25">
      <c r="C48" s="217">
        <v>47</v>
      </c>
      <c r="D48" s="217"/>
      <c r="E48" s="217"/>
      <c r="F48" s="217"/>
      <c r="G48" s="216"/>
    </row>
    <row r="49" spans="3:8" x14ac:dyDescent="0.25">
      <c r="C49" s="217">
        <v>48</v>
      </c>
      <c r="D49" s="217"/>
      <c r="E49" s="217"/>
      <c r="F49" s="217"/>
      <c r="G49" s="216"/>
    </row>
    <row r="50" spans="3:8" x14ac:dyDescent="0.25">
      <c r="C50" s="217">
        <v>49</v>
      </c>
      <c r="D50" s="217"/>
      <c r="E50" s="217"/>
      <c r="F50" s="217"/>
      <c r="G50" s="216"/>
    </row>
    <row r="51" spans="3:8" x14ac:dyDescent="0.25">
      <c r="C51" s="215">
        <v>50</v>
      </c>
      <c r="D51" s="215"/>
      <c r="E51" s="215"/>
      <c r="F51" s="215"/>
      <c r="G51" s="134"/>
    </row>
    <row r="58" spans="3:8" ht="15.75" thickBot="1" x14ac:dyDescent="0.3"/>
    <row r="59" spans="3:8" x14ac:dyDescent="0.25">
      <c r="C59" s="136" t="s">
        <v>528</v>
      </c>
      <c r="D59" s="137"/>
      <c r="E59" s="137"/>
      <c r="F59" s="137"/>
      <c r="G59" s="137"/>
      <c r="H59" s="54"/>
    </row>
    <row r="60" spans="3:8" x14ac:dyDescent="0.25">
      <c r="C60" s="57" cm="1">
        <f t="array" ref="C60:G64">_xlfn.SEQUENCE(5,5,1,5)</f>
        <v>1</v>
      </c>
      <c r="D60" s="134">
        <v>6</v>
      </c>
      <c r="E60" s="134">
        <v>11</v>
      </c>
      <c r="F60" s="134">
        <v>16</v>
      </c>
      <c r="G60" s="134">
        <v>21</v>
      </c>
      <c r="H60" s="55"/>
    </row>
    <row r="61" spans="3:8" x14ac:dyDescent="0.25">
      <c r="C61" s="57">
        <v>26</v>
      </c>
      <c r="D61" s="134">
        <v>31</v>
      </c>
      <c r="E61" s="134">
        <v>36</v>
      </c>
      <c r="F61" s="134">
        <v>41</v>
      </c>
      <c r="G61" s="134">
        <v>46</v>
      </c>
      <c r="H61" s="55"/>
    </row>
    <row r="62" spans="3:8" x14ac:dyDescent="0.25">
      <c r="C62" s="57">
        <v>51</v>
      </c>
      <c r="D62" s="134">
        <v>56</v>
      </c>
      <c r="E62" s="134">
        <v>61</v>
      </c>
      <c r="F62" s="134">
        <v>66</v>
      </c>
      <c r="G62" s="134">
        <v>71</v>
      </c>
      <c r="H62" s="55"/>
    </row>
    <row r="63" spans="3:8" x14ac:dyDescent="0.25">
      <c r="C63" s="57">
        <v>76</v>
      </c>
      <c r="D63" s="134">
        <v>81</v>
      </c>
      <c r="E63" s="134">
        <v>86</v>
      </c>
      <c r="F63" s="134">
        <v>91</v>
      </c>
      <c r="G63" s="134">
        <v>96</v>
      </c>
      <c r="H63" s="55"/>
    </row>
    <row r="64" spans="3:8" ht="15.75" thickBot="1" x14ac:dyDescent="0.3">
      <c r="C64" s="58">
        <v>101</v>
      </c>
      <c r="D64" s="59">
        <v>106</v>
      </c>
      <c r="E64" s="59">
        <v>111</v>
      </c>
      <c r="F64" s="59">
        <v>116</v>
      </c>
      <c r="G64" s="59">
        <v>121</v>
      </c>
      <c r="H64" s="56"/>
    </row>
    <row r="72" spans="2:6" x14ac:dyDescent="0.25">
      <c r="B72" s="64" t="s">
        <v>529</v>
      </c>
      <c r="C72" s="64" t="s">
        <v>530</v>
      </c>
      <c r="D72" s="64" t="s">
        <v>531</v>
      </c>
    </row>
    <row r="73" spans="2:6" x14ac:dyDescent="0.25">
      <c r="B73" s="65">
        <v>46307</v>
      </c>
      <c r="C73" s="65">
        <v>46307</v>
      </c>
      <c r="D73" s="65">
        <v>46307</v>
      </c>
    </row>
    <row r="74" spans="2:6" x14ac:dyDescent="0.25">
      <c r="B74" s="65">
        <v>46308</v>
      </c>
      <c r="C74" s="65">
        <v>46308</v>
      </c>
      <c r="D74" s="65">
        <v>46308</v>
      </c>
    </row>
    <row r="75" spans="2:6" x14ac:dyDescent="0.25">
      <c r="B75" s="65">
        <v>46309</v>
      </c>
      <c r="C75" s="65">
        <v>46309</v>
      </c>
      <c r="D75" s="65">
        <v>46309</v>
      </c>
    </row>
    <row r="76" spans="2:6" x14ac:dyDescent="0.25">
      <c r="B76" s="65">
        <v>46310</v>
      </c>
      <c r="C76" s="65">
        <v>46310</v>
      </c>
      <c r="D76" s="65">
        <v>46310</v>
      </c>
    </row>
    <row r="77" spans="2:6" x14ac:dyDescent="0.25">
      <c r="B77" s="65">
        <v>46311</v>
      </c>
      <c r="C77" s="65">
        <v>46311</v>
      </c>
      <c r="D77" s="65">
        <v>46311</v>
      </c>
    </row>
    <row r="78" spans="2:6" x14ac:dyDescent="0.25">
      <c r="B78" s="65">
        <v>46312</v>
      </c>
      <c r="C78" s="65">
        <v>46312</v>
      </c>
      <c r="D78" s="65">
        <v>46314</v>
      </c>
      <c r="E78" s="62"/>
      <c r="F78" s="62"/>
    </row>
    <row r="79" spans="2:6" x14ac:dyDescent="0.25">
      <c r="B79" s="134"/>
      <c r="C79" s="65">
        <v>46313</v>
      </c>
      <c r="D79" s="65">
        <v>46315</v>
      </c>
    </row>
    <row r="80" spans="2:6" x14ac:dyDescent="0.25">
      <c r="B80" s="134"/>
      <c r="C80" s="65">
        <v>46314</v>
      </c>
      <c r="D80" s="134"/>
    </row>
    <row r="81" spans="2:4" x14ac:dyDescent="0.25">
      <c r="B81" s="134"/>
      <c r="C81" s="65">
        <v>46315</v>
      </c>
      <c r="D81" s="134"/>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988D-3060-469D-89B9-9485A4DC732F}">
  <sheetPr codeName="Sheet9"/>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67" t="s">
        <v>469</v>
      </c>
      <c r="B1" s="67" t="s">
        <v>0</v>
      </c>
      <c r="C1" s="67" t="s">
        <v>470</v>
      </c>
      <c r="D1" s="67" t="s">
        <v>6</v>
      </c>
      <c r="E1" s="67" t="s">
        <v>36</v>
      </c>
      <c r="F1" s="67" t="s">
        <v>471</v>
      </c>
      <c r="G1" s="67" t="s">
        <v>472</v>
      </c>
      <c r="H1" s="67" t="s">
        <v>532</v>
      </c>
      <c r="I1" s="67" t="s">
        <v>533</v>
      </c>
      <c r="J1" s="68" t="s">
        <v>533</v>
      </c>
    </row>
    <row r="2" spans="1:10" x14ac:dyDescent="0.25">
      <c r="A2" s="221">
        <v>46308</v>
      </c>
      <c r="B2" s="66" t="s">
        <v>40</v>
      </c>
      <c r="C2" s="66" t="s">
        <v>473</v>
      </c>
      <c r="D2" s="66" t="s">
        <v>93</v>
      </c>
      <c r="E2" s="66" t="s">
        <v>57</v>
      </c>
      <c r="F2" s="66">
        <v>38278</v>
      </c>
      <c r="G2" s="66">
        <v>137196</v>
      </c>
      <c r="H2" s="69">
        <f>F2-G2</f>
        <v>-98918</v>
      </c>
      <c r="I2" s="69" t="str">
        <f>IF(F2&gt;=G2,"Achieved","Pending")</f>
        <v>Pending</v>
      </c>
      <c r="J2" s="70" t="b">
        <f>AND(H2&gt;0,G2&gt;50000)</f>
        <v>0</v>
      </c>
    </row>
    <row r="3" spans="1:10" x14ac:dyDescent="0.25">
      <c r="A3" s="221">
        <v>46309</v>
      </c>
      <c r="B3" s="66" t="s">
        <v>58</v>
      </c>
      <c r="C3" s="66" t="s">
        <v>474</v>
      </c>
      <c r="D3" s="66" t="s">
        <v>185</v>
      </c>
      <c r="E3" s="66" t="s">
        <v>74</v>
      </c>
      <c r="F3" s="66">
        <v>64256</v>
      </c>
      <c r="G3" s="66">
        <v>58289</v>
      </c>
      <c r="H3" s="69">
        <f>F3-G3</f>
        <v>5967</v>
      </c>
      <c r="I3" s="69" t="str">
        <f>IF(F3&gt;=G3,"Achieved","Pending")</f>
        <v>Achieved</v>
      </c>
      <c r="J3" s="70" t="b">
        <f>AND(H3&gt;0,G3&gt;50000)</f>
        <v>1</v>
      </c>
    </row>
    <row r="4" spans="1:10" x14ac:dyDescent="0.25">
      <c r="A4" s="221">
        <v>46310</v>
      </c>
      <c r="B4" s="66" t="s">
        <v>75</v>
      </c>
      <c r="C4" s="66" t="s">
        <v>475</v>
      </c>
      <c r="D4" s="66" t="s">
        <v>93</v>
      </c>
      <c r="E4" s="66" t="s">
        <v>87</v>
      </c>
      <c r="F4" s="66">
        <v>123696</v>
      </c>
      <c r="G4" s="66">
        <v>137080</v>
      </c>
      <c r="H4" s="69">
        <f>F4-G4</f>
        <v>-13384</v>
      </c>
      <c r="I4" s="69" t="str">
        <f>IF(F4&gt;=G4,"Achieved","Pending")</f>
        <v>Pending</v>
      </c>
      <c r="J4" s="70" t="b">
        <f>AND(H4&gt;0,G4&gt;50000)</f>
        <v>0</v>
      </c>
    </row>
    <row r="5" spans="1:10" x14ac:dyDescent="0.25">
      <c r="A5" s="221">
        <v>46311</v>
      </c>
      <c r="B5" s="66" t="s">
        <v>88</v>
      </c>
      <c r="C5" s="66" t="s">
        <v>476</v>
      </c>
      <c r="D5" s="66" t="s">
        <v>80</v>
      </c>
      <c r="E5" s="66" t="s">
        <v>103</v>
      </c>
      <c r="F5" s="66">
        <v>112397</v>
      </c>
      <c r="G5" s="66">
        <v>95302</v>
      </c>
      <c r="H5" s="69">
        <f>F5-G5</f>
        <v>17095</v>
      </c>
      <c r="I5" s="69" t="str">
        <f>IF(F5&gt;=G5,"Achieved","Pending")</f>
        <v>Achieved</v>
      </c>
      <c r="J5" s="70" t="b">
        <f>AND(H5&gt;0,G5&gt;50000)</f>
        <v>1</v>
      </c>
    </row>
    <row r="6" spans="1:10" x14ac:dyDescent="0.25">
      <c r="A6" s="221">
        <v>46312</v>
      </c>
      <c r="B6" s="66" t="s">
        <v>104</v>
      </c>
      <c r="C6" s="66" t="s">
        <v>477</v>
      </c>
      <c r="D6" s="66" t="s">
        <v>134</v>
      </c>
      <c r="E6" s="66" t="s">
        <v>74</v>
      </c>
      <c r="F6" s="66">
        <v>47280</v>
      </c>
      <c r="G6" s="66">
        <v>68657</v>
      </c>
      <c r="H6" s="69">
        <f>F6-G6</f>
        <v>-21377</v>
      </c>
      <c r="I6" s="69" t="str">
        <f>IF(F6&gt;=G6,"Achieved","Pending")</f>
        <v>Pending</v>
      </c>
      <c r="J6" s="70" t="b">
        <f>AND(H6&gt;0,G6&gt;50000)</f>
        <v>0</v>
      </c>
    </row>
    <row r="7" spans="1:10" x14ac:dyDescent="0.25">
      <c r="A7" s="221">
        <v>46313</v>
      </c>
      <c r="B7" s="66" t="s">
        <v>114</v>
      </c>
      <c r="C7" s="66" t="s">
        <v>478</v>
      </c>
      <c r="D7" s="66" t="s">
        <v>45</v>
      </c>
      <c r="E7" s="66" t="s">
        <v>123</v>
      </c>
      <c r="F7" s="66">
        <v>108563</v>
      </c>
      <c r="G7" s="66">
        <v>66062</v>
      </c>
      <c r="H7" s="69">
        <f>F7-G7</f>
        <v>42501</v>
      </c>
      <c r="I7" s="69" t="str">
        <f>IF(F7&gt;=G7,"Achieved","Pending")</f>
        <v>Achieved</v>
      </c>
      <c r="J7" s="70" t="b">
        <f>AND(H7&gt;0,G7&gt;50000)</f>
        <v>1</v>
      </c>
    </row>
    <row r="8" spans="1:10" x14ac:dyDescent="0.25">
      <c r="A8" s="221">
        <v>46314</v>
      </c>
      <c r="B8" s="66" t="s">
        <v>124</v>
      </c>
      <c r="C8" s="66" t="s">
        <v>479</v>
      </c>
      <c r="D8" s="66" t="s">
        <v>93</v>
      </c>
      <c r="E8" s="66" t="s">
        <v>57</v>
      </c>
      <c r="F8" s="66">
        <v>63893</v>
      </c>
      <c r="G8" s="66">
        <v>98878</v>
      </c>
      <c r="H8" s="69">
        <f>F8-G8</f>
        <v>-34985</v>
      </c>
      <c r="I8" s="69" t="str">
        <f>IF(F8&gt;=G8,"Achieved","Pending")</f>
        <v>Pending</v>
      </c>
      <c r="J8" s="70" t="b">
        <f>AND(H8&gt;0,G8&gt;50000)</f>
        <v>0</v>
      </c>
    </row>
    <row r="9" spans="1:10" x14ac:dyDescent="0.25">
      <c r="A9" s="221">
        <v>46315</v>
      </c>
      <c r="B9" s="66" t="s">
        <v>132</v>
      </c>
      <c r="C9" s="66" t="s">
        <v>480</v>
      </c>
      <c r="D9" s="66" t="s">
        <v>80</v>
      </c>
      <c r="E9" s="66" t="s">
        <v>103</v>
      </c>
      <c r="F9" s="66">
        <v>141093</v>
      </c>
      <c r="G9" s="66">
        <v>40851</v>
      </c>
      <c r="H9" s="69">
        <f>F9-G9</f>
        <v>100242</v>
      </c>
      <c r="I9" s="69" t="str">
        <f>IF(F9&gt;=G9,"Achieved","Pending")</f>
        <v>Achieved</v>
      </c>
      <c r="J9" s="70" t="b">
        <f>AND(H9&gt;0,G9&gt;50000)</f>
        <v>0</v>
      </c>
    </row>
    <row r="10" spans="1:10" x14ac:dyDescent="0.25">
      <c r="A10" s="221">
        <v>46316</v>
      </c>
      <c r="B10" s="66" t="s">
        <v>141</v>
      </c>
      <c r="C10" s="66" t="s">
        <v>481</v>
      </c>
      <c r="D10" s="66" t="s">
        <v>45</v>
      </c>
      <c r="E10" s="66" t="s">
        <v>123</v>
      </c>
      <c r="F10" s="66">
        <v>79597</v>
      </c>
      <c r="G10" s="66">
        <v>76421</v>
      </c>
      <c r="H10" s="69">
        <f>F10-G10</f>
        <v>3176</v>
      </c>
      <c r="I10" s="69" t="str">
        <f>IF(F10&gt;=G10,"Achieved","Pending")</f>
        <v>Achieved</v>
      </c>
      <c r="J10" s="70" t="b">
        <f>AND(H10&gt;0,G10&gt;50000)</f>
        <v>1</v>
      </c>
    </row>
    <row r="11" spans="1:10" x14ac:dyDescent="0.25">
      <c r="A11" s="221">
        <v>46317</v>
      </c>
      <c r="B11" s="66" t="s">
        <v>151</v>
      </c>
      <c r="C11" s="66" t="s">
        <v>482</v>
      </c>
      <c r="D11" s="66" t="s">
        <v>45</v>
      </c>
      <c r="E11" s="66" t="s">
        <v>87</v>
      </c>
      <c r="F11" s="66">
        <v>135072</v>
      </c>
      <c r="G11" s="66">
        <v>84118</v>
      </c>
      <c r="H11" s="69">
        <f>F11-G11</f>
        <v>50954</v>
      </c>
      <c r="I11" s="71" t="e" cm="1">
        <f t="array" aca="1" ref="I11" ca="1">IFabc(F11&gt;=G11,"Achieved","Pending")</f>
        <v>#NAME?</v>
      </c>
      <c r="J11" s="70" t="b">
        <f>AND(H11&gt;0,G11&gt;50000)</f>
        <v>1</v>
      </c>
    </row>
    <row r="12" spans="1:10" x14ac:dyDescent="0.25">
      <c r="A12" s="221">
        <v>46318</v>
      </c>
      <c r="B12" s="66" t="s">
        <v>68</v>
      </c>
      <c r="C12" s="66" t="s">
        <v>483</v>
      </c>
      <c r="D12" s="66" t="s">
        <v>134</v>
      </c>
      <c r="E12" s="66" t="s">
        <v>57</v>
      </c>
      <c r="F12" s="66">
        <v>84797</v>
      </c>
      <c r="G12" s="66">
        <v>52676</v>
      </c>
      <c r="H12" s="69">
        <f>F12-G12</f>
        <v>32121</v>
      </c>
      <c r="I12" s="69" t="str">
        <f>IF(F12&gt;=G12,"Achieved","Pending")</f>
        <v>Achieved</v>
      </c>
      <c r="J12" s="70" t="b">
        <f>AND(H12&gt;0,G12&gt;50000)</f>
        <v>1</v>
      </c>
    </row>
    <row r="13" spans="1:10" x14ac:dyDescent="0.25">
      <c r="A13" s="221">
        <v>46319</v>
      </c>
      <c r="B13" s="66" t="s">
        <v>163</v>
      </c>
      <c r="C13" s="66" t="s">
        <v>484</v>
      </c>
      <c r="D13" s="66" t="s">
        <v>185</v>
      </c>
      <c r="E13" s="66" t="s">
        <v>123</v>
      </c>
      <c r="F13" s="66">
        <v>20000</v>
      </c>
      <c r="G13" s="66">
        <v>74671</v>
      </c>
      <c r="H13" s="69">
        <f>F13-G13</f>
        <v>-54671</v>
      </c>
      <c r="I13" s="69" t="str">
        <f>IF(F13&gt;=G13,"Achieved","Pending")</f>
        <v>Pending</v>
      </c>
      <c r="J13" s="70" t="b">
        <f>AND(H13&gt;0,G13&gt;50000)</f>
        <v>0</v>
      </c>
    </row>
    <row r="14" spans="1:10" x14ac:dyDescent="0.25">
      <c r="A14" s="221">
        <v>46320</v>
      </c>
      <c r="B14" s="66" t="s">
        <v>170</v>
      </c>
      <c r="C14" s="66" t="s">
        <v>485</v>
      </c>
      <c r="D14" s="66" t="s">
        <v>134</v>
      </c>
      <c r="E14" s="66" t="s">
        <v>123</v>
      </c>
      <c r="F14" s="66">
        <v>105284</v>
      </c>
      <c r="G14" s="66">
        <v>56361</v>
      </c>
      <c r="H14" s="69">
        <f>F14-G14</f>
        <v>48923</v>
      </c>
      <c r="I14" s="69" t="str">
        <f>IF(F14&gt;=G14,"Achieved","Pending")</f>
        <v>Achieved</v>
      </c>
      <c r="J14" s="70" t="b">
        <f>AND(H14&gt;0,G14&gt;50000)</f>
        <v>1</v>
      </c>
    </row>
    <row r="15" spans="1:10" x14ac:dyDescent="0.25">
      <c r="A15" s="221">
        <v>46321</v>
      </c>
      <c r="B15" s="66" t="s">
        <v>175</v>
      </c>
      <c r="C15" s="66" t="s">
        <v>486</v>
      </c>
      <c r="D15" s="66" t="s">
        <v>126</v>
      </c>
      <c r="E15" s="66" t="s">
        <v>57</v>
      </c>
      <c r="F15" s="66">
        <v>20000</v>
      </c>
      <c r="G15" s="66">
        <v>78427</v>
      </c>
      <c r="H15" s="69">
        <f>F15-G15</f>
        <v>-58427</v>
      </c>
      <c r="I15" s="69" t="str">
        <f>IF(F15&gt;=G15,"Achieved","Pending")</f>
        <v>Pending</v>
      </c>
      <c r="J15" s="70" t="b">
        <f>AND(H15&gt;0,G15&gt;50000)</f>
        <v>0</v>
      </c>
    </row>
    <row r="16" spans="1:10" x14ac:dyDescent="0.25">
      <c r="A16" s="221">
        <v>46322</v>
      </c>
      <c r="B16" s="66" t="s">
        <v>180</v>
      </c>
      <c r="C16" s="66" t="s">
        <v>487</v>
      </c>
      <c r="D16" s="66" t="s">
        <v>93</v>
      </c>
      <c r="E16" s="66" t="s">
        <v>87</v>
      </c>
      <c r="F16" s="66">
        <v>110674</v>
      </c>
      <c r="G16" s="66">
        <v>65203</v>
      </c>
      <c r="H16" s="69">
        <f>F16-G16</f>
        <v>45471</v>
      </c>
      <c r="I16" s="69" t="str">
        <f>IF(F16&gt;=G16,"Achieved","Pending")</f>
        <v>Achieved</v>
      </c>
      <c r="J16" s="70" t="b">
        <f>AND(H16&gt;0,G16&gt;50000)</f>
        <v>1</v>
      </c>
    </row>
    <row r="17" spans="1:10" x14ac:dyDescent="0.25">
      <c r="A17" s="221">
        <v>46323</v>
      </c>
      <c r="B17" s="66" t="s">
        <v>129</v>
      </c>
      <c r="C17" s="66" t="s">
        <v>488</v>
      </c>
      <c r="D17" s="66" t="s">
        <v>93</v>
      </c>
      <c r="E17" s="66" t="s">
        <v>103</v>
      </c>
      <c r="F17" s="66">
        <v>41006</v>
      </c>
      <c r="G17" s="66">
        <v>126673</v>
      </c>
      <c r="H17" s="69">
        <f>F17-G17</f>
        <v>-85667</v>
      </c>
      <c r="I17" s="69" t="str">
        <f>IF(F17&gt;=G17,"Achieved","Pending")</f>
        <v>Pending</v>
      </c>
      <c r="J17" s="70" t="b">
        <f>AND(H17&gt;0,G17&gt;50000)</f>
        <v>0</v>
      </c>
    </row>
    <row r="18" spans="1:10" x14ac:dyDescent="0.25">
      <c r="A18" s="221">
        <v>46324</v>
      </c>
      <c r="B18" s="66" t="s">
        <v>190</v>
      </c>
      <c r="C18" s="66" t="s">
        <v>489</v>
      </c>
      <c r="D18" s="66" t="s">
        <v>45</v>
      </c>
      <c r="E18" s="66" t="s">
        <v>57</v>
      </c>
      <c r="F18" s="66">
        <v>45458</v>
      </c>
      <c r="G18" s="66">
        <v>70512</v>
      </c>
      <c r="H18" s="69">
        <f>F18-G18</f>
        <v>-25054</v>
      </c>
      <c r="I18" s="69" t="str">
        <f>IF(F18&gt;=G18,"Achieved","Pending")</f>
        <v>Pending</v>
      </c>
      <c r="J18" s="70" t="b">
        <f>AND(H18&gt;0,G18&gt;50000)</f>
        <v>0</v>
      </c>
    </row>
    <row r="19" spans="1:10" x14ac:dyDescent="0.25">
      <c r="A19" s="221">
        <v>46325</v>
      </c>
      <c r="B19" s="66" t="s">
        <v>195</v>
      </c>
      <c r="C19" s="66" t="s">
        <v>490</v>
      </c>
      <c r="D19" s="66" t="s">
        <v>134</v>
      </c>
      <c r="E19" s="66" t="s">
        <v>87</v>
      </c>
      <c r="F19" s="66">
        <v>71434</v>
      </c>
      <c r="G19" s="66">
        <v>99429</v>
      </c>
      <c r="H19" s="69">
        <f>F19-G19</f>
        <v>-27995</v>
      </c>
      <c r="I19" s="69" t="str">
        <f>IF(F19&gt;=G19,"Achieved","Pending")</f>
        <v>Pending</v>
      </c>
      <c r="J19" s="70" t="b">
        <f>AND(H19&gt;0,G19&gt;50000)</f>
        <v>0</v>
      </c>
    </row>
    <row r="20" spans="1:10" x14ac:dyDescent="0.25">
      <c r="A20" s="221">
        <v>46326</v>
      </c>
      <c r="B20" s="66" t="s">
        <v>200</v>
      </c>
      <c r="C20" s="66" t="s">
        <v>491</v>
      </c>
      <c r="D20" s="66" t="s">
        <v>93</v>
      </c>
      <c r="E20" s="66" t="s">
        <v>123</v>
      </c>
      <c r="F20" s="66">
        <v>56319</v>
      </c>
      <c r="G20" s="66">
        <v>88520</v>
      </c>
      <c r="H20" s="69">
        <f>F20-G20</f>
        <v>-32201</v>
      </c>
      <c r="I20" s="69" t="str">
        <f>IF(F20&gt;=G20,"Achieved","Pending")</f>
        <v>Pending</v>
      </c>
      <c r="J20" s="70" t="b">
        <f>AND(H20&gt;0,G20&gt;50000)</f>
        <v>0</v>
      </c>
    </row>
    <row r="21" spans="1:10" x14ac:dyDescent="0.25">
      <c r="A21" s="221">
        <v>46327</v>
      </c>
      <c r="B21" s="66" t="s">
        <v>205</v>
      </c>
      <c r="C21" s="66" t="s">
        <v>492</v>
      </c>
      <c r="D21" s="66" t="s">
        <v>185</v>
      </c>
      <c r="E21" s="66" t="s">
        <v>123</v>
      </c>
      <c r="F21" s="66">
        <v>122841</v>
      </c>
      <c r="G21" s="66">
        <v>74993</v>
      </c>
      <c r="H21" s="69">
        <f>F21-G21</f>
        <v>47848</v>
      </c>
      <c r="I21" s="69" t="str">
        <f>IF(F21&gt;=G21,"Achieved","Pending")</f>
        <v>Achieved</v>
      </c>
      <c r="J21" s="70" t="b">
        <f>AND(H21&gt;0,G21&gt;50000)</f>
        <v>1</v>
      </c>
    </row>
    <row r="22" spans="1:10" x14ac:dyDescent="0.25">
      <c r="A22" s="221">
        <v>46328</v>
      </c>
      <c r="B22" s="66" t="s">
        <v>210</v>
      </c>
      <c r="C22" s="66" t="s">
        <v>493</v>
      </c>
      <c r="D22" s="66" t="s">
        <v>93</v>
      </c>
      <c r="E22" s="66" t="s">
        <v>74</v>
      </c>
      <c r="F22" s="66">
        <v>114840</v>
      </c>
      <c r="G22" s="66">
        <v>123227</v>
      </c>
      <c r="H22" s="69">
        <f>F22-G22</f>
        <v>-8387</v>
      </c>
      <c r="I22" s="71" t="e" cm="1">
        <f t="array" aca="1" ref="I22" ca="1">IFabc(F22&gt;=G22,"Achieved","Pending")</f>
        <v>#NAME?</v>
      </c>
      <c r="J22" s="70" t="b">
        <f>AND(H22&gt;0,G22&gt;50000)</f>
        <v>0</v>
      </c>
    </row>
    <row r="23" spans="1:10" x14ac:dyDescent="0.25">
      <c r="A23" s="221">
        <v>46329</v>
      </c>
      <c r="B23" s="66" t="s">
        <v>215</v>
      </c>
      <c r="C23" s="66" t="s">
        <v>494</v>
      </c>
      <c r="D23" s="66" t="s">
        <v>45</v>
      </c>
      <c r="E23" s="66" t="s">
        <v>74</v>
      </c>
      <c r="F23" s="66">
        <v>56417</v>
      </c>
      <c r="G23" s="66">
        <v>100589</v>
      </c>
      <c r="H23" s="69">
        <f>F23-G23</f>
        <v>-44172</v>
      </c>
      <c r="I23" s="69" t="str">
        <f>IF(F23&gt;=G23,"Achieved","Pending")</f>
        <v>Pending</v>
      </c>
      <c r="J23" s="70" t="b">
        <f>AND(H23&gt;0,G23&gt;50000)</f>
        <v>0</v>
      </c>
    </row>
    <row r="24" spans="1:10" x14ac:dyDescent="0.25">
      <c r="A24" s="221">
        <v>46330</v>
      </c>
      <c r="B24" s="66" t="s">
        <v>209</v>
      </c>
      <c r="C24" s="66" t="s">
        <v>495</v>
      </c>
      <c r="D24" s="66" t="s">
        <v>126</v>
      </c>
      <c r="E24" s="66" t="s">
        <v>87</v>
      </c>
      <c r="F24" s="66">
        <v>118886</v>
      </c>
      <c r="G24" s="66">
        <v>130198</v>
      </c>
      <c r="H24" s="69">
        <f>F24-G24</f>
        <v>-11312</v>
      </c>
      <c r="I24" s="69" t="str">
        <f>IF(F24&gt;=G24,"Achieved","Pending")</f>
        <v>Pending</v>
      </c>
      <c r="J24" s="70" t="b">
        <f>AND(H24&gt;0,G24&gt;50000)</f>
        <v>0</v>
      </c>
    </row>
    <row r="25" spans="1:10" x14ac:dyDescent="0.25">
      <c r="A25" s="221">
        <v>46331</v>
      </c>
      <c r="B25" s="66" t="s">
        <v>223</v>
      </c>
      <c r="C25" s="66" t="s">
        <v>496</v>
      </c>
      <c r="D25" s="66" t="s">
        <v>80</v>
      </c>
      <c r="E25" s="66" t="s">
        <v>103</v>
      </c>
      <c r="F25" s="66">
        <v>124733</v>
      </c>
      <c r="G25" s="66">
        <v>82504</v>
      </c>
      <c r="H25" s="69">
        <f>F25-G25</f>
        <v>42229</v>
      </c>
      <c r="I25" s="69" t="str">
        <f>IF(F25&gt;=G25,"Achieved","Pending")</f>
        <v>Achieved</v>
      </c>
      <c r="J25" s="70" t="b">
        <f>AND(H25&gt;0,G25&gt;50000)</f>
        <v>1</v>
      </c>
    </row>
    <row r="26" spans="1:10" x14ac:dyDescent="0.25">
      <c r="A26" s="221">
        <v>46332</v>
      </c>
      <c r="B26" s="66" t="s">
        <v>227</v>
      </c>
      <c r="C26" s="66" t="s">
        <v>497</v>
      </c>
      <c r="D26" s="66" t="s">
        <v>134</v>
      </c>
      <c r="E26" s="66" t="s">
        <v>123</v>
      </c>
      <c r="F26" s="66">
        <v>142715</v>
      </c>
      <c r="G26" s="66">
        <v>44207</v>
      </c>
      <c r="H26" s="69">
        <f>F26-G26</f>
        <v>98508</v>
      </c>
      <c r="I26" s="69" t="str">
        <f>IF(F26&gt;=G26,"Achieved","Pending")</f>
        <v>Achieved</v>
      </c>
      <c r="J26" s="70" t="b">
        <f>AND(H26&gt;0,G26&gt;50000)</f>
        <v>0</v>
      </c>
    </row>
    <row r="27" spans="1:10" x14ac:dyDescent="0.25">
      <c r="A27" s="221">
        <v>46333</v>
      </c>
      <c r="B27" s="66" t="s">
        <v>222</v>
      </c>
      <c r="C27" s="66" t="s">
        <v>498</v>
      </c>
      <c r="D27" s="66" t="s">
        <v>185</v>
      </c>
      <c r="E27" s="66" t="s">
        <v>87</v>
      </c>
      <c r="F27" s="66">
        <v>70093</v>
      </c>
      <c r="G27" s="66">
        <v>48675</v>
      </c>
      <c r="H27" s="69">
        <f>F27-G27</f>
        <v>21418</v>
      </c>
      <c r="I27" s="69" t="str">
        <f>IF(F27&gt;=G27,"Achieved","Pending")</f>
        <v>Achieved</v>
      </c>
      <c r="J27" s="70" t="b">
        <f>AND(H27&gt;0,G27&gt;50000)</f>
        <v>0</v>
      </c>
    </row>
    <row r="28" spans="1:10" x14ac:dyDescent="0.25">
      <c r="A28" s="221">
        <v>46334</v>
      </c>
      <c r="B28" s="66" t="s">
        <v>110</v>
      </c>
      <c r="C28" s="66" t="s">
        <v>499</v>
      </c>
      <c r="D28" s="66" t="s">
        <v>45</v>
      </c>
      <c r="E28" s="66" t="s">
        <v>87</v>
      </c>
      <c r="F28" s="66">
        <v>62869</v>
      </c>
      <c r="G28" s="66">
        <v>125909</v>
      </c>
      <c r="H28" s="69">
        <f>F28-G28</f>
        <v>-63040</v>
      </c>
      <c r="I28" s="69" t="str">
        <f>IF(F28&gt;=G28,"Achieved","Pending")</f>
        <v>Pending</v>
      </c>
      <c r="J28" s="70" t="b">
        <f>AND(H28&gt;0,G28&gt;50000)</f>
        <v>0</v>
      </c>
    </row>
    <row r="29" spans="1:10" x14ac:dyDescent="0.25">
      <c r="A29" s="221">
        <v>46335</v>
      </c>
      <c r="B29" s="66" t="s">
        <v>138</v>
      </c>
      <c r="C29" s="66" t="s">
        <v>500</v>
      </c>
      <c r="D29" s="66" t="s">
        <v>126</v>
      </c>
      <c r="E29" s="66" t="s">
        <v>123</v>
      </c>
      <c r="F29" s="66">
        <v>119259</v>
      </c>
      <c r="G29" s="66">
        <v>100142</v>
      </c>
      <c r="H29" s="69">
        <f>F29-G29</f>
        <v>19117</v>
      </c>
      <c r="I29" s="71" t="e" cm="1">
        <f t="array" aca="1" ref="I29" ca="1">IFabc(F29&gt;=G29,"Achieved","Pending")</f>
        <v>#NAME?</v>
      </c>
      <c r="J29" s="70" t="b">
        <f>AND(H29&gt;0,G29&gt;50000)</f>
        <v>1</v>
      </c>
    </row>
    <row r="30" spans="1:10" x14ac:dyDescent="0.25">
      <c r="A30" s="221">
        <v>46336</v>
      </c>
      <c r="B30" s="66" t="s">
        <v>243</v>
      </c>
      <c r="C30" s="66" t="s">
        <v>501</v>
      </c>
      <c r="D30" s="66" t="s">
        <v>45</v>
      </c>
      <c r="E30" s="66" t="s">
        <v>103</v>
      </c>
      <c r="F30" s="66">
        <v>53301</v>
      </c>
      <c r="G30" s="66">
        <v>72325</v>
      </c>
      <c r="H30" s="69">
        <f>F30-G30</f>
        <v>-19024</v>
      </c>
      <c r="I30" s="69" t="str">
        <f>IF(F30&gt;=G30,"Achieved","Pending")</f>
        <v>Pending</v>
      </c>
      <c r="J30" s="70" t="b">
        <f>AND(H30&gt;0,G30&gt;50000)</f>
        <v>0</v>
      </c>
    </row>
    <row r="31" spans="1:10" x14ac:dyDescent="0.25">
      <c r="A31" s="221">
        <v>46337</v>
      </c>
      <c r="B31" s="66" t="s">
        <v>247</v>
      </c>
      <c r="C31" s="66" t="s">
        <v>502</v>
      </c>
      <c r="D31" s="66" t="s">
        <v>93</v>
      </c>
      <c r="E31" s="66" t="s">
        <v>74</v>
      </c>
      <c r="F31" s="66">
        <v>132912</v>
      </c>
      <c r="G31" s="66">
        <v>116622</v>
      </c>
      <c r="H31" s="69">
        <f>F31-G31</f>
        <v>16290</v>
      </c>
      <c r="I31" s="69" t="str">
        <f>IF(F31&gt;=G31,"Achieved","Pending")</f>
        <v>Achieved</v>
      </c>
      <c r="J31" s="70" t="b">
        <f>AND(H31&gt;0,G31&gt;50000)</f>
        <v>1</v>
      </c>
    </row>
    <row r="32" spans="1:10" x14ac:dyDescent="0.25">
      <c r="A32" s="221">
        <v>46338</v>
      </c>
      <c r="B32" s="66" t="s">
        <v>251</v>
      </c>
      <c r="C32" s="66" t="s">
        <v>503</v>
      </c>
      <c r="D32" s="66" t="s">
        <v>126</v>
      </c>
      <c r="E32" s="66" t="s">
        <v>87</v>
      </c>
      <c r="F32" s="66">
        <v>82447</v>
      </c>
      <c r="G32" s="66">
        <v>68746</v>
      </c>
      <c r="H32" s="69">
        <f>F32-G32</f>
        <v>13701</v>
      </c>
      <c r="I32" s="69" t="str">
        <f>IF(F32&gt;=G32,"Achieved","Pending")</f>
        <v>Achieved</v>
      </c>
      <c r="J32" s="70" t="b">
        <f>AND(H32&gt;0,G32&gt;50000)</f>
        <v>1</v>
      </c>
    </row>
    <row r="33" spans="1:10" x14ac:dyDescent="0.25">
      <c r="A33" s="221">
        <v>46339</v>
      </c>
      <c r="B33" s="66" t="s">
        <v>255</v>
      </c>
      <c r="C33" s="66" t="s">
        <v>504</v>
      </c>
      <c r="D33" s="66" t="s">
        <v>45</v>
      </c>
      <c r="E33" s="66" t="s">
        <v>123</v>
      </c>
      <c r="F33" s="66">
        <v>46915</v>
      </c>
      <c r="G33" s="66">
        <v>139061</v>
      </c>
      <c r="H33" s="69">
        <f>F33-G33</f>
        <v>-92146</v>
      </c>
      <c r="I33" s="69" t="str">
        <f>IF(F33&gt;=G33,"Achieved","Pending")</f>
        <v>Pending</v>
      </c>
      <c r="J33" s="70" t="b">
        <f>AND(H33&gt;0,G33&gt;50000)</f>
        <v>0</v>
      </c>
    </row>
    <row r="34" spans="1:10" x14ac:dyDescent="0.25">
      <c r="A34" s="221">
        <v>46340</v>
      </c>
      <c r="B34" s="66" t="s">
        <v>258</v>
      </c>
      <c r="C34" s="66" t="s">
        <v>505</v>
      </c>
      <c r="D34" s="66" t="s">
        <v>134</v>
      </c>
      <c r="E34" s="66" t="s">
        <v>123</v>
      </c>
      <c r="F34" s="66">
        <v>55033</v>
      </c>
      <c r="G34" s="66">
        <v>122240</v>
      </c>
      <c r="H34" s="69">
        <f>F34-G34</f>
        <v>-67207</v>
      </c>
      <c r="I34" s="69" t="str">
        <f>IF(F34&gt;=G34,"Achieved","Pending")</f>
        <v>Pending</v>
      </c>
      <c r="J34" s="70" t="b">
        <f>AND(H34&gt;0,G34&gt;50000)</f>
        <v>0</v>
      </c>
    </row>
    <row r="35" spans="1:10" x14ac:dyDescent="0.25">
      <c r="A35" s="221">
        <v>46341</v>
      </c>
      <c r="B35" s="66" t="s">
        <v>168</v>
      </c>
      <c r="C35" s="66" t="s">
        <v>506</v>
      </c>
      <c r="D35" s="66" t="s">
        <v>45</v>
      </c>
      <c r="E35" s="66" t="s">
        <v>74</v>
      </c>
      <c r="F35" s="66">
        <v>113172</v>
      </c>
      <c r="G35" s="66">
        <v>48326</v>
      </c>
      <c r="H35" s="69">
        <f>F35-G35</f>
        <v>64846</v>
      </c>
      <c r="I35" s="69" t="str">
        <f>IF(F35&gt;=G35,"Achieved","Pending")</f>
        <v>Achieved</v>
      </c>
      <c r="J35" s="70" t="b">
        <f>AND(H35&gt;0,G35&gt;50000)</f>
        <v>0</v>
      </c>
    </row>
    <row r="36" spans="1:10" x14ac:dyDescent="0.25">
      <c r="A36" s="221">
        <v>46342</v>
      </c>
      <c r="B36" s="66" t="s">
        <v>240</v>
      </c>
      <c r="C36" s="66" t="s">
        <v>507</v>
      </c>
      <c r="D36" s="66" t="s">
        <v>126</v>
      </c>
      <c r="E36" s="66" t="s">
        <v>74</v>
      </c>
      <c r="F36" s="66">
        <v>113104</v>
      </c>
      <c r="G36" s="66">
        <v>101348</v>
      </c>
      <c r="H36" s="69">
        <f>F36-G36</f>
        <v>11756</v>
      </c>
      <c r="I36" s="69" t="str">
        <f>IF(F36&gt;=G36,"Achieved","Pending")</f>
        <v>Achieved</v>
      </c>
      <c r="J36" s="70" t="b">
        <f>AND(H36&gt;0,G36&gt;50000)</f>
        <v>1</v>
      </c>
    </row>
    <row r="37" spans="1:10" x14ac:dyDescent="0.25">
      <c r="A37" s="221">
        <v>46343</v>
      </c>
      <c r="B37" s="66" t="s">
        <v>271</v>
      </c>
      <c r="C37" s="66" t="s">
        <v>508</v>
      </c>
      <c r="D37" s="66" t="s">
        <v>80</v>
      </c>
      <c r="E37" s="66" t="s">
        <v>103</v>
      </c>
      <c r="F37" s="66">
        <v>20000</v>
      </c>
      <c r="G37" s="66">
        <v>41504</v>
      </c>
      <c r="H37" s="69">
        <f>F37-G37</f>
        <v>-21504</v>
      </c>
      <c r="I37" s="69" t="str">
        <f>IF(F37&gt;=G37,"Achieved","Pending")</f>
        <v>Pending</v>
      </c>
      <c r="J37" s="70" t="b">
        <f>AND(H37&gt;0,G37&gt;50000)</f>
        <v>0</v>
      </c>
    </row>
    <row r="38" spans="1:10" x14ac:dyDescent="0.25">
      <c r="A38" s="221">
        <v>46344</v>
      </c>
      <c r="B38" s="66" t="s">
        <v>275</v>
      </c>
      <c r="C38" s="66" t="s">
        <v>509</v>
      </c>
      <c r="D38" s="66" t="s">
        <v>93</v>
      </c>
      <c r="E38" s="66" t="s">
        <v>57</v>
      </c>
      <c r="F38" s="66">
        <v>124353</v>
      </c>
      <c r="G38" s="66">
        <v>109163</v>
      </c>
      <c r="H38" s="69">
        <f>F38-G38</f>
        <v>15190</v>
      </c>
      <c r="I38" s="69" t="str">
        <f>IF(F38&gt;=G38,"Achieved","Pending")</f>
        <v>Achieved</v>
      </c>
      <c r="J38" s="70" t="b">
        <f>AND(H38&gt;0,G38&gt;50000)</f>
        <v>1</v>
      </c>
    </row>
    <row r="39" spans="1:10" x14ac:dyDescent="0.25">
      <c r="A39" s="221">
        <v>46345</v>
      </c>
      <c r="B39" s="66" t="s">
        <v>194</v>
      </c>
      <c r="C39" s="66" t="s">
        <v>510</v>
      </c>
      <c r="D39" s="66" t="s">
        <v>185</v>
      </c>
      <c r="E39" s="66" t="s">
        <v>74</v>
      </c>
      <c r="F39" s="66">
        <v>49621</v>
      </c>
      <c r="G39" s="66">
        <v>78469</v>
      </c>
      <c r="H39" s="69">
        <f>F39-G39</f>
        <v>-28848</v>
      </c>
      <c r="I39" s="69" t="str">
        <f>IF(F39&gt;=G39,"Achieved","Pending")</f>
        <v>Pending</v>
      </c>
      <c r="J39" s="70" t="b">
        <f>AND(H39&gt;0,G39&gt;50000)</f>
        <v>0</v>
      </c>
    </row>
    <row r="40" spans="1:10" x14ac:dyDescent="0.25">
      <c r="A40" s="221">
        <v>46346</v>
      </c>
      <c r="B40" s="66" t="s">
        <v>280</v>
      </c>
      <c r="C40" s="66" t="s">
        <v>511</v>
      </c>
      <c r="D40" s="66" t="s">
        <v>126</v>
      </c>
      <c r="E40" s="66" t="s">
        <v>103</v>
      </c>
      <c r="F40" s="66">
        <v>94470</v>
      </c>
      <c r="G40" s="66">
        <v>40425</v>
      </c>
      <c r="H40" s="69">
        <f>F40-G40</f>
        <v>54045</v>
      </c>
      <c r="I40" s="69" t="str">
        <f>IF(F40&gt;=G40,"Achieved","Pending")</f>
        <v>Achieved</v>
      </c>
      <c r="J40" s="70" t="b">
        <f>AND(H40&gt;0,G40&gt;50000)</f>
        <v>0</v>
      </c>
    </row>
    <row r="41" spans="1:10" x14ac:dyDescent="0.25">
      <c r="A41" s="221">
        <v>46347</v>
      </c>
      <c r="B41" s="66" t="s">
        <v>283</v>
      </c>
      <c r="C41" s="66" t="s">
        <v>512</v>
      </c>
      <c r="D41" s="66" t="s">
        <v>93</v>
      </c>
      <c r="E41" s="66" t="s">
        <v>57</v>
      </c>
      <c r="F41" s="66">
        <v>100612</v>
      </c>
      <c r="G41" s="66">
        <v>139871</v>
      </c>
      <c r="H41" s="69">
        <f>F41-G41</f>
        <v>-39259</v>
      </c>
      <c r="I41" s="69" t="str">
        <f>IF(F41&gt;=G41,"Achieved","Pending")</f>
        <v>Pending</v>
      </c>
      <c r="J41" s="70" t="b">
        <f>AND(H41&gt;0,G41&gt;50000)</f>
        <v>0</v>
      </c>
    </row>
    <row r="42" spans="1:10" x14ac:dyDescent="0.25">
      <c r="A42" s="221">
        <v>46348</v>
      </c>
      <c r="B42" s="66" t="s">
        <v>235</v>
      </c>
      <c r="C42" s="66" t="s">
        <v>513</v>
      </c>
      <c r="D42" s="66" t="s">
        <v>45</v>
      </c>
      <c r="E42" s="66" t="s">
        <v>123</v>
      </c>
      <c r="F42" s="66">
        <v>149100</v>
      </c>
      <c r="G42" s="66">
        <v>121959</v>
      </c>
      <c r="H42" s="69">
        <f>F42-G42</f>
        <v>27141</v>
      </c>
      <c r="I42" s="69" t="str">
        <f>IF(F42&gt;=G42,"Achieved","Pending")</f>
        <v>Achieved</v>
      </c>
      <c r="J42" s="70" t="b">
        <f>AND(H42&gt;0,G42&gt;50000)</f>
        <v>1</v>
      </c>
    </row>
    <row r="43" spans="1:10" x14ac:dyDescent="0.25">
      <c r="A43" s="221">
        <v>46349</v>
      </c>
      <c r="B43" s="66" t="s">
        <v>289</v>
      </c>
      <c r="C43" s="66" t="s">
        <v>514</v>
      </c>
      <c r="D43" s="66" t="s">
        <v>185</v>
      </c>
      <c r="E43" s="66" t="s">
        <v>123</v>
      </c>
      <c r="F43" s="66">
        <v>55032</v>
      </c>
      <c r="G43" s="66">
        <v>89009</v>
      </c>
      <c r="H43" s="69">
        <f>F43-G43</f>
        <v>-33977</v>
      </c>
      <c r="I43" s="69" t="str">
        <f>IF(F43&gt;=G43,"Achieved","Pending")</f>
        <v>Pending</v>
      </c>
      <c r="J43" s="70" t="b">
        <f>AND(H43&gt;0,G43&gt;50000)</f>
        <v>0</v>
      </c>
    </row>
    <row r="44" spans="1:10" x14ac:dyDescent="0.25">
      <c r="A44" s="221">
        <v>46350</v>
      </c>
      <c r="B44" s="66" t="s">
        <v>120</v>
      </c>
      <c r="C44" s="66" t="s">
        <v>515</v>
      </c>
      <c r="D44" s="66" t="s">
        <v>45</v>
      </c>
      <c r="E44" s="66" t="s">
        <v>57</v>
      </c>
      <c r="F44" s="66">
        <v>113504</v>
      </c>
      <c r="G44" s="66">
        <v>82487</v>
      </c>
      <c r="H44" s="69">
        <f>F44-G44</f>
        <v>31017</v>
      </c>
      <c r="I44" s="69" t="str">
        <f>IF(F44&gt;=G44,"Achieved","Pending")</f>
        <v>Achieved</v>
      </c>
      <c r="J44" s="70" t="b">
        <f>AND(H44&gt;0,G44&gt;50000)</f>
        <v>1</v>
      </c>
    </row>
    <row r="45" spans="1:10" x14ac:dyDescent="0.25">
      <c r="A45" s="221">
        <v>46351</v>
      </c>
      <c r="B45" s="66" t="s">
        <v>295</v>
      </c>
      <c r="C45" s="66" t="s">
        <v>516</v>
      </c>
      <c r="D45" s="66" t="s">
        <v>126</v>
      </c>
      <c r="E45" s="66" t="s">
        <v>57</v>
      </c>
      <c r="F45" s="66">
        <v>49662</v>
      </c>
      <c r="G45" s="66">
        <v>87576</v>
      </c>
      <c r="H45" s="69">
        <f>F45-G45</f>
        <v>-37914</v>
      </c>
      <c r="I45" s="69" t="str">
        <f>IF(F45&gt;=G45,"Achieved","Pending")</f>
        <v>Pending</v>
      </c>
      <c r="J45" s="70" t="b">
        <f>AND(H45&gt;0,G45&gt;50000)</f>
        <v>0</v>
      </c>
    </row>
    <row r="46" spans="1:10" x14ac:dyDescent="0.25">
      <c r="A46" s="221">
        <v>46352</v>
      </c>
      <c r="B46" s="66" t="s">
        <v>286</v>
      </c>
      <c r="C46" s="66" t="s">
        <v>517</v>
      </c>
      <c r="D46" s="66" t="s">
        <v>185</v>
      </c>
      <c r="E46" s="66" t="s">
        <v>123</v>
      </c>
      <c r="F46" s="66">
        <v>42592</v>
      </c>
      <c r="G46" s="66">
        <v>71571</v>
      </c>
      <c r="H46" s="69">
        <f>F46-G46</f>
        <v>-28979</v>
      </c>
      <c r="I46" s="69" t="str">
        <f>IF(F46&gt;=G46,"Achieved","Pending")</f>
        <v>Pending</v>
      </c>
      <c r="J46" s="70" t="b">
        <f>AND(H46&gt;0,G46&gt;50000)</f>
        <v>0</v>
      </c>
    </row>
    <row r="47" spans="1:10" x14ac:dyDescent="0.25">
      <c r="A47" s="221">
        <v>46353</v>
      </c>
      <c r="B47" s="66" t="s">
        <v>300</v>
      </c>
      <c r="C47" s="66" t="s">
        <v>518</v>
      </c>
      <c r="D47" s="66" t="s">
        <v>80</v>
      </c>
      <c r="E47" s="66" t="s">
        <v>103</v>
      </c>
      <c r="F47" s="66">
        <v>46226</v>
      </c>
      <c r="G47" s="66">
        <v>135932</v>
      </c>
      <c r="H47" s="69">
        <f>F47-G47</f>
        <v>-89706</v>
      </c>
      <c r="I47" s="69" t="str">
        <f>IF(F47&gt;=G47,"Achieved","Pending")</f>
        <v>Pending</v>
      </c>
      <c r="J47" s="70" t="b">
        <f>AND(H47&gt;0,G47&gt;50000)</f>
        <v>0</v>
      </c>
    </row>
    <row r="48" spans="1:10" x14ac:dyDescent="0.25">
      <c r="A48" s="221">
        <v>46354</v>
      </c>
      <c r="B48" s="66" t="s">
        <v>304</v>
      </c>
      <c r="C48" s="66" t="s">
        <v>519</v>
      </c>
      <c r="D48" s="66" t="s">
        <v>126</v>
      </c>
      <c r="E48" s="66" t="s">
        <v>87</v>
      </c>
      <c r="F48" s="66">
        <v>20000</v>
      </c>
      <c r="G48" s="66">
        <v>109822</v>
      </c>
      <c r="H48" s="69">
        <f>F48-G48</f>
        <v>-89822</v>
      </c>
      <c r="I48" s="69" t="str">
        <f>IF(F48&gt;=G48,"Achieved","Pending")</f>
        <v>Pending</v>
      </c>
      <c r="J48" s="70" t="b">
        <f>AND(H48&gt;0,G48&gt;50000)</f>
        <v>0</v>
      </c>
    </row>
    <row r="49" spans="1:10" x14ac:dyDescent="0.25">
      <c r="A49" s="221">
        <v>46355</v>
      </c>
      <c r="B49" s="66" t="s">
        <v>308</v>
      </c>
      <c r="C49" s="66" t="s">
        <v>520</v>
      </c>
      <c r="D49" s="66" t="s">
        <v>45</v>
      </c>
      <c r="E49" s="66" t="s">
        <v>87</v>
      </c>
      <c r="F49" s="66">
        <v>121474</v>
      </c>
      <c r="G49" s="66">
        <v>102296</v>
      </c>
      <c r="H49" s="69">
        <f>F49-G49</f>
        <v>19178</v>
      </c>
      <c r="I49" s="69" t="str">
        <f>IF(F49&gt;=G49,"Achieved","Pending")</f>
        <v>Achieved</v>
      </c>
      <c r="J49" s="70" t="b">
        <f>AND(H49&gt;0,G49&gt;50000)</f>
        <v>1</v>
      </c>
    </row>
    <row r="50" spans="1:10" x14ac:dyDescent="0.25">
      <c r="A50" s="221">
        <v>46356</v>
      </c>
      <c r="B50" s="66" t="s">
        <v>231</v>
      </c>
      <c r="C50" s="66" t="s">
        <v>521</v>
      </c>
      <c r="D50" s="66" t="s">
        <v>80</v>
      </c>
      <c r="E50" s="66" t="s">
        <v>87</v>
      </c>
      <c r="F50" s="66">
        <v>69741</v>
      </c>
      <c r="G50" s="66">
        <v>109163</v>
      </c>
      <c r="H50" s="69">
        <f>F50-G50</f>
        <v>-39422</v>
      </c>
      <c r="I50" s="69" t="str">
        <f>IF(F50&gt;=G50,"Achieved","Pending")</f>
        <v>Pending</v>
      </c>
      <c r="J50" s="70" t="b">
        <f>AND(H50&gt;0,G50&gt;50000)</f>
        <v>0</v>
      </c>
    </row>
    <row r="51" spans="1:10" x14ac:dyDescent="0.25">
      <c r="A51" s="221">
        <v>46357</v>
      </c>
      <c r="B51" s="66" t="s">
        <v>314</v>
      </c>
      <c r="C51" s="66" t="s">
        <v>522</v>
      </c>
      <c r="D51" s="66" t="s">
        <v>80</v>
      </c>
      <c r="E51" s="66" t="s">
        <v>123</v>
      </c>
      <c r="F51" s="66">
        <v>62760</v>
      </c>
      <c r="G51" s="66">
        <v>110686</v>
      </c>
      <c r="H51" s="69">
        <f>F51-G51</f>
        <v>-47926</v>
      </c>
      <c r="I51" s="69" t="str">
        <f>IF(F51&gt;=G51,"Achieved","Pending")</f>
        <v>Pending</v>
      </c>
      <c r="J51" s="70" t="b">
        <f>AND(H51&gt;0,G51&gt;50000)</f>
        <v>0</v>
      </c>
    </row>
    <row r="55" spans="1:10" ht="15.75" thickBot="1" x14ac:dyDescent="0.3"/>
    <row r="56" spans="1:10" x14ac:dyDescent="0.25">
      <c r="A56" s="78" t="s">
        <v>469</v>
      </c>
      <c r="B56" s="79" t="s">
        <v>0</v>
      </c>
      <c r="C56" s="79" t="s">
        <v>470</v>
      </c>
      <c r="D56" s="79" t="s">
        <v>6</v>
      </c>
      <c r="E56" s="79" t="s">
        <v>36</v>
      </c>
      <c r="F56" s="79" t="s">
        <v>471</v>
      </c>
      <c r="G56" s="79" t="s">
        <v>472</v>
      </c>
      <c r="H56" s="79" t="s">
        <v>532</v>
      </c>
      <c r="I56" s="79" t="s">
        <v>533</v>
      </c>
      <c r="J56" s="80" t="s">
        <v>533</v>
      </c>
    </row>
    <row r="57" spans="1:10" x14ac:dyDescent="0.25">
      <c r="A57" s="220">
        <v>46308</v>
      </c>
      <c r="B57" s="31" t="s">
        <v>40</v>
      </c>
      <c r="C57" s="31" t="s">
        <v>473</v>
      </c>
      <c r="D57" s="31" t="s">
        <v>93</v>
      </c>
      <c r="E57" s="31" t="s">
        <v>57</v>
      </c>
      <c r="F57" s="31">
        <v>38278</v>
      </c>
      <c r="G57" s="31">
        <v>137196</v>
      </c>
      <c r="H57" s="31">
        <f>F57-G57</f>
        <v>-98918</v>
      </c>
      <c r="I57" s="31" t="str">
        <f>IF(F57&gt;=G57,"Achieved","Pending")</f>
        <v>Pending</v>
      </c>
      <c r="J57" s="81" t="b">
        <v>0</v>
      </c>
    </row>
    <row r="58" spans="1:10" x14ac:dyDescent="0.25">
      <c r="A58" s="219">
        <v>46309</v>
      </c>
      <c r="B58" s="31" t="s">
        <v>58</v>
      </c>
      <c r="C58" s="31" t="s">
        <v>474</v>
      </c>
      <c r="D58" s="31" t="s">
        <v>185</v>
      </c>
      <c r="E58" s="31" t="s">
        <v>74</v>
      </c>
      <c r="F58" s="31">
        <v>64256</v>
      </c>
      <c r="G58" s="31">
        <v>58289</v>
      </c>
      <c r="H58" s="31">
        <f>F58-G58</f>
        <v>5967</v>
      </c>
      <c r="I58" s="31" t="str">
        <f>IF(F58&gt;=G58,"Achieved","Pending")</f>
        <v>Achieved</v>
      </c>
      <c r="J58" s="81" t="b">
        <v>1</v>
      </c>
    </row>
    <row r="59" spans="1:10" x14ac:dyDescent="0.25">
      <c r="A59" s="219">
        <v>46310</v>
      </c>
      <c r="B59" s="31" t="s">
        <v>75</v>
      </c>
      <c r="C59" s="31" t="s">
        <v>475</v>
      </c>
      <c r="D59" s="31" t="s">
        <v>93</v>
      </c>
      <c r="E59" s="31" t="s">
        <v>87</v>
      </c>
      <c r="F59" s="31">
        <v>123696</v>
      </c>
      <c r="G59" s="31">
        <v>137080</v>
      </c>
      <c r="H59" s="31">
        <f>F59-G59</f>
        <v>-13384</v>
      </c>
      <c r="I59" s="31" t="str">
        <f>IF(F59&gt;=G59,"Achieved","Pending")</f>
        <v>Pending</v>
      </c>
      <c r="J59" s="81" t="b">
        <v>0</v>
      </c>
    </row>
    <row r="60" spans="1:10" x14ac:dyDescent="0.25">
      <c r="A60" s="219">
        <v>46311</v>
      </c>
      <c r="B60" s="31" t="s">
        <v>88</v>
      </c>
      <c r="C60" s="31" t="s">
        <v>476</v>
      </c>
      <c r="D60" s="31" t="s">
        <v>80</v>
      </c>
      <c r="E60" s="31" t="s">
        <v>103</v>
      </c>
      <c r="F60" s="31">
        <v>112397</v>
      </c>
      <c r="G60" s="31">
        <v>95302</v>
      </c>
      <c r="H60" s="31">
        <f>F60-G60</f>
        <v>17095</v>
      </c>
      <c r="I60" s="31" t="str">
        <f>IF(F60&gt;=G60,"Achieved","Pending")</f>
        <v>Achieved</v>
      </c>
      <c r="J60" s="81" t="b">
        <v>1</v>
      </c>
    </row>
    <row r="61" spans="1:10" x14ac:dyDescent="0.25">
      <c r="A61" s="219">
        <v>46312</v>
      </c>
      <c r="B61" s="31" t="s">
        <v>104</v>
      </c>
      <c r="C61" s="31" t="s">
        <v>477</v>
      </c>
      <c r="D61" s="31" t="s">
        <v>134</v>
      </c>
      <c r="E61" s="31" t="s">
        <v>74</v>
      </c>
      <c r="F61" s="31">
        <v>47280</v>
      </c>
      <c r="G61" s="31">
        <v>68657</v>
      </c>
      <c r="H61" s="31">
        <f>F61-G61</f>
        <v>-21377</v>
      </c>
      <c r="I61" s="31" t="str">
        <f>IF(F61&gt;=G61,"Achieved","Pending")</f>
        <v>Pending</v>
      </c>
      <c r="J61" s="81" t="b">
        <v>0</v>
      </c>
    </row>
    <row r="62" spans="1:10" x14ac:dyDescent="0.25">
      <c r="A62" s="219">
        <v>46313</v>
      </c>
      <c r="B62" s="31" t="s">
        <v>114</v>
      </c>
      <c r="C62" s="31" t="s">
        <v>478</v>
      </c>
      <c r="D62" s="31" t="s">
        <v>45</v>
      </c>
      <c r="E62" s="31" t="s">
        <v>123</v>
      </c>
      <c r="F62" s="31">
        <v>108563</v>
      </c>
      <c r="G62" s="31">
        <v>66062</v>
      </c>
      <c r="H62" s="31">
        <f>F62-G62</f>
        <v>42501</v>
      </c>
      <c r="I62" s="31" t="str">
        <f>IF(F62&gt;=G62,"Achieved","Pending")</f>
        <v>Achieved</v>
      </c>
      <c r="J62" s="81" t="b">
        <v>1</v>
      </c>
    </row>
    <row r="63" spans="1:10" x14ac:dyDescent="0.25">
      <c r="A63" s="219">
        <v>46314</v>
      </c>
      <c r="B63" s="31" t="s">
        <v>124</v>
      </c>
      <c r="C63" s="31" t="s">
        <v>479</v>
      </c>
      <c r="D63" s="31" t="s">
        <v>93</v>
      </c>
      <c r="E63" s="31" t="s">
        <v>57</v>
      </c>
      <c r="F63" s="31">
        <v>63893</v>
      </c>
      <c r="G63" s="31">
        <v>98878</v>
      </c>
      <c r="H63" s="31">
        <f>F63-G63</f>
        <v>-34985</v>
      </c>
      <c r="I63" s="31" t="str">
        <f>IF(F63&gt;=G63,"Achieved","Pending")</f>
        <v>Pending</v>
      </c>
      <c r="J63" s="81" t="b">
        <v>0</v>
      </c>
    </row>
    <row r="64" spans="1:10" x14ac:dyDescent="0.25">
      <c r="A64" s="219">
        <v>46315</v>
      </c>
      <c r="B64" s="31" t="s">
        <v>132</v>
      </c>
      <c r="C64" s="31" t="s">
        <v>480</v>
      </c>
      <c r="D64" s="31" t="s">
        <v>80</v>
      </c>
      <c r="E64" s="31" t="s">
        <v>103</v>
      </c>
      <c r="F64" s="31">
        <v>141093</v>
      </c>
      <c r="G64" s="31">
        <v>40851</v>
      </c>
      <c r="H64" s="31">
        <f>F64-G64</f>
        <v>100242</v>
      </c>
      <c r="I64" s="31" t="str">
        <f>IF(F64&gt;=G64,"Achieved","Pending")</f>
        <v>Achieved</v>
      </c>
      <c r="J64" s="81" t="b">
        <v>0</v>
      </c>
    </row>
    <row r="65" spans="1:10" x14ac:dyDescent="0.25">
      <c r="A65" s="219">
        <v>46316</v>
      </c>
      <c r="B65" s="31" t="s">
        <v>141</v>
      </c>
      <c r="C65" s="31" t="s">
        <v>481</v>
      </c>
      <c r="D65" s="31" t="s">
        <v>45</v>
      </c>
      <c r="E65" s="31" t="s">
        <v>123</v>
      </c>
      <c r="F65" s="31">
        <v>79597</v>
      </c>
      <c r="G65" s="31">
        <v>76421</v>
      </c>
      <c r="H65" s="31">
        <f>F65-G65</f>
        <v>3176</v>
      </c>
      <c r="I65" s="31" t="str">
        <f>IF(F65&gt;=G65,"Achieved","Pending")</f>
        <v>Achieved</v>
      </c>
      <c r="J65" s="81" t="b">
        <v>1</v>
      </c>
    </row>
    <row r="66" spans="1:10" x14ac:dyDescent="0.25">
      <c r="A66" s="219">
        <v>46317</v>
      </c>
      <c r="B66" s="31" t="s">
        <v>151</v>
      </c>
      <c r="C66" s="31" t="s">
        <v>482</v>
      </c>
      <c r="D66" s="31" t="s">
        <v>45</v>
      </c>
      <c r="E66" s="31" t="s">
        <v>87</v>
      </c>
      <c r="F66" s="31">
        <v>135072</v>
      </c>
      <c r="G66" s="31">
        <v>84118</v>
      </c>
      <c r="H66" s="31">
        <f>F66-G66</f>
        <v>50954</v>
      </c>
      <c r="I66" s="83" t="e" cm="1">
        <f t="array" aca="1" ref="I66" ca="1">IFabc(F66&gt;=G66,"Achieved","Pending")</f>
        <v>#NAME?</v>
      </c>
      <c r="J66" s="81" t="b">
        <v>1</v>
      </c>
    </row>
    <row r="67" spans="1:10" x14ac:dyDescent="0.25">
      <c r="A67" s="219">
        <v>46318</v>
      </c>
      <c r="B67" s="31" t="s">
        <v>68</v>
      </c>
      <c r="C67" s="31" t="s">
        <v>483</v>
      </c>
      <c r="D67" s="31" t="s">
        <v>134</v>
      </c>
      <c r="E67" s="31" t="s">
        <v>57</v>
      </c>
      <c r="F67" s="31">
        <v>84797</v>
      </c>
      <c r="G67" s="31">
        <v>52676</v>
      </c>
      <c r="H67" s="31">
        <f>F67-G67</f>
        <v>32121</v>
      </c>
      <c r="I67" s="31" t="str">
        <f>IF(F67&gt;=G67,"Achieved","Pending")</f>
        <v>Achieved</v>
      </c>
      <c r="J67" s="81" t="b">
        <v>1</v>
      </c>
    </row>
    <row r="68" spans="1:10" x14ac:dyDescent="0.25">
      <c r="A68" s="219">
        <v>46319</v>
      </c>
      <c r="B68" s="31" t="s">
        <v>163</v>
      </c>
      <c r="C68" s="31" t="s">
        <v>484</v>
      </c>
      <c r="D68" s="31" t="s">
        <v>185</v>
      </c>
      <c r="E68" s="31" t="s">
        <v>123</v>
      </c>
      <c r="F68" s="31">
        <v>20000</v>
      </c>
      <c r="G68" s="31">
        <v>74671</v>
      </c>
      <c r="H68" s="31">
        <f>F68-G68</f>
        <v>-54671</v>
      </c>
      <c r="I68" s="31" t="str">
        <f>IF(F68&gt;=G68,"Achieved","Pending")</f>
        <v>Pending</v>
      </c>
      <c r="J68" s="81" t="b">
        <v>0</v>
      </c>
    </row>
    <row r="69" spans="1:10" x14ac:dyDescent="0.25">
      <c r="A69" s="219">
        <v>46320</v>
      </c>
      <c r="B69" s="31" t="s">
        <v>170</v>
      </c>
      <c r="C69" s="31" t="s">
        <v>485</v>
      </c>
      <c r="D69" s="31" t="s">
        <v>134</v>
      </c>
      <c r="E69" s="31" t="s">
        <v>123</v>
      </c>
      <c r="F69" s="31">
        <v>105284</v>
      </c>
      <c r="G69" s="31">
        <v>56361</v>
      </c>
      <c r="H69" s="31">
        <f>F69-G69</f>
        <v>48923</v>
      </c>
      <c r="I69" s="31" t="str">
        <f>IF(F69&gt;=G69,"Achieved","Pending")</f>
        <v>Achieved</v>
      </c>
      <c r="J69" s="81" t="b">
        <v>1</v>
      </c>
    </row>
    <row r="70" spans="1:10" x14ac:dyDescent="0.25">
      <c r="A70" s="219">
        <v>46321</v>
      </c>
      <c r="B70" s="31" t="s">
        <v>175</v>
      </c>
      <c r="C70" s="31" t="s">
        <v>486</v>
      </c>
      <c r="D70" s="31" t="s">
        <v>126</v>
      </c>
      <c r="E70" s="31" t="s">
        <v>57</v>
      </c>
      <c r="F70" s="31">
        <v>20000</v>
      </c>
      <c r="G70" s="31">
        <v>78427</v>
      </c>
      <c r="H70" s="31">
        <f>F70-G70</f>
        <v>-58427</v>
      </c>
      <c r="I70" s="31" t="str">
        <f>IF(F70&gt;=G70,"Achieved","Pending")</f>
        <v>Pending</v>
      </c>
      <c r="J70" s="81" t="b">
        <v>0</v>
      </c>
    </row>
    <row r="71" spans="1:10" x14ac:dyDescent="0.25">
      <c r="A71" s="219">
        <v>46322</v>
      </c>
      <c r="B71" s="31" t="s">
        <v>180</v>
      </c>
      <c r="C71" s="31" t="s">
        <v>487</v>
      </c>
      <c r="D71" s="31" t="s">
        <v>93</v>
      </c>
      <c r="E71" s="31" t="s">
        <v>87</v>
      </c>
      <c r="F71" s="31">
        <v>110674</v>
      </c>
      <c r="G71" s="31">
        <v>65203</v>
      </c>
      <c r="H71" s="31">
        <f>F71-G71</f>
        <v>45471</v>
      </c>
      <c r="I71" s="31" t="str">
        <f>IF(F71&gt;=G71,"Achieved","Pending")</f>
        <v>Achieved</v>
      </c>
      <c r="J71" s="81" t="b">
        <v>1</v>
      </c>
    </row>
    <row r="72" spans="1:10" x14ac:dyDescent="0.25">
      <c r="A72" s="219">
        <v>46323</v>
      </c>
      <c r="B72" s="31" t="s">
        <v>129</v>
      </c>
      <c r="C72" s="31" t="s">
        <v>488</v>
      </c>
      <c r="D72" s="31" t="s">
        <v>93</v>
      </c>
      <c r="E72" s="31" t="s">
        <v>103</v>
      </c>
      <c r="F72" s="31">
        <v>41006</v>
      </c>
      <c r="G72" s="31">
        <v>126673</v>
      </c>
      <c r="H72" s="31">
        <f>F72-G72</f>
        <v>-85667</v>
      </c>
      <c r="I72" s="31" t="str">
        <f>IF(F72&gt;=G72,"Achieved","Pending")</f>
        <v>Pending</v>
      </c>
      <c r="J72" s="81" t="b">
        <v>0</v>
      </c>
    </row>
    <row r="73" spans="1:10" x14ac:dyDescent="0.25">
      <c r="A73" s="219">
        <v>46324</v>
      </c>
      <c r="B73" s="31" t="s">
        <v>190</v>
      </c>
      <c r="C73" s="31" t="s">
        <v>489</v>
      </c>
      <c r="D73" s="31" t="s">
        <v>45</v>
      </c>
      <c r="E73" s="31" t="s">
        <v>57</v>
      </c>
      <c r="F73" s="31">
        <v>45458</v>
      </c>
      <c r="G73" s="31">
        <v>70512</v>
      </c>
      <c r="H73" s="31">
        <f>F73-G73</f>
        <v>-25054</v>
      </c>
      <c r="I73" s="31" t="str">
        <f>IF(F73&gt;=G73,"Achieved","Pending")</f>
        <v>Pending</v>
      </c>
      <c r="J73" s="81" t="b">
        <v>0</v>
      </c>
    </row>
    <row r="74" spans="1:10" x14ac:dyDescent="0.25">
      <c r="A74" s="219">
        <v>46325</v>
      </c>
      <c r="B74" s="31" t="s">
        <v>195</v>
      </c>
      <c r="C74" s="31" t="s">
        <v>490</v>
      </c>
      <c r="D74" s="31" t="s">
        <v>134</v>
      </c>
      <c r="E74" s="31" t="s">
        <v>87</v>
      </c>
      <c r="F74" s="31">
        <v>71434</v>
      </c>
      <c r="G74" s="31">
        <v>99429</v>
      </c>
      <c r="H74" s="31">
        <f>F74-G74</f>
        <v>-27995</v>
      </c>
      <c r="I74" s="31" t="str">
        <f>IF(F74&gt;=G74,"Achieved","Pending")</f>
        <v>Pending</v>
      </c>
      <c r="J74" s="81" t="b">
        <v>0</v>
      </c>
    </row>
    <row r="75" spans="1:10" x14ac:dyDescent="0.25">
      <c r="A75" s="219">
        <v>46326</v>
      </c>
      <c r="B75" s="31" t="s">
        <v>200</v>
      </c>
      <c r="C75" s="31" t="s">
        <v>491</v>
      </c>
      <c r="D75" s="31" t="s">
        <v>93</v>
      </c>
      <c r="E75" s="31" t="s">
        <v>123</v>
      </c>
      <c r="F75" s="31">
        <v>56319</v>
      </c>
      <c r="G75" s="31">
        <v>88520</v>
      </c>
      <c r="H75" s="31">
        <f>F75-G75</f>
        <v>-32201</v>
      </c>
      <c r="I75" s="31" t="str">
        <f>IF(F75&gt;=G75,"Achieved","Pending")</f>
        <v>Pending</v>
      </c>
      <c r="J75" s="81" t="b">
        <v>0</v>
      </c>
    </row>
    <row r="76" spans="1:10" x14ac:dyDescent="0.25">
      <c r="A76" s="219">
        <v>46327</v>
      </c>
      <c r="B76" s="31" t="s">
        <v>205</v>
      </c>
      <c r="C76" s="31" t="s">
        <v>492</v>
      </c>
      <c r="D76" s="31" t="s">
        <v>185</v>
      </c>
      <c r="E76" s="31" t="s">
        <v>123</v>
      </c>
      <c r="F76" s="31">
        <v>122841</v>
      </c>
      <c r="G76" s="31">
        <v>74993</v>
      </c>
      <c r="H76" s="31">
        <f>F76-G76</f>
        <v>47848</v>
      </c>
      <c r="I76" s="31" t="str">
        <f>IF(F76&gt;=G76,"Achieved","Pending")</f>
        <v>Achieved</v>
      </c>
      <c r="J76" s="81" t="b">
        <v>1</v>
      </c>
    </row>
    <row r="77" spans="1:10" x14ac:dyDescent="0.25">
      <c r="A77" s="219">
        <v>46328</v>
      </c>
      <c r="B77" s="31" t="s">
        <v>210</v>
      </c>
      <c r="C77" s="31" t="s">
        <v>493</v>
      </c>
      <c r="D77" s="31" t="s">
        <v>93</v>
      </c>
      <c r="E77" s="31" t="s">
        <v>74</v>
      </c>
      <c r="F77" s="31">
        <v>114840</v>
      </c>
      <c r="G77" s="31">
        <v>123227</v>
      </c>
      <c r="H77" s="31">
        <f>F77-G77</f>
        <v>-8387</v>
      </c>
      <c r="I77" s="83" t="e" cm="1">
        <f t="array" aca="1" ref="I77" ca="1">IFabc(F77&gt;=G77,"Achieved","Pending")</f>
        <v>#NAME?</v>
      </c>
      <c r="J77" s="81" t="b">
        <v>0</v>
      </c>
    </row>
    <row r="78" spans="1:10" x14ac:dyDescent="0.25">
      <c r="A78" s="219">
        <v>46329</v>
      </c>
      <c r="B78" s="31" t="s">
        <v>215</v>
      </c>
      <c r="C78" s="31" t="s">
        <v>494</v>
      </c>
      <c r="D78" s="31" t="s">
        <v>45</v>
      </c>
      <c r="E78" s="31" t="s">
        <v>74</v>
      </c>
      <c r="F78" s="31">
        <v>56417</v>
      </c>
      <c r="G78" s="31">
        <v>100589</v>
      </c>
      <c r="H78" s="31">
        <f>F78-G78</f>
        <v>-44172</v>
      </c>
      <c r="I78" s="31" t="str">
        <f>IF(F78&gt;=G78,"Achieved","Pending")</f>
        <v>Pending</v>
      </c>
      <c r="J78" s="81" t="b">
        <v>0</v>
      </c>
    </row>
    <row r="79" spans="1:10" x14ac:dyDescent="0.25">
      <c r="A79" s="219">
        <v>46330</v>
      </c>
      <c r="B79" s="31" t="s">
        <v>209</v>
      </c>
      <c r="C79" s="31" t="s">
        <v>495</v>
      </c>
      <c r="D79" s="31" t="s">
        <v>126</v>
      </c>
      <c r="E79" s="31" t="s">
        <v>87</v>
      </c>
      <c r="F79" s="31">
        <v>118886</v>
      </c>
      <c r="G79" s="31">
        <v>130198</v>
      </c>
      <c r="H79" s="31">
        <f>F79-G79</f>
        <v>-11312</v>
      </c>
      <c r="I79" s="31" t="str">
        <f>IF(F79&gt;=G79,"Achieved","Pending")</f>
        <v>Pending</v>
      </c>
      <c r="J79" s="81" t="b">
        <v>0</v>
      </c>
    </row>
    <row r="80" spans="1:10" x14ac:dyDescent="0.25">
      <c r="A80" s="219">
        <v>46331</v>
      </c>
      <c r="B80" s="31" t="s">
        <v>223</v>
      </c>
      <c r="C80" s="31" t="s">
        <v>496</v>
      </c>
      <c r="D80" s="31" t="s">
        <v>80</v>
      </c>
      <c r="E80" s="31" t="s">
        <v>103</v>
      </c>
      <c r="F80" s="31">
        <v>124733</v>
      </c>
      <c r="G80" s="31">
        <v>82504</v>
      </c>
      <c r="H80" s="31">
        <f>F80-G80</f>
        <v>42229</v>
      </c>
      <c r="I80" s="31" t="str">
        <f>IF(F80&gt;=G80,"Achieved","Pending")</f>
        <v>Achieved</v>
      </c>
      <c r="J80" s="81" t="b">
        <v>1</v>
      </c>
    </row>
    <row r="81" spans="1:10" x14ac:dyDescent="0.25">
      <c r="A81" s="219">
        <v>46332</v>
      </c>
      <c r="B81" s="31" t="s">
        <v>227</v>
      </c>
      <c r="C81" s="31" t="s">
        <v>497</v>
      </c>
      <c r="D81" s="31" t="s">
        <v>134</v>
      </c>
      <c r="E81" s="31" t="s">
        <v>123</v>
      </c>
      <c r="F81" s="31">
        <v>142715</v>
      </c>
      <c r="G81" s="31">
        <v>44207</v>
      </c>
      <c r="H81" s="31">
        <f>F81-G81</f>
        <v>98508</v>
      </c>
      <c r="I81" s="31" t="str">
        <f>IF(F81&gt;=G81,"Achieved","Pending")</f>
        <v>Achieved</v>
      </c>
      <c r="J81" s="81" t="b">
        <v>0</v>
      </c>
    </row>
    <row r="82" spans="1:10" x14ac:dyDescent="0.25">
      <c r="A82" s="219">
        <v>46333</v>
      </c>
      <c r="B82" s="31" t="s">
        <v>222</v>
      </c>
      <c r="C82" s="31" t="s">
        <v>498</v>
      </c>
      <c r="D82" s="31" t="s">
        <v>185</v>
      </c>
      <c r="E82" s="31" t="s">
        <v>87</v>
      </c>
      <c r="F82" s="31">
        <v>70093</v>
      </c>
      <c r="G82" s="31">
        <v>48675</v>
      </c>
      <c r="H82" s="31">
        <f>F82-G82</f>
        <v>21418</v>
      </c>
      <c r="I82" s="31" t="str">
        <f>IF(F82&gt;=G82,"Achieved","Pending")</f>
        <v>Achieved</v>
      </c>
      <c r="J82" s="81" t="b">
        <v>0</v>
      </c>
    </row>
    <row r="83" spans="1:10" x14ac:dyDescent="0.25">
      <c r="A83" s="219">
        <v>46334</v>
      </c>
      <c r="B83" s="31" t="s">
        <v>110</v>
      </c>
      <c r="C83" s="31" t="s">
        <v>499</v>
      </c>
      <c r="D83" s="31" t="s">
        <v>45</v>
      </c>
      <c r="E83" s="31" t="s">
        <v>87</v>
      </c>
      <c r="F83" s="31">
        <v>62869</v>
      </c>
      <c r="G83" s="31">
        <v>125909</v>
      </c>
      <c r="H83" s="31">
        <f>F83-G83</f>
        <v>-63040</v>
      </c>
      <c r="I83" s="31" t="str">
        <f>IF(F83&gt;=G83,"Achieved","Pending")</f>
        <v>Pending</v>
      </c>
      <c r="J83" s="81" t="b">
        <v>0</v>
      </c>
    </row>
    <row r="84" spans="1:10" x14ac:dyDescent="0.25">
      <c r="A84" s="219">
        <v>46335</v>
      </c>
      <c r="B84" s="31" t="s">
        <v>138</v>
      </c>
      <c r="C84" s="31" t="s">
        <v>500</v>
      </c>
      <c r="D84" s="31" t="s">
        <v>126</v>
      </c>
      <c r="E84" s="31" t="s">
        <v>123</v>
      </c>
      <c r="F84" s="31">
        <v>119259</v>
      </c>
      <c r="G84" s="31">
        <v>100142</v>
      </c>
      <c r="H84" s="31">
        <f>F84-G84</f>
        <v>19117</v>
      </c>
      <c r="I84" s="83" t="e" cm="1">
        <f t="array" aca="1" ref="I84" ca="1">IFabc(F84&gt;=G84,"Achieved","Pending")</f>
        <v>#NAME?</v>
      </c>
      <c r="J84" s="81" t="b">
        <v>1</v>
      </c>
    </row>
    <row r="85" spans="1:10" x14ac:dyDescent="0.25">
      <c r="A85" s="219">
        <v>46336</v>
      </c>
      <c r="B85" s="31" t="s">
        <v>243</v>
      </c>
      <c r="C85" s="31" t="s">
        <v>501</v>
      </c>
      <c r="D85" s="31" t="s">
        <v>45</v>
      </c>
      <c r="E85" s="31" t="s">
        <v>103</v>
      </c>
      <c r="F85" s="31">
        <v>53301</v>
      </c>
      <c r="G85" s="31">
        <v>72325</v>
      </c>
      <c r="H85" s="31">
        <f>F85-G85</f>
        <v>-19024</v>
      </c>
      <c r="I85" s="31" t="str">
        <f>IF(F85&gt;=G85,"Achieved","Pending")</f>
        <v>Pending</v>
      </c>
      <c r="J85" s="81" t="b">
        <v>0</v>
      </c>
    </row>
    <row r="86" spans="1:10" x14ac:dyDescent="0.25">
      <c r="A86" s="219">
        <v>46337</v>
      </c>
      <c r="B86" s="31" t="s">
        <v>247</v>
      </c>
      <c r="C86" s="31" t="s">
        <v>502</v>
      </c>
      <c r="D86" s="31" t="s">
        <v>93</v>
      </c>
      <c r="E86" s="31" t="s">
        <v>74</v>
      </c>
      <c r="F86" s="31">
        <v>132912</v>
      </c>
      <c r="G86" s="31">
        <v>116622</v>
      </c>
      <c r="H86" s="31">
        <f>F86-G86</f>
        <v>16290</v>
      </c>
      <c r="I86" s="31" t="str">
        <f>IF(F86&gt;=G86,"Achieved","Pending")</f>
        <v>Achieved</v>
      </c>
      <c r="J86" s="81" t="b">
        <v>1</v>
      </c>
    </row>
    <row r="87" spans="1:10" x14ac:dyDescent="0.25">
      <c r="A87" s="219">
        <v>46338</v>
      </c>
      <c r="B87" s="31" t="s">
        <v>251</v>
      </c>
      <c r="C87" s="31" t="s">
        <v>503</v>
      </c>
      <c r="D87" s="31" t="s">
        <v>126</v>
      </c>
      <c r="E87" s="31" t="s">
        <v>87</v>
      </c>
      <c r="F87" s="31">
        <v>82447</v>
      </c>
      <c r="G87" s="31">
        <v>68746</v>
      </c>
      <c r="H87" s="31">
        <f>F87-G87</f>
        <v>13701</v>
      </c>
      <c r="I87" s="31" t="str">
        <f>IF(F87&gt;=G87,"Achieved","Pending")</f>
        <v>Achieved</v>
      </c>
      <c r="J87" s="81" t="b">
        <v>1</v>
      </c>
    </row>
    <row r="88" spans="1:10" x14ac:dyDescent="0.25">
      <c r="A88" s="219">
        <v>46339</v>
      </c>
      <c r="B88" s="31" t="s">
        <v>255</v>
      </c>
      <c r="C88" s="31" t="s">
        <v>504</v>
      </c>
      <c r="D88" s="31" t="s">
        <v>45</v>
      </c>
      <c r="E88" s="31" t="s">
        <v>123</v>
      </c>
      <c r="F88" s="31">
        <v>46915</v>
      </c>
      <c r="G88" s="31">
        <v>139061</v>
      </c>
      <c r="H88" s="31">
        <f>F88-G88</f>
        <v>-92146</v>
      </c>
      <c r="I88" s="31" t="str">
        <f>IF(F88&gt;=G88,"Achieved","Pending")</f>
        <v>Pending</v>
      </c>
      <c r="J88" s="81" t="b">
        <v>0</v>
      </c>
    </row>
    <row r="89" spans="1:10" x14ac:dyDescent="0.25">
      <c r="A89" s="219">
        <v>46340</v>
      </c>
      <c r="B89" s="31" t="s">
        <v>258</v>
      </c>
      <c r="C89" s="31" t="s">
        <v>505</v>
      </c>
      <c r="D89" s="31" t="s">
        <v>134</v>
      </c>
      <c r="E89" s="31" t="s">
        <v>123</v>
      </c>
      <c r="F89" s="31">
        <v>55033</v>
      </c>
      <c r="G89" s="31">
        <v>122240</v>
      </c>
      <c r="H89" s="31">
        <f>F89-G89</f>
        <v>-67207</v>
      </c>
      <c r="I89" s="31" t="str">
        <f>IF(F89&gt;=G89,"Achieved","Pending")</f>
        <v>Pending</v>
      </c>
      <c r="J89" s="81" t="b">
        <v>0</v>
      </c>
    </row>
    <row r="90" spans="1:10" x14ac:dyDescent="0.25">
      <c r="A90" s="219">
        <v>46341</v>
      </c>
      <c r="B90" s="31" t="s">
        <v>168</v>
      </c>
      <c r="C90" s="31" t="s">
        <v>506</v>
      </c>
      <c r="D90" s="31" t="s">
        <v>45</v>
      </c>
      <c r="E90" s="31" t="s">
        <v>74</v>
      </c>
      <c r="F90" s="31">
        <v>113172</v>
      </c>
      <c r="G90" s="31">
        <v>48326</v>
      </c>
      <c r="H90" s="31">
        <f>F90-G90</f>
        <v>64846</v>
      </c>
      <c r="I90" s="31" t="str">
        <f>IF(F90&gt;=G90,"Achieved","Pending")</f>
        <v>Achieved</v>
      </c>
      <c r="J90" s="81" t="b">
        <v>0</v>
      </c>
    </row>
    <row r="91" spans="1:10" x14ac:dyDescent="0.25">
      <c r="A91" s="219">
        <v>46342</v>
      </c>
      <c r="B91" s="31" t="s">
        <v>240</v>
      </c>
      <c r="C91" s="31" t="s">
        <v>507</v>
      </c>
      <c r="D91" s="31" t="s">
        <v>126</v>
      </c>
      <c r="E91" s="31" t="s">
        <v>74</v>
      </c>
      <c r="F91" s="31">
        <v>113104</v>
      </c>
      <c r="G91" s="31">
        <v>101348</v>
      </c>
      <c r="H91" s="31">
        <f>F91-G91</f>
        <v>11756</v>
      </c>
      <c r="I91" s="31" t="str">
        <f>IF(F91&gt;=G91,"Achieved","Pending")</f>
        <v>Achieved</v>
      </c>
      <c r="J91" s="81" t="b">
        <v>1</v>
      </c>
    </row>
    <row r="92" spans="1:10" x14ac:dyDescent="0.25">
      <c r="A92" s="219">
        <v>46343</v>
      </c>
      <c r="B92" s="31" t="s">
        <v>271</v>
      </c>
      <c r="C92" s="31" t="s">
        <v>508</v>
      </c>
      <c r="D92" s="31" t="s">
        <v>80</v>
      </c>
      <c r="E92" s="31" t="s">
        <v>103</v>
      </c>
      <c r="F92" s="31">
        <v>20000</v>
      </c>
      <c r="G92" s="31">
        <v>41504</v>
      </c>
      <c r="H92" s="31">
        <f>F92-G92</f>
        <v>-21504</v>
      </c>
      <c r="I92" s="31" t="str">
        <f>IF(F92&gt;=G92,"Achieved","Pending")</f>
        <v>Pending</v>
      </c>
      <c r="J92" s="81" t="b">
        <v>0</v>
      </c>
    </row>
    <row r="93" spans="1:10" x14ac:dyDescent="0.25">
      <c r="A93" s="219">
        <v>46344</v>
      </c>
      <c r="B93" s="31" t="s">
        <v>275</v>
      </c>
      <c r="C93" s="31" t="s">
        <v>509</v>
      </c>
      <c r="D93" s="31" t="s">
        <v>93</v>
      </c>
      <c r="E93" s="31" t="s">
        <v>57</v>
      </c>
      <c r="F93" s="31">
        <v>124353</v>
      </c>
      <c r="G93" s="31">
        <v>109163</v>
      </c>
      <c r="H93" s="31">
        <f>F93-G93</f>
        <v>15190</v>
      </c>
      <c r="I93" s="31" t="str">
        <f>IF(F93&gt;=G93,"Achieved","Pending")</f>
        <v>Achieved</v>
      </c>
      <c r="J93" s="81" t="b">
        <v>1</v>
      </c>
    </row>
    <row r="94" spans="1:10" x14ac:dyDescent="0.25">
      <c r="A94" s="219">
        <v>46345</v>
      </c>
      <c r="B94" s="31" t="s">
        <v>194</v>
      </c>
      <c r="C94" s="31" t="s">
        <v>510</v>
      </c>
      <c r="D94" s="31" t="s">
        <v>185</v>
      </c>
      <c r="E94" s="31" t="s">
        <v>74</v>
      </c>
      <c r="F94" s="31">
        <v>49621</v>
      </c>
      <c r="G94" s="31">
        <v>78469</v>
      </c>
      <c r="H94" s="31">
        <f>F94-G94</f>
        <v>-28848</v>
      </c>
      <c r="I94" s="31" t="str">
        <f>IF(F94&gt;=G94,"Achieved","Pending")</f>
        <v>Pending</v>
      </c>
      <c r="J94" s="81" t="b">
        <v>0</v>
      </c>
    </row>
    <row r="95" spans="1:10" x14ac:dyDescent="0.25">
      <c r="A95" s="219">
        <v>46346</v>
      </c>
      <c r="B95" s="31" t="s">
        <v>280</v>
      </c>
      <c r="C95" s="31" t="s">
        <v>511</v>
      </c>
      <c r="D95" s="31" t="s">
        <v>126</v>
      </c>
      <c r="E95" s="31" t="s">
        <v>103</v>
      </c>
      <c r="F95" s="31">
        <v>94470</v>
      </c>
      <c r="G95" s="31">
        <v>40425</v>
      </c>
      <c r="H95" s="31">
        <f>F95-G95</f>
        <v>54045</v>
      </c>
      <c r="I95" s="31" t="str">
        <f>IF(F95&gt;=G95,"Achieved","Pending")</f>
        <v>Achieved</v>
      </c>
      <c r="J95" s="81" t="b">
        <v>0</v>
      </c>
    </row>
    <row r="96" spans="1:10" x14ac:dyDescent="0.25">
      <c r="A96" s="219">
        <v>46347</v>
      </c>
      <c r="B96" s="31" t="s">
        <v>283</v>
      </c>
      <c r="C96" s="31" t="s">
        <v>512</v>
      </c>
      <c r="D96" s="31" t="s">
        <v>93</v>
      </c>
      <c r="E96" s="31" t="s">
        <v>57</v>
      </c>
      <c r="F96" s="31">
        <v>100612</v>
      </c>
      <c r="G96" s="31">
        <v>139871</v>
      </c>
      <c r="H96" s="31">
        <f>F96-G96</f>
        <v>-39259</v>
      </c>
      <c r="I96" s="31" t="str">
        <f>IF(F96&gt;=G96,"Achieved","Pending")</f>
        <v>Pending</v>
      </c>
      <c r="J96" s="81" t="b">
        <v>0</v>
      </c>
    </row>
    <row r="97" spans="1:10" x14ac:dyDescent="0.25">
      <c r="A97" s="219">
        <v>46348</v>
      </c>
      <c r="B97" s="31" t="s">
        <v>235</v>
      </c>
      <c r="C97" s="31" t="s">
        <v>513</v>
      </c>
      <c r="D97" s="31" t="s">
        <v>45</v>
      </c>
      <c r="E97" s="31" t="s">
        <v>123</v>
      </c>
      <c r="F97" s="31">
        <v>149100</v>
      </c>
      <c r="G97" s="31">
        <v>121959</v>
      </c>
      <c r="H97" s="31">
        <f>F97-G97</f>
        <v>27141</v>
      </c>
      <c r="I97" s="31" t="str">
        <f>IF(F97&gt;=G97,"Achieved","Pending")</f>
        <v>Achieved</v>
      </c>
      <c r="J97" s="81" t="b">
        <v>1</v>
      </c>
    </row>
    <row r="98" spans="1:10" x14ac:dyDescent="0.25">
      <c r="A98" s="219">
        <v>46349</v>
      </c>
      <c r="B98" s="31" t="s">
        <v>289</v>
      </c>
      <c r="C98" s="31" t="s">
        <v>514</v>
      </c>
      <c r="D98" s="31" t="s">
        <v>185</v>
      </c>
      <c r="E98" s="31" t="s">
        <v>123</v>
      </c>
      <c r="F98" s="31">
        <v>55032</v>
      </c>
      <c r="G98" s="31">
        <v>89009</v>
      </c>
      <c r="H98" s="31">
        <f>F98-G98</f>
        <v>-33977</v>
      </c>
      <c r="I98" s="31" t="str">
        <f>IF(F98&gt;=G98,"Achieved","Pending")</f>
        <v>Pending</v>
      </c>
      <c r="J98" s="81" t="b">
        <v>0</v>
      </c>
    </row>
    <row r="99" spans="1:10" x14ac:dyDescent="0.25">
      <c r="A99" s="219">
        <v>46350</v>
      </c>
      <c r="B99" s="31" t="s">
        <v>120</v>
      </c>
      <c r="C99" s="31" t="s">
        <v>515</v>
      </c>
      <c r="D99" s="31" t="s">
        <v>45</v>
      </c>
      <c r="E99" s="31" t="s">
        <v>57</v>
      </c>
      <c r="F99" s="31">
        <v>113504</v>
      </c>
      <c r="G99" s="31">
        <v>82487</v>
      </c>
      <c r="H99" s="31">
        <f>F99-G99</f>
        <v>31017</v>
      </c>
      <c r="I99" s="31" t="str">
        <f>IF(F99&gt;=G99,"Achieved","Pending")</f>
        <v>Achieved</v>
      </c>
      <c r="J99" s="81" t="b">
        <v>1</v>
      </c>
    </row>
    <row r="100" spans="1:10" x14ac:dyDescent="0.25">
      <c r="A100" s="219">
        <v>46351</v>
      </c>
      <c r="B100" s="31" t="s">
        <v>295</v>
      </c>
      <c r="C100" s="31" t="s">
        <v>516</v>
      </c>
      <c r="D100" s="31" t="s">
        <v>126</v>
      </c>
      <c r="E100" s="31" t="s">
        <v>57</v>
      </c>
      <c r="F100" s="31">
        <v>49662</v>
      </c>
      <c r="G100" s="31">
        <v>87576</v>
      </c>
      <c r="H100" s="31">
        <f>F100-G100</f>
        <v>-37914</v>
      </c>
      <c r="I100" s="31" t="str">
        <f>IF(F100&gt;=G100,"Achieved","Pending")</f>
        <v>Pending</v>
      </c>
      <c r="J100" s="81" t="b">
        <v>0</v>
      </c>
    </row>
    <row r="101" spans="1:10" x14ac:dyDescent="0.25">
      <c r="A101" s="219">
        <v>46352</v>
      </c>
      <c r="B101" s="31" t="s">
        <v>286</v>
      </c>
      <c r="C101" s="31" t="s">
        <v>517</v>
      </c>
      <c r="D101" s="31" t="s">
        <v>185</v>
      </c>
      <c r="E101" s="31" t="s">
        <v>123</v>
      </c>
      <c r="F101" s="31">
        <v>42592</v>
      </c>
      <c r="G101" s="31">
        <v>71571</v>
      </c>
      <c r="H101" s="31">
        <f>F101-G101</f>
        <v>-28979</v>
      </c>
      <c r="I101" s="31" t="str">
        <f>IF(F101&gt;=G101,"Achieved","Pending")</f>
        <v>Pending</v>
      </c>
      <c r="J101" s="81" t="b">
        <v>0</v>
      </c>
    </row>
    <row r="102" spans="1:10" x14ac:dyDescent="0.25">
      <c r="A102" s="219">
        <v>46353</v>
      </c>
      <c r="B102" s="31" t="s">
        <v>300</v>
      </c>
      <c r="C102" s="31" t="s">
        <v>518</v>
      </c>
      <c r="D102" s="31" t="s">
        <v>80</v>
      </c>
      <c r="E102" s="31" t="s">
        <v>103</v>
      </c>
      <c r="F102" s="31">
        <v>46226</v>
      </c>
      <c r="G102" s="31">
        <v>135932</v>
      </c>
      <c r="H102" s="31">
        <f>F102-G102</f>
        <v>-89706</v>
      </c>
      <c r="I102" s="31" t="str">
        <f>IF(F102&gt;=G102,"Achieved","Pending")</f>
        <v>Pending</v>
      </c>
      <c r="J102" s="81" t="b">
        <v>0</v>
      </c>
    </row>
    <row r="103" spans="1:10" x14ac:dyDescent="0.25">
      <c r="A103" s="219">
        <v>46354</v>
      </c>
      <c r="B103" s="31" t="s">
        <v>304</v>
      </c>
      <c r="C103" s="31" t="s">
        <v>519</v>
      </c>
      <c r="D103" s="31" t="s">
        <v>126</v>
      </c>
      <c r="E103" s="31" t="s">
        <v>87</v>
      </c>
      <c r="F103" s="31">
        <v>20000</v>
      </c>
      <c r="G103" s="31">
        <v>109822</v>
      </c>
      <c r="H103" s="31">
        <f>F103-G103</f>
        <v>-89822</v>
      </c>
      <c r="I103" s="31" t="str">
        <f>IF(F103&gt;=G103,"Achieved","Pending")</f>
        <v>Pending</v>
      </c>
      <c r="J103" s="81" t="b">
        <v>0</v>
      </c>
    </row>
    <row r="104" spans="1:10" x14ac:dyDescent="0.25">
      <c r="A104" s="219">
        <v>46355</v>
      </c>
      <c r="B104" s="31" t="s">
        <v>308</v>
      </c>
      <c r="C104" s="31" t="s">
        <v>520</v>
      </c>
      <c r="D104" s="31" t="s">
        <v>45</v>
      </c>
      <c r="E104" s="31" t="s">
        <v>87</v>
      </c>
      <c r="F104" s="31">
        <v>121474</v>
      </c>
      <c r="G104" s="31">
        <v>102296</v>
      </c>
      <c r="H104" s="31">
        <f>F104-G104</f>
        <v>19178</v>
      </c>
      <c r="I104" s="31" t="str">
        <f>IF(F104&gt;=G104,"Achieved","Pending")</f>
        <v>Achieved</v>
      </c>
      <c r="J104" s="81" t="b">
        <v>1</v>
      </c>
    </row>
    <row r="105" spans="1:10" x14ac:dyDescent="0.25">
      <c r="A105" s="219">
        <v>46356</v>
      </c>
      <c r="B105" s="31" t="s">
        <v>231</v>
      </c>
      <c r="C105" s="31" t="s">
        <v>521</v>
      </c>
      <c r="D105" s="31" t="s">
        <v>80</v>
      </c>
      <c r="E105" s="31" t="s">
        <v>87</v>
      </c>
      <c r="F105" s="31">
        <v>69741</v>
      </c>
      <c r="G105" s="31">
        <v>109163</v>
      </c>
      <c r="H105" s="31">
        <f>F105-G105</f>
        <v>-39422</v>
      </c>
      <c r="I105" s="31" t="str">
        <f>IF(F105&gt;=G105,"Achieved","Pending")</f>
        <v>Pending</v>
      </c>
      <c r="J105" s="81" t="b">
        <v>0</v>
      </c>
    </row>
    <row r="106" spans="1:10" ht="15.75" thickBot="1" x14ac:dyDescent="0.3">
      <c r="A106" s="219">
        <v>46357</v>
      </c>
      <c r="B106" s="36" t="s">
        <v>314</v>
      </c>
      <c r="C106" s="36" t="s">
        <v>522</v>
      </c>
      <c r="D106" s="36" t="s">
        <v>80</v>
      </c>
      <c r="E106" s="36" t="s">
        <v>123</v>
      </c>
      <c r="F106" s="36">
        <v>62760</v>
      </c>
      <c r="G106" s="36">
        <v>110686</v>
      </c>
      <c r="H106" s="36">
        <f>F106-G106</f>
        <v>-47926</v>
      </c>
      <c r="I106" s="36" t="str">
        <f>IF(F106&gt;=G106,"Achieved","Pending")</f>
        <v>Pending</v>
      </c>
      <c r="J106" s="82" t="b">
        <v>0</v>
      </c>
    </row>
    <row r="112" spans="1:10" ht="15.75" thickBot="1" x14ac:dyDescent="0.3"/>
    <row r="113" spans="1:10" x14ac:dyDescent="0.25">
      <c r="A113" s="84" t="s">
        <v>469</v>
      </c>
      <c r="B113" s="85" t="s">
        <v>0</v>
      </c>
      <c r="C113" s="85" t="s">
        <v>470</v>
      </c>
      <c r="D113" s="85" t="s">
        <v>6</v>
      </c>
      <c r="E113" s="85" t="s">
        <v>36</v>
      </c>
      <c r="F113" s="85" t="s">
        <v>471</v>
      </c>
      <c r="G113" s="85" t="s">
        <v>472</v>
      </c>
      <c r="H113" s="85" t="s">
        <v>532</v>
      </c>
      <c r="I113" s="85" t="s">
        <v>533</v>
      </c>
      <c r="J113" s="86" t="s">
        <v>533</v>
      </c>
    </row>
    <row r="114" spans="1:10" x14ac:dyDescent="0.25">
      <c r="A114" s="87">
        <v>46308</v>
      </c>
      <c r="B114" s="31" t="s">
        <v>40</v>
      </c>
      <c r="C114" s="31" t="s">
        <v>473</v>
      </c>
      <c r="D114" s="31" t="s">
        <v>93</v>
      </c>
      <c r="E114" s="31" t="s">
        <v>57</v>
      </c>
      <c r="F114" s="31">
        <v>38278</v>
      </c>
      <c r="G114" s="31">
        <v>137196</v>
      </c>
      <c r="H114" s="31">
        <f>F114-G114</f>
        <v>-98918</v>
      </c>
      <c r="I114" s="31" t="str">
        <f>IF(F114&gt;=G114,"Achieved","Pending")</f>
        <v>Pending</v>
      </c>
      <c r="J114" s="75" t="b">
        <v>0</v>
      </c>
    </row>
    <row r="115" spans="1:10" x14ac:dyDescent="0.25">
      <c r="A115" s="87">
        <v>46309</v>
      </c>
      <c r="B115" s="31" t="s">
        <v>58</v>
      </c>
      <c r="C115" s="31" t="s">
        <v>474</v>
      </c>
      <c r="D115" s="31" t="s">
        <v>185</v>
      </c>
      <c r="E115" s="31" t="s">
        <v>74</v>
      </c>
      <c r="F115" s="31">
        <v>64256</v>
      </c>
      <c r="G115" s="31">
        <v>58289</v>
      </c>
      <c r="H115" s="31">
        <f>F115-G115</f>
        <v>5967</v>
      </c>
      <c r="I115" s="31" t="str">
        <f>IF(F115&gt;=G115,"Achieved","Pending")</f>
        <v>Achieved</v>
      </c>
      <c r="J115" s="75" t="b">
        <v>1</v>
      </c>
    </row>
    <row r="116" spans="1:10" x14ac:dyDescent="0.25">
      <c r="A116" s="87">
        <v>46310</v>
      </c>
      <c r="B116" s="31" t="s">
        <v>75</v>
      </c>
      <c r="C116" s="31" t="s">
        <v>475</v>
      </c>
      <c r="D116" s="31" t="s">
        <v>93</v>
      </c>
      <c r="E116" s="31" t="s">
        <v>87</v>
      </c>
      <c r="F116" s="31">
        <v>123696</v>
      </c>
      <c r="G116" s="31">
        <v>137080</v>
      </c>
      <c r="H116" s="31">
        <f>F116-G116</f>
        <v>-13384</v>
      </c>
      <c r="I116" s="31" t="str">
        <f>IF(F116&gt;=G116,"Achieved","Pending")</f>
        <v>Pending</v>
      </c>
      <c r="J116" s="75" t="b">
        <v>0</v>
      </c>
    </row>
    <row r="117" spans="1:10" x14ac:dyDescent="0.25">
      <c r="A117" s="87">
        <v>46312</v>
      </c>
      <c r="B117" s="31" t="s">
        <v>104</v>
      </c>
      <c r="C117" s="31" t="s">
        <v>477</v>
      </c>
      <c r="D117" s="31" t="s">
        <v>134</v>
      </c>
      <c r="E117" s="31" t="s">
        <v>74</v>
      </c>
      <c r="F117" s="31">
        <v>47280</v>
      </c>
      <c r="G117" s="31">
        <v>68657</v>
      </c>
      <c r="H117" s="31">
        <f>F117-G117</f>
        <v>-21377</v>
      </c>
      <c r="I117" s="31" t="str">
        <f>IF(F117&gt;=G117,"Achieved","Pending")</f>
        <v>Pending</v>
      </c>
      <c r="J117" s="75" t="b">
        <v>0</v>
      </c>
    </row>
    <row r="118" spans="1:10" x14ac:dyDescent="0.25">
      <c r="A118" s="87">
        <v>46313</v>
      </c>
      <c r="B118" s="31" t="s">
        <v>114</v>
      </c>
      <c r="C118" s="31" t="s">
        <v>478</v>
      </c>
      <c r="D118" s="31" t="s">
        <v>45</v>
      </c>
      <c r="E118" s="31" t="s">
        <v>123</v>
      </c>
      <c r="F118" s="31">
        <v>108563</v>
      </c>
      <c r="G118" s="31">
        <v>66062</v>
      </c>
      <c r="H118" s="31">
        <f>F118-G118</f>
        <v>42501</v>
      </c>
      <c r="I118" s="31" t="str">
        <f>IF(F118&gt;=G118,"Achieved","Pending")</f>
        <v>Achieved</v>
      </c>
      <c r="J118" s="75" t="b">
        <v>1</v>
      </c>
    </row>
    <row r="119" spans="1:10" x14ac:dyDescent="0.25">
      <c r="A119" s="87">
        <v>46314</v>
      </c>
      <c r="B119" s="31" t="s">
        <v>124</v>
      </c>
      <c r="C119" s="31" t="s">
        <v>479</v>
      </c>
      <c r="D119" s="31" t="s">
        <v>93</v>
      </c>
      <c r="E119" s="31" t="s">
        <v>57</v>
      </c>
      <c r="F119" s="31">
        <v>63893</v>
      </c>
      <c r="G119" s="31">
        <v>98878</v>
      </c>
      <c r="H119" s="31">
        <f>F119-G119</f>
        <v>-34985</v>
      </c>
      <c r="I119" s="31" t="str">
        <f>IF(F119&gt;=G119,"Achieved","Pending")</f>
        <v>Pending</v>
      </c>
      <c r="J119" s="75" t="b">
        <v>0</v>
      </c>
    </row>
    <row r="120" spans="1:10" x14ac:dyDescent="0.25">
      <c r="A120" s="87">
        <v>46315</v>
      </c>
      <c r="B120" s="31" t="s">
        <v>132</v>
      </c>
      <c r="C120" s="31" t="s">
        <v>480</v>
      </c>
      <c r="D120" s="31" t="s">
        <v>80</v>
      </c>
      <c r="E120" s="31" t="s">
        <v>103</v>
      </c>
      <c r="F120" s="31">
        <v>141093</v>
      </c>
      <c r="G120" s="31">
        <v>40851</v>
      </c>
      <c r="H120" s="31">
        <f>F120-G120</f>
        <v>100242</v>
      </c>
      <c r="I120" s="31" t="str">
        <f>IF(F120&gt;=G120,"Achieved","Pending")</f>
        <v>Achieved</v>
      </c>
      <c r="J120" s="75" t="b">
        <v>0</v>
      </c>
    </row>
    <row r="121" spans="1:10" x14ac:dyDescent="0.25">
      <c r="A121" s="87">
        <v>46316</v>
      </c>
      <c r="B121" s="31" t="s">
        <v>141</v>
      </c>
      <c r="C121" s="31" t="s">
        <v>481</v>
      </c>
      <c r="D121" s="31" t="s">
        <v>45</v>
      </c>
      <c r="E121" s="31" t="s">
        <v>123</v>
      </c>
      <c r="F121" s="31">
        <v>79597</v>
      </c>
      <c r="G121" s="31">
        <v>76421</v>
      </c>
      <c r="H121" s="31">
        <f>F121-G121</f>
        <v>3176</v>
      </c>
      <c r="I121" s="31" t="str">
        <f>IF(F121&gt;=G121,"Achieved","Pending")</f>
        <v>Achieved</v>
      </c>
      <c r="J121" s="75" t="b">
        <v>1</v>
      </c>
    </row>
    <row r="122" spans="1:10" x14ac:dyDescent="0.25">
      <c r="A122" s="87">
        <v>46317</v>
      </c>
      <c r="B122" s="31" t="s">
        <v>151</v>
      </c>
      <c r="C122" s="31" t="s">
        <v>482</v>
      </c>
      <c r="D122" s="31" t="s">
        <v>45</v>
      </c>
      <c r="E122" s="31" t="s">
        <v>87</v>
      </c>
      <c r="F122" s="31">
        <v>135072</v>
      </c>
      <c r="G122" s="31">
        <v>84118</v>
      </c>
      <c r="H122" s="31">
        <f>F122-G122</f>
        <v>50954</v>
      </c>
      <c r="I122" s="31" t="e" cm="1">
        <f t="array" aca="1" ref="I122" ca="1">IFabc(F122&gt;=G122,"Achieved","Pending")</f>
        <v>#NAME?</v>
      </c>
      <c r="J122" s="75" t="b">
        <v>1</v>
      </c>
    </row>
    <row r="123" spans="1:10" x14ac:dyDescent="0.25">
      <c r="A123" s="87">
        <v>46318</v>
      </c>
      <c r="B123" s="31" t="s">
        <v>68</v>
      </c>
      <c r="C123" s="31" t="s">
        <v>483</v>
      </c>
      <c r="D123" s="31" t="s">
        <v>134</v>
      </c>
      <c r="E123" s="31" t="s">
        <v>57</v>
      </c>
      <c r="F123" s="31">
        <v>84797</v>
      </c>
      <c r="G123" s="31">
        <v>52676</v>
      </c>
      <c r="H123" s="31">
        <f>F123-G123</f>
        <v>32121</v>
      </c>
      <c r="I123" s="31" t="str">
        <f>IF(F123&gt;=G123,"Achieved","Pending")</f>
        <v>Achieved</v>
      </c>
      <c r="J123" s="75" t="b">
        <v>1</v>
      </c>
    </row>
    <row r="124" spans="1:10" x14ac:dyDescent="0.25">
      <c r="A124" s="87">
        <v>46320</v>
      </c>
      <c r="B124" s="31" t="s">
        <v>170</v>
      </c>
      <c r="C124" s="31" t="s">
        <v>485</v>
      </c>
      <c r="D124" s="31" t="s">
        <v>134</v>
      </c>
      <c r="E124" s="31" t="s">
        <v>123</v>
      </c>
      <c r="F124" s="31">
        <v>105284</v>
      </c>
      <c r="G124" s="31">
        <v>56361</v>
      </c>
      <c r="H124" s="31">
        <f>F124-G124</f>
        <v>48923</v>
      </c>
      <c r="I124" s="31" t="str">
        <f>IF(F124&gt;=G124,"Achieved","Pending")</f>
        <v>Achieved</v>
      </c>
      <c r="J124" s="75" t="b">
        <v>1</v>
      </c>
    </row>
    <row r="125" spans="1:10" x14ac:dyDescent="0.25">
      <c r="A125" s="87">
        <v>46321</v>
      </c>
      <c r="B125" s="31" t="s">
        <v>175</v>
      </c>
      <c r="C125" s="31" t="s">
        <v>486</v>
      </c>
      <c r="D125" s="31" t="s">
        <v>126</v>
      </c>
      <c r="E125" s="31" t="s">
        <v>57</v>
      </c>
      <c r="F125" s="31">
        <v>20000</v>
      </c>
      <c r="G125" s="31">
        <v>78427</v>
      </c>
      <c r="H125" s="31">
        <f>F125-G125</f>
        <v>-58427</v>
      </c>
      <c r="I125" s="31" t="str">
        <f>IF(F125&gt;=G125,"Achieved","Pending")</f>
        <v>Pending</v>
      </c>
      <c r="J125" s="75" t="b">
        <v>0</v>
      </c>
    </row>
    <row r="126" spans="1:10" x14ac:dyDescent="0.25">
      <c r="A126" s="87">
        <v>46322</v>
      </c>
      <c r="B126" s="31" t="s">
        <v>180</v>
      </c>
      <c r="C126" s="31" t="s">
        <v>487</v>
      </c>
      <c r="D126" s="31" t="s">
        <v>93</v>
      </c>
      <c r="E126" s="31" t="s">
        <v>87</v>
      </c>
      <c r="F126" s="31">
        <v>110674</v>
      </c>
      <c r="G126" s="31">
        <v>65203</v>
      </c>
      <c r="H126" s="31">
        <f>F126-G126</f>
        <v>45471</v>
      </c>
      <c r="I126" s="31" t="str">
        <f>IF(F126&gt;=G126,"Achieved","Pending")</f>
        <v>Achieved</v>
      </c>
      <c r="J126" s="75" t="b">
        <v>1</v>
      </c>
    </row>
    <row r="127" spans="1:10" x14ac:dyDescent="0.25">
      <c r="A127" s="87">
        <v>46323</v>
      </c>
      <c r="B127" s="31" t="s">
        <v>129</v>
      </c>
      <c r="C127" s="31" t="s">
        <v>488</v>
      </c>
      <c r="D127" s="31" t="s">
        <v>93</v>
      </c>
      <c r="E127" s="31" t="s">
        <v>103</v>
      </c>
      <c r="F127" s="31">
        <v>41006</v>
      </c>
      <c r="G127" s="31">
        <v>126673</v>
      </c>
      <c r="H127" s="31">
        <f>F127-G127</f>
        <v>-85667</v>
      </c>
      <c r="I127" s="31" t="str">
        <f>IF(F127&gt;=G127,"Achieved","Pending")</f>
        <v>Pending</v>
      </c>
      <c r="J127" s="75" t="b">
        <v>0</v>
      </c>
    </row>
    <row r="128" spans="1:10" x14ac:dyDescent="0.25">
      <c r="A128" s="87">
        <v>46324</v>
      </c>
      <c r="B128" s="31" t="s">
        <v>190</v>
      </c>
      <c r="C128" s="31" t="s">
        <v>489</v>
      </c>
      <c r="D128" s="31" t="s">
        <v>45</v>
      </c>
      <c r="E128" s="31" t="s">
        <v>57</v>
      </c>
      <c r="F128" s="31">
        <v>45458</v>
      </c>
      <c r="G128" s="31">
        <v>70512</v>
      </c>
      <c r="H128" s="31">
        <f>F128-G128</f>
        <v>-25054</v>
      </c>
      <c r="I128" s="31" t="str">
        <f>IF(F128&gt;=G128,"Achieved","Pending")</f>
        <v>Pending</v>
      </c>
      <c r="J128" s="75" t="b">
        <v>0</v>
      </c>
    </row>
    <row r="129" spans="1:10" x14ac:dyDescent="0.25">
      <c r="A129" s="87">
        <v>46325</v>
      </c>
      <c r="B129" s="31" t="s">
        <v>195</v>
      </c>
      <c r="C129" s="31" t="s">
        <v>490</v>
      </c>
      <c r="D129" s="31" t="s">
        <v>134</v>
      </c>
      <c r="E129" s="31" t="s">
        <v>87</v>
      </c>
      <c r="F129" s="31">
        <v>71434</v>
      </c>
      <c r="G129" s="31">
        <v>99429</v>
      </c>
      <c r="H129" s="31">
        <f>F129-G129</f>
        <v>-27995</v>
      </c>
      <c r="I129" s="31" t="str">
        <f>IF(F129&gt;=G129,"Achieved","Pending")</f>
        <v>Pending</v>
      </c>
      <c r="J129" s="75" t="b">
        <v>0</v>
      </c>
    </row>
    <row r="130" spans="1:10" x14ac:dyDescent="0.25">
      <c r="A130" s="87">
        <v>46326</v>
      </c>
      <c r="B130" s="31" t="s">
        <v>200</v>
      </c>
      <c r="C130" s="31" t="s">
        <v>491</v>
      </c>
      <c r="D130" s="31" t="s">
        <v>93</v>
      </c>
      <c r="E130" s="31" t="s">
        <v>123</v>
      </c>
      <c r="F130" s="31">
        <v>56319</v>
      </c>
      <c r="G130" s="31">
        <v>88520</v>
      </c>
      <c r="H130" s="31">
        <f>F130-G130</f>
        <v>-32201</v>
      </c>
      <c r="I130" s="31" t="str">
        <f>IF(F130&gt;=G130,"Achieved","Pending")</f>
        <v>Pending</v>
      </c>
      <c r="J130" s="75" t="b">
        <v>0</v>
      </c>
    </row>
    <row r="131" spans="1:10" x14ac:dyDescent="0.25">
      <c r="A131" s="87">
        <v>46327</v>
      </c>
      <c r="B131" s="31" t="s">
        <v>205</v>
      </c>
      <c r="C131" s="31" t="s">
        <v>492</v>
      </c>
      <c r="D131" s="31" t="s">
        <v>185</v>
      </c>
      <c r="E131" s="31" t="s">
        <v>123</v>
      </c>
      <c r="F131" s="31">
        <v>122841</v>
      </c>
      <c r="G131" s="31">
        <v>74993</v>
      </c>
      <c r="H131" s="31">
        <f>F131-G131</f>
        <v>47848</v>
      </c>
      <c r="I131" s="31" t="str">
        <f>IF(F131&gt;=G131,"Achieved","Pending")</f>
        <v>Achieved</v>
      </c>
      <c r="J131" s="75" t="b">
        <v>1</v>
      </c>
    </row>
    <row r="132" spans="1:10" x14ac:dyDescent="0.25">
      <c r="A132" s="87">
        <v>46328</v>
      </c>
      <c r="B132" s="31" t="s">
        <v>210</v>
      </c>
      <c r="C132" s="31" t="s">
        <v>493</v>
      </c>
      <c r="D132" s="31" t="s">
        <v>93</v>
      </c>
      <c r="E132" s="31" t="s">
        <v>74</v>
      </c>
      <c r="F132" s="31">
        <v>114840</v>
      </c>
      <c r="G132" s="31">
        <v>123227</v>
      </c>
      <c r="H132" s="31">
        <f>F132-G132</f>
        <v>-8387</v>
      </c>
      <c r="I132" s="31" t="e" cm="1">
        <f t="array" aca="1" ref="I132" ca="1">IFabc(F132&gt;=G132,"Achieved","Pending")</f>
        <v>#NAME?</v>
      </c>
      <c r="J132" s="75" t="b">
        <v>0</v>
      </c>
    </row>
    <row r="133" spans="1:10" x14ac:dyDescent="0.25">
      <c r="A133" s="87">
        <v>46330</v>
      </c>
      <c r="B133" s="31" t="s">
        <v>209</v>
      </c>
      <c r="C133" s="31" t="s">
        <v>495</v>
      </c>
      <c r="D133" s="31" t="s">
        <v>126</v>
      </c>
      <c r="E133" s="31" t="s">
        <v>87</v>
      </c>
      <c r="F133" s="31">
        <v>118886</v>
      </c>
      <c r="G133" s="31">
        <v>130198</v>
      </c>
      <c r="H133" s="31">
        <f>F133-G133</f>
        <v>-11312</v>
      </c>
      <c r="I133" s="31" t="str">
        <f>IF(F133&gt;=G133,"Achieved","Pending")</f>
        <v>Pending</v>
      </c>
      <c r="J133" s="75" t="b">
        <v>0</v>
      </c>
    </row>
    <row r="134" spans="1:10" x14ac:dyDescent="0.25">
      <c r="A134" s="87">
        <v>46331</v>
      </c>
      <c r="B134" s="31" t="s">
        <v>223</v>
      </c>
      <c r="C134" s="31" t="s">
        <v>496</v>
      </c>
      <c r="D134" s="31" t="s">
        <v>80</v>
      </c>
      <c r="E134" s="31" t="s">
        <v>103</v>
      </c>
      <c r="F134" s="31">
        <v>124733</v>
      </c>
      <c r="G134" s="31">
        <v>82504</v>
      </c>
      <c r="H134" s="31">
        <f>F134-G134</f>
        <v>42229</v>
      </c>
      <c r="I134" s="31" t="str">
        <f>IF(F134&gt;=G134,"Achieved","Pending")</f>
        <v>Achieved</v>
      </c>
      <c r="J134" s="75" t="b">
        <v>1</v>
      </c>
    </row>
    <row r="135" spans="1:10" x14ac:dyDescent="0.25">
      <c r="A135" s="87">
        <v>46332</v>
      </c>
      <c r="B135" s="31" t="s">
        <v>227</v>
      </c>
      <c r="C135" s="31" t="s">
        <v>497</v>
      </c>
      <c r="D135" s="31" t="s">
        <v>134</v>
      </c>
      <c r="E135" s="31" t="s">
        <v>123</v>
      </c>
      <c r="F135" s="31">
        <v>142715</v>
      </c>
      <c r="G135" s="31">
        <v>44207</v>
      </c>
      <c r="H135" s="31">
        <f>F135-G135</f>
        <v>98508</v>
      </c>
      <c r="I135" s="31" t="str">
        <f>IF(F135&gt;=G135,"Achieved","Pending")</f>
        <v>Achieved</v>
      </c>
      <c r="J135" s="75" t="b">
        <v>0</v>
      </c>
    </row>
    <row r="136" spans="1:10" x14ac:dyDescent="0.25">
      <c r="A136" s="87">
        <v>46333</v>
      </c>
      <c r="B136" s="31" t="s">
        <v>222</v>
      </c>
      <c r="C136" s="31" t="s">
        <v>498</v>
      </c>
      <c r="D136" s="31" t="s">
        <v>185</v>
      </c>
      <c r="E136" s="31" t="s">
        <v>87</v>
      </c>
      <c r="F136" s="31">
        <v>70093</v>
      </c>
      <c r="G136" s="31">
        <v>48675</v>
      </c>
      <c r="H136" s="31">
        <f>F136-G136</f>
        <v>21418</v>
      </c>
      <c r="I136" s="31" t="str">
        <f>IF(F136&gt;=G136,"Achieved","Pending")</f>
        <v>Achieved</v>
      </c>
      <c r="J136" s="75" t="b">
        <v>0</v>
      </c>
    </row>
    <row r="137" spans="1:10" x14ac:dyDescent="0.25">
      <c r="A137" s="87">
        <v>46334</v>
      </c>
      <c r="B137" s="31" t="s">
        <v>110</v>
      </c>
      <c r="C137" s="31" t="s">
        <v>499</v>
      </c>
      <c r="D137" s="31" t="s">
        <v>45</v>
      </c>
      <c r="E137" s="31" t="s">
        <v>87</v>
      </c>
      <c r="F137" s="31">
        <v>62869</v>
      </c>
      <c r="G137" s="31">
        <v>125909</v>
      </c>
      <c r="H137" s="31">
        <f>F137-G137</f>
        <v>-63040</v>
      </c>
      <c r="I137" s="31" t="str">
        <f>IF(F137&gt;=G137,"Achieved","Pending")</f>
        <v>Pending</v>
      </c>
      <c r="J137" s="75" t="b">
        <v>0</v>
      </c>
    </row>
    <row r="138" spans="1:10" x14ac:dyDescent="0.25">
      <c r="A138" s="87">
        <v>46335</v>
      </c>
      <c r="B138" s="31" t="s">
        <v>138</v>
      </c>
      <c r="C138" s="31" t="s">
        <v>500</v>
      </c>
      <c r="D138" s="31" t="s">
        <v>126</v>
      </c>
      <c r="E138" s="31" t="s">
        <v>123</v>
      </c>
      <c r="F138" s="31">
        <v>119259</v>
      </c>
      <c r="G138" s="31">
        <v>100142</v>
      </c>
      <c r="H138" s="31">
        <f>F138-G138</f>
        <v>19117</v>
      </c>
      <c r="I138" s="31" t="e" cm="1">
        <f t="array" aca="1" ref="I138" ca="1">IFabc(F138&gt;=G138,"Achieved","Pending")</f>
        <v>#NAME?</v>
      </c>
      <c r="J138" s="75" t="b">
        <v>1</v>
      </c>
    </row>
    <row r="139" spans="1:10" x14ac:dyDescent="0.25">
      <c r="A139" s="87">
        <v>46336</v>
      </c>
      <c r="B139" s="31" t="s">
        <v>243</v>
      </c>
      <c r="C139" s="31" t="s">
        <v>501</v>
      </c>
      <c r="D139" s="31" t="s">
        <v>45</v>
      </c>
      <c r="E139" s="31" t="s">
        <v>103</v>
      </c>
      <c r="F139" s="31">
        <v>53301</v>
      </c>
      <c r="G139" s="31">
        <v>72325</v>
      </c>
      <c r="H139" s="31">
        <f>F139-G139</f>
        <v>-19024</v>
      </c>
      <c r="I139" s="31" t="str">
        <f>IF(F139&gt;=G139,"Achieved","Pending")</f>
        <v>Pending</v>
      </c>
      <c r="J139" s="75" t="b">
        <v>0</v>
      </c>
    </row>
    <row r="140" spans="1:10" x14ac:dyDescent="0.25">
      <c r="A140" s="87">
        <v>46338</v>
      </c>
      <c r="B140" s="31" t="s">
        <v>251</v>
      </c>
      <c r="C140" s="31" t="s">
        <v>503</v>
      </c>
      <c r="D140" s="31" t="s">
        <v>126</v>
      </c>
      <c r="E140" s="31" t="s">
        <v>87</v>
      </c>
      <c r="F140" s="31">
        <v>82447</v>
      </c>
      <c r="G140" s="31">
        <v>68746</v>
      </c>
      <c r="H140" s="31">
        <f>F140-G140</f>
        <v>13701</v>
      </c>
      <c r="I140" s="31" t="str">
        <f>IF(F140&gt;=G140,"Achieved","Pending")</f>
        <v>Achieved</v>
      </c>
      <c r="J140" s="75" t="b">
        <v>1</v>
      </c>
    </row>
    <row r="141" spans="1:10" x14ac:dyDescent="0.25">
      <c r="A141" s="87">
        <v>46339</v>
      </c>
      <c r="B141" s="31" t="s">
        <v>255</v>
      </c>
      <c r="C141" s="31" t="s">
        <v>504</v>
      </c>
      <c r="D141" s="31" t="s">
        <v>45</v>
      </c>
      <c r="E141" s="31" t="s">
        <v>123</v>
      </c>
      <c r="F141" s="31">
        <v>46915</v>
      </c>
      <c r="G141" s="31">
        <v>139061</v>
      </c>
      <c r="H141" s="31">
        <f>F141-G141</f>
        <v>-92146</v>
      </c>
      <c r="I141" s="31" t="str">
        <f>IF(F141&gt;=G141,"Achieved","Pending")</f>
        <v>Pending</v>
      </c>
      <c r="J141" s="75" t="b">
        <v>0</v>
      </c>
    </row>
    <row r="142" spans="1:10" x14ac:dyDescent="0.25">
      <c r="A142" s="87">
        <v>46340</v>
      </c>
      <c r="B142" s="31" t="s">
        <v>258</v>
      </c>
      <c r="C142" s="31" t="s">
        <v>505</v>
      </c>
      <c r="D142" s="31" t="s">
        <v>134</v>
      </c>
      <c r="E142" s="31" t="s">
        <v>123</v>
      </c>
      <c r="F142" s="31">
        <v>55033</v>
      </c>
      <c r="G142" s="31">
        <v>122240</v>
      </c>
      <c r="H142" s="31">
        <f>F142-G142</f>
        <v>-67207</v>
      </c>
      <c r="I142" s="31" t="str">
        <f>IF(F142&gt;=G142,"Achieved","Pending")</f>
        <v>Pending</v>
      </c>
      <c r="J142" s="75" t="b">
        <v>0</v>
      </c>
    </row>
    <row r="143" spans="1:10" x14ac:dyDescent="0.25">
      <c r="A143" s="87">
        <v>46341</v>
      </c>
      <c r="B143" s="31" t="s">
        <v>168</v>
      </c>
      <c r="C143" s="31" t="s">
        <v>506</v>
      </c>
      <c r="D143" s="31" t="s">
        <v>45</v>
      </c>
      <c r="E143" s="31" t="s">
        <v>74</v>
      </c>
      <c r="F143" s="31">
        <v>113172</v>
      </c>
      <c r="G143" s="31">
        <v>48326</v>
      </c>
      <c r="H143" s="31">
        <f>F143-G143</f>
        <v>64846</v>
      </c>
      <c r="I143" s="31" t="str">
        <f>IF(F143&gt;=G143,"Achieved","Pending")</f>
        <v>Achieved</v>
      </c>
      <c r="J143" s="75" t="b">
        <v>0</v>
      </c>
    </row>
    <row r="144" spans="1:10" x14ac:dyDescent="0.25">
      <c r="A144" s="87">
        <v>46342</v>
      </c>
      <c r="B144" s="31" t="s">
        <v>240</v>
      </c>
      <c r="C144" s="31" t="s">
        <v>507</v>
      </c>
      <c r="D144" s="31" t="s">
        <v>126</v>
      </c>
      <c r="E144" s="31" t="s">
        <v>74</v>
      </c>
      <c r="F144" s="31">
        <v>113104</v>
      </c>
      <c r="G144" s="31">
        <v>101348</v>
      </c>
      <c r="H144" s="31">
        <f>F144-G144</f>
        <v>11756</v>
      </c>
      <c r="I144" s="31" t="str">
        <f>IF(F144&gt;=G144,"Achieved","Pending")</f>
        <v>Achieved</v>
      </c>
      <c r="J144" s="75" t="b">
        <v>1</v>
      </c>
    </row>
    <row r="145" spans="1:10" x14ac:dyDescent="0.25">
      <c r="A145" s="87">
        <v>46343</v>
      </c>
      <c r="B145" s="31" t="s">
        <v>271</v>
      </c>
      <c r="C145" s="31" t="s">
        <v>508</v>
      </c>
      <c r="D145" s="31" t="s">
        <v>80</v>
      </c>
      <c r="E145" s="31" t="s">
        <v>103</v>
      </c>
      <c r="F145" s="31">
        <v>20000</v>
      </c>
      <c r="G145" s="31">
        <v>41504</v>
      </c>
      <c r="H145" s="31">
        <f>F145-G145</f>
        <v>-21504</v>
      </c>
      <c r="I145" s="31" t="str">
        <f>IF(F145&gt;=G145,"Achieved","Pending")</f>
        <v>Pending</v>
      </c>
      <c r="J145" s="75" t="b">
        <v>0</v>
      </c>
    </row>
    <row r="146" spans="1:10" x14ac:dyDescent="0.25">
      <c r="A146" s="87">
        <v>46344</v>
      </c>
      <c r="B146" s="31" t="s">
        <v>275</v>
      </c>
      <c r="C146" s="31" t="s">
        <v>509</v>
      </c>
      <c r="D146" s="31" t="s">
        <v>93</v>
      </c>
      <c r="E146" s="31" t="s">
        <v>57</v>
      </c>
      <c r="F146" s="31">
        <v>124353</v>
      </c>
      <c r="G146" s="31">
        <v>109163</v>
      </c>
      <c r="H146" s="31">
        <f>F146-G146</f>
        <v>15190</v>
      </c>
      <c r="I146" s="31" t="str">
        <f>IF(F146&gt;=G146,"Achieved","Pending")</f>
        <v>Achieved</v>
      </c>
      <c r="J146" s="75" t="b">
        <v>1</v>
      </c>
    </row>
    <row r="147" spans="1:10" x14ac:dyDescent="0.25">
      <c r="A147" s="87">
        <v>46345</v>
      </c>
      <c r="B147" s="31" t="s">
        <v>194</v>
      </c>
      <c r="C147" s="31" t="s">
        <v>510</v>
      </c>
      <c r="D147" s="31" t="s">
        <v>185</v>
      </c>
      <c r="E147" s="31" t="s">
        <v>74</v>
      </c>
      <c r="F147" s="31">
        <v>49621</v>
      </c>
      <c r="G147" s="31">
        <v>78469</v>
      </c>
      <c r="H147" s="31">
        <f>F147-G147</f>
        <v>-28848</v>
      </c>
      <c r="I147" s="31" t="str">
        <f>IF(F147&gt;=G147,"Achieved","Pending")</f>
        <v>Pending</v>
      </c>
      <c r="J147" s="75" t="b">
        <v>0</v>
      </c>
    </row>
    <row r="148" spans="1:10" x14ac:dyDescent="0.25">
      <c r="A148" s="87">
        <v>46346</v>
      </c>
      <c r="B148" s="31" t="s">
        <v>280</v>
      </c>
      <c r="C148" s="31" t="s">
        <v>511</v>
      </c>
      <c r="D148" s="31" t="s">
        <v>126</v>
      </c>
      <c r="E148" s="31" t="s">
        <v>103</v>
      </c>
      <c r="F148" s="31">
        <v>94470</v>
      </c>
      <c r="G148" s="31">
        <v>40425</v>
      </c>
      <c r="H148" s="31">
        <f>F148-G148</f>
        <v>54045</v>
      </c>
      <c r="I148" s="31" t="str">
        <f>IF(F148&gt;=G148,"Achieved","Pending")</f>
        <v>Achieved</v>
      </c>
      <c r="J148" s="75" t="b">
        <v>0</v>
      </c>
    </row>
    <row r="149" spans="1:10" x14ac:dyDescent="0.25">
      <c r="A149" s="87">
        <v>46347</v>
      </c>
      <c r="B149" s="31" t="s">
        <v>283</v>
      </c>
      <c r="C149" s="31" t="s">
        <v>512</v>
      </c>
      <c r="D149" s="31" t="s">
        <v>93</v>
      </c>
      <c r="E149" s="31" t="s">
        <v>57</v>
      </c>
      <c r="F149" s="31">
        <v>100612</v>
      </c>
      <c r="G149" s="31">
        <v>139871</v>
      </c>
      <c r="H149" s="31">
        <f>F149-G149</f>
        <v>-39259</v>
      </c>
      <c r="I149" s="31" t="str">
        <f>IF(F149&gt;=G149,"Achieved","Pending")</f>
        <v>Pending</v>
      </c>
      <c r="J149" s="75" t="b">
        <v>0</v>
      </c>
    </row>
    <row r="150" spans="1:10" x14ac:dyDescent="0.25">
      <c r="A150" s="87">
        <v>46348</v>
      </c>
      <c r="B150" s="31" t="s">
        <v>235</v>
      </c>
      <c r="C150" s="31" t="s">
        <v>513</v>
      </c>
      <c r="D150" s="31" t="s">
        <v>45</v>
      </c>
      <c r="E150" s="31" t="s">
        <v>123</v>
      </c>
      <c r="F150" s="31">
        <v>149100</v>
      </c>
      <c r="G150" s="31">
        <v>121959</v>
      </c>
      <c r="H150" s="31">
        <f>F150-G150</f>
        <v>27141</v>
      </c>
      <c r="I150" s="31" t="str">
        <f>IF(F150&gt;=G150,"Achieved","Pending")</f>
        <v>Achieved</v>
      </c>
      <c r="J150" s="75" t="b">
        <v>1</v>
      </c>
    </row>
    <row r="151" spans="1:10" x14ac:dyDescent="0.25">
      <c r="A151" s="87">
        <v>46350</v>
      </c>
      <c r="B151" s="31" t="s">
        <v>120</v>
      </c>
      <c r="C151" s="31" t="s">
        <v>515</v>
      </c>
      <c r="D151" s="31" t="s">
        <v>45</v>
      </c>
      <c r="E151" s="31" t="s">
        <v>57</v>
      </c>
      <c r="F151" s="31">
        <v>113504</v>
      </c>
      <c r="G151" s="31">
        <v>82487</v>
      </c>
      <c r="H151" s="31">
        <f>F151-G151</f>
        <v>31017</v>
      </c>
      <c r="I151" s="31" t="str">
        <f>IF(F151&gt;=G151,"Achieved","Pending")</f>
        <v>Achieved</v>
      </c>
      <c r="J151" s="75" t="b">
        <v>1</v>
      </c>
    </row>
    <row r="152" spans="1:10" x14ac:dyDescent="0.25">
      <c r="A152" s="87">
        <v>46351</v>
      </c>
      <c r="B152" s="31" t="s">
        <v>295</v>
      </c>
      <c r="C152" s="31" t="s">
        <v>516</v>
      </c>
      <c r="D152" s="31" t="s">
        <v>126</v>
      </c>
      <c r="E152" s="31" t="s">
        <v>57</v>
      </c>
      <c r="F152" s="31">
        <v>49662</v>
      </c>
      <c r="G152" s="31">
        <v>87576</v>
      </c>
      <c r="H152" s="31">
        <f>F152-G152</f>
        <v>-37914</v>
      </c>
      <c r="I152" s="31" t="str">
        <f>IF(F152&gt;=G152,"Achieved","Pending")</f>
        <v>Pending</v>
      </c>
      <c r="J152" s="75" t="b">
        <v>0</v>
      </c>
    </row>
    <row r="153" spans="1:10" x14ac:dyDescent="0.25">
      <c r="A153" s="87">
        <v>46352</v>
      </c>
      <c r="B153" s="31" t="s">
        <v>286</v>
      </c>
      <c r="C153" s="31" t="s">
        <v>517</v>
      </c>
      <c r="D153" s="31" t="s">
        <v>185</v>
      </c>
      <c r="E153" s="31" t="s">
        <v>123</v>
      </c>
      <c r="F153" s="31">
        <v>42592</v>
      </c>
      <c r="G153" s="31">
        <v>71571</v>
      </c>
      <c r="H153" s="31">
        <f>F153-G153</f>
        <v>-28979</v>
      </c>
      <c r="I153" s="31" t="str">
        <f>IF(F153&gt;=G153,"Achieved","Pending")</f>
        <v>Pending</v>
      </c>
      <c r="J153" s="75" t="b">
        <v>0</v>
      </c>
    </row>
    <row r="154" spans="1:10" x14ac:dyDescent="0.25">
      <c r="A154" s="87">
        <v>46353</v>
      </c>
      <c r="B154" s="31" t="s">
        <v>300</v>
      </c>
      <c r="C154" s="31" t="s">
        <v>518</v>
      </c>
      <c r="D154" s="31" t="s">
        <v>80</v>
      </c>
      <c r="E154" s="31" t="s">
        <v>103</v>
      </c>
      <c r="F154" s="31">
        <v>46226</v>
      </c>
      <c r="G154" s="31">
        <v>135932</v>
      </c>
      <c r="H154" s="31">
        <f>F154-G154</f>
        <v>-89706</v>
      </c>
      <c r="I154" s="31" t="str">
        <f>IF(F154&gt;=G154,"Achieved","Pending")</f>
        <v>Pending</v>
      </c>
      <c r="J154" s="75" t="b">
        <v>0</v>
      </c>
    </row>
    <row r="155" spans="1:10" x14ac:dyDescent="0.25">
      <c r="A155" s="87">
        <v>46354</v>
      </c>
      <c r="B155" s="31" t="s">
        <v>304</v>
      </c>
      <c r="C155" s="31" t="s">
        <v>519</v>
      </c>
      <c r="D155" s="31" t="s">
        <v>126</v>
      </c>
      <c r="E155" s="31" t="s">
        <v>87</v>
      </c>
      <c r="F155" s="31">
        <v>20000</v>
      </c>
      <c r="G155" s="31">
        <v>109822</v>
      </c>
      <c r="H155" s="31">
        <f>F155-G155</f>
        <v>-89822</v>
      </c>
      <c r="I155" s="31" t="str">
        <f>IF(F155&gt;=G155,"Achieved","Pending")</f>
        <v>Pending</v>
      </c>
      <c r="J155" s="75" t="b">
        <v>0</v>
      </c>
    </row>
    <row r="156" spans="1:10" x14ac:dyDescent="0.25">
      <c r="A156" s="87">
        <v>46355</v>
      </c>
      <c r="B156" s="31" t="s">
        <v>308</v>
      </c>
      <c r="C156" s="31" t="s">
        <v>520</v>
      </c>
      <c r="D156" s="31" t="s">
        <v>45</v>
      </c>
      <c r="E156" s="31" t="s">
        <v>87</v>
      </c>
      <c r="F156" s="31">
        <v>121474</v>
      </c>
      <c r="G156" s="31">
        <v>102296</v>
      </c>
      <c r="H156" s="31">
        <f>F156-G156</f>
        <v>19178</v>
      </c>
      <c r="I156" s="31" t="str">
        <f>IF(F156&gt;=G156,"Achieved","Pending")</f>
        <v>Achieved</v>
      </c>
      <c r="J156" s="75" t="b">
        <v>1</v>
      </c>
    </row>
    <row r="157" spans="1:10" x14ac:dyDescent="0.25">
      <c r="A157" s="87">
        <v>46356</v>
      </c>
      <c r="B157" s="31" t="s">
        <v>231</v>
      </c>
      <c r="C157" s="31" t="s">
        <v>521</v>
      </c>
      <c r="D157" s="31" t="s">
        <v>80</v>
      </c>
      <c r="E157" s="31" t="s">
        <v>87</v>
      </c>
      <c r="F157" s="31">
        <v>69741</v>
      </c>
      <c r="G157" s="31">
        <v>109163</v>
      </c>
      <c r="H157" s="31">
        <f>F157-G157</f>
        <v>-39422</v>
      </c>
      <c r="I157" s="31" t="str">
        <f>IF(F157&gt;=G157,"Achieved","Pending")</f>
        <v>Pending</v>
      </c>
      <c r="J157" s="75" t="b">
        <v>0</v>
      </c>
    </row>
    <row r="158" spans="1:10" ht="15.75" thickBot="1" x14ac:dyDescent="0.3">
      <c r="A158" s="88">
        <v>46357</v>
      </c>
      <c r="B158" s="36" t="s">
        <v>314</v>
      </c>
      <c r="C158" s="36" t="s">
        <v>522</v>
      </c>
      <c r="D158" s="36" t="s">
        <v>80</v>
      </c>
      <c r="E158" s="36" t="s">
        <v>123</v>
      </c>
      <c r="F158" s="36">
        <v>62760</v>
      </c>
      <c r="G158" s="36">
        <v>110686</v>
      </c>
      <c r="H158" s="36">
        <f>F158-G158</f>
        <v>-47926</v>
      </c>
      <c r="I158" s="36" t="str">
        <f>IF(F158&gt;=G158,"Achieved","Pending")</f>
        <v>Pending</v>
      </c>
      <c r="J158" s="77" t="b">
        <v>0</v>
      </c>
    </row>
    <row r="168" spans="1:15" ht="15.75" thickBot="1" x14ac:dyDescent="0.3"/>
    <row r="169" spans="1:15" x14ac:dyDescent="0.25">
      <c r="A169" s="138" t="s">
        <v>534</v>
      </c>
      <c r="B169" s="139"/>
      <c r="C169" s="139"/>
      <c r="D169" s="139"/>
      <c r="E169" s="139"/>
      <c r="F169" s="139"/>
      <c r="G169" s="139"/>
      <c r="H169" s="139"/>
      <c r="I169" s="139"/>
      <c r="J169" s="139"/>
      <c r="K169" s="139"/>
      <c r="L169" s="139"/>
      <c r="M169" s="139"/>
      <c r="N169" s="139"/>
      <c r="O169" s="140"/>
    </row>
    <row r="170" spans="1:15" ht="15.75" thickBot="1" x14ac:dyDescent="0.3">
      <c r="A170" s="141"/>
      <c r="B170" s="142"/>
      <c r="C170" s="142"/>
      <c r="D170" s="142"/>
      <c r="E170" s="142"/>
      <c r="F170" s="142"/>
      <c r="G170" s="142"/>
      <c r="H170" s="142"/>
      <c r="I170" s="142"/>
      <c r="J170" s="142"/>
      <c r="K170" s="142"/>
      <c r="L170" s="142"/>
      <c r="M170" s="142"/>
      <c r="N170" s="142"/>
      <c r="O170" s="143"/>
    </row>
    <row r="171" spans="1:15" x14ac:dyDescent="0.25">
      <c r="A171" s="72"/>
      <c r="B171" s="73"/>
      <c r="C171" s="73"/>
      <c r="D171" s="73"/>
      <c r="E171" s="73"/>
      <c r="F171" s="73"/>
      <c r="G171" s="73"/>
      <c r="H171" s="73"/>
      <c r="I171" s="89"/>
      <c r="J171" s="89"/>
      <c r="K171" s="89"/>
      <c r="L171" s="89"/>
      <c r="M171" s="89"/>
      <c r="N171" s="89"/>
      <c r="O171" s="54"/>
    </row>
    <row r="172" spans="1:15" x14ac:dyDescent="0.25">
      <c r="A172" s="74"/>
      <c r="B172" s="31">
        <v>2</v>
      </c>
      <c r="C172" s="31">
        <v>10</v>
      </c>
      <c r="D172" s="31"/>
      <c r="E172" s="31"/>
      <c r="F172" s="31"/>
      <c r="G172" s="31"/>
      <c r="H172" s="31"/>
      <c r="I172" s="63"/>
      <c r="J172" s="63"/>
      <c r="K172" s="63"/>
      <c r="L172" s="63"/>
      <c r="M172" s="63"/>
      <c r="N172" s="63"/>
      <c r="O172" s="55"/>
    </row>
    <row r="173" spans="1:15" x14ac:dyDescent="0.25">
      <c r="A173" s="74"/>
      <c r="B173" s="31"/>
      <c r="C173" s="31"/>
      <c r="D173" s="31"/>
      <c r="E173" s="31"/>
      <c r="F173" s="31">
        <v>70</v>
      </c>
      <c r="G173" s="31"/>
      <c r="H173" s="31"/>
      <c r="I173" s="63"/>
      <c r="J173" s="63"/>
      <c r="K173" s="63"/>
      <c r="L173" s="63"/>
      <c r="M173" s="63"/>
      <c r="N173" s="63"/>
      <c r="O173" s="55"/>
    </row>
    <row r="174" spans="1:15" x14ac:dyDescent="0.25">
      <c r="A174" s="74"/>
      <c r="B174" s="31"/>
      <c r="C174" s="31"/>
      <c r="D174" s="31"/>
      <c r="E174" s="31"/>
      <c r="F174" s="31"/>
      <c r="G174" s="31"/>
      <c r="H174" s="31"/>
      <c r="I174" s="63"/>
      <c r="J174" s="63"/>
      <c r="K174" s="63"/>
      <c r="L174" s="63"/>
      <c r="M174" s="63"/>
      <c r="N174" s="63"/>
      <c r="O174" s="55"/>
    </row>
    <row r="175" spans="1:15" x14ac:dyDescent="0.25">
      <c r="A175" s="74"/>
      <c r="B175" s="31"/>
      <c r="C175" s="31"/>
      <c r="D175" s="31">
        <f>B172*C172</f>
        <v>20</v>
      </c>
      <c r="E175" s="31"/>
      <c r="F175" s="31"/>
      <c r="G175" s="31"/>
      <c r="H175" s="31"/>
      <c r="I175" s="63"/>
      <c r="J175" s="63"/>
      <c r="K175" s="63"/>
      <c r="L175" s="63"/>
      <c r="M175" s="63"/>
      <c r="N175" s="63"/>
      <c r="O175" s="55"/>
    </row>
    <row r="176" spans="1:15" x14ac:dyDescent="0.25">
      <c r="A176" s="74"/>
      <c r="B176" s="31">
        <v>50</v>
      </c>
      <c r="C176" s="31"/>
      <c r="D176" s="31"/>
      <c r="E176" s="31"/>
      <c r="F176" s="31"/>
      <c r="G176" s="31"/>
      <c r="H176" s="31"/>
      <c r="I176" s="63"/>
      <c r="J176" s="63"/>
      <c r="K176" s="63"/>
      <c r="L176" s="63"/>
      <c r="M176" s="63"/>
      <c r="N176" s="63"/>
      <c r="O176" s="55"/>
    </row>
    <row r="177" spans="1:15" x14ac:dyDescent="0.25">
      <c r="A177" s="74"/>
      <c r="B177" s="31"/>
      <c r="C177" s="31"/>
      <c r="D177" s="31"/>
      <c r="E177" s="31"/>
      <c r="F177" s="31"/>
      <c r="G177" s="31">
        <v>80</v>
      </c>
      <c r="H177" s="31"/>
      <c r="I177" s="63"/>
      <c r="J177" s="63"/>
      <c r="K177" s="63"/>
      <c r="L177" s="63"/>
      <c r="M177" s="63"/>
      <c r="N177" s="63"/>
      <c r="O177" s="55"/>
    </row>
    <row r="178" spans="1:15" x14ac:dyDescent="0.25">
      <c r="A178" s="74"/>
      <c r="B178" s="31"/>
      <c r="C178" s="31">
        <v>60</v>
      </c>
      <c r="D178" s="31"/>
      <c r="E178" s="31"/>
      <c r="F178" s="31"/>
      <c r="G178" s="31"/>
      <c r="H178" s="31"/>
      <c r="I178" s="63"/>
      <c r="J178" s="63"/>
      <c r="K178" s="63"/>
      <c r="L178" s="63"/>
      <c r="M178" s="63"/>
      <c r="N178" s="63"/>
      <c r="O178" s="55"/>
    </row>
    <row r="179" spans="1:15" x14ac:dyDescent="0.25">
      <c r="A179" s="74"/>
      <c r="B179" s="31"/>
      <c r="C179" s="31"/>
      <c r="D179" s="31"/>
      <c r="E179" s="31"/>
      <c r="F179" s="31">
        <f>F173+G177+D175+C178</f>
        <v>230</v>
      </c>
      <c r="G179" s="31"/>
      <c r="H179" s="31"/>
      <c r="I179" s="63"/>
      <c r="J179" s="63"/>
      <c r="K179" s="63"/>
      <c r="L179" s="63"/>
      <c r="M179" s="63"/>
      <c r="N179" s="63"/>
      <c r="O179" s="55"/>
    </row>
    <row r="180" spans="1:15" ht="15.75" thickBot="1" x14ac:dyDescent="0.3">
      <c r="A180" s="76"/>
      <c r="B180" s="36"/>
      <c r="C180" s="36"/>
      <c r="D180" s="36"/>
      <c r="E180" s="36"/>
      <c r="F180" s="36"/>
      <c r="G180" s="36"/>
      <c r="H180" s="36"/>
      <c r="I180" s="90"/>
      <c r="J180" s="90"/>
      <c r="K180" s="90"/>
      <c r="L180" s="90"/>
      <c r="M180" s="90"/>
      <c r="N180" s="90"/>
      <c r="O180" s="56"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8E3C-C0FB-4643-8DEC-F97A3B02C3FB}">
  <sheetPr codeName="Sheet10"/>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144" t="s">
        <v>541</v>
      </c>
      <c r="E1" s="145"/>
      <c r="F1" s="145"/>
      <c r="G1" s="145"/>
      <c r="H1" s="145"/>
      <c r="I1" s="145"/>
      <c r="X1" s="146" t="s">
        <v>542</v>
      </c>
      <c r="Y1" s="147"/>
      <c r="Z1" s="147"/>
      <c r="AA1" s="147"/>
      <c r="AB1" s="147"/>
      <c r="AC1" s="148"/>
    </row>
    <row r="2" spans="4:29" x14ac:dyDescent="0.25">
      <c r="D2" s="67" t="s">
        <v>470</v>
      </c>
      <c r="E2" s="67" t="s">
        <v>6</v>
      </c>
      <c r="F2" s="67" t="s">
        <v>36</v>
      </c>
      <c r="G2" s="66" t="s">
        <v>472</v>
      </c>
      <c r="H2" s="91" t="s">
        <v>536</v>
      </c>
      <c r="I2" s="67" t="s">
        <v>537</v>
      </c>
      <c r="K2" s="146" t="s">
        <v>543</v>
      </c>
      <c r="L2" s="147"/>
      <c r="M2" s="147"/>
      <c r="N2" s="147"/>
      <c r="O2" s="147"/>
      <c r="P2" s="147"/>
      <c r="Q2" s="147"/>
      <c r="R2" s="147"/>
      <c r="S2" s="147"/>
      <c r="T2" s="147"/>
      <c r="U2" s="147"/>
      <c r="V2" s="148"/>
      <c r="X2" s="144" t="str">
        <f>D1</f>
        <v>OPERATIONS</v>
      </c>
      <c r="Y2" s="145"/>
      <c r="Z2" s="145"/>
      <c r="AA2" s="145"/>
      <c r="AB2" s="145"/>
      <c r="AC2" s="145"/>
    </row>
    <row r="3" spans="4:29" x14ac:dyDescent="0.25">
      <c r="D3" s="66" t="s">
        <v>473</v>
      </c>
      <c r="E3" s="66" t="s">
        <v>93</v>
      </c>
      <c r="F3" s="66" t="s">
        <v>57</v>
      </c>
      <c r="G3" s="66">
        <v>137396</v>
      </c>
      <c r="H3" s="92">
        <f ca="1">(RANDBETWEEN(10,50))/100</f>
        <v>0.25</v>
      </c>
      <c r="I3" s="66">
        <v>100</v>
      </c>
      <c r="X3" s="67" t="str">
        <f>D2</f>
        <v>Employee Name</v>
      </c>
      <c r="Y3" s="67" t="str">
        <f>E2</f>
        <v>Department</v>
      </c>
      <c r="Z3" s="67" t="str">
        <f>F2</f>
        <v>Region</v>
      </c>
      <c r="AA3" s="66" t="str">
        <f>G2</f>
        <v>Target (Rs.)</v>
      </c>
      <c r="AB3" s="91" t="str">
        <f>H2</f>
        <v>%</v>
      </c>
      <c r="AC3" s="67" t="str">
        <f>I2</f>
        <v xml:space="preserve">Add 100 in Target </v>
      </c>
    </row>
    <row r="4" spans="4:29" x14ac:dyDescent="0.25">
      <c r="D4" s="66" t="s">
        <v>474</v>
      </c>
      <c r="E4" s="66" t="s">
        <v>185</v>
      </c>
      <c r="F4" s="66" t="s">
        <v>74</v>
      </c>
      <c r="G4" s="66">
        <v>58489</v>
      </c>
      <c r="H4" s="92">
        <f ca="1">(RANDBETWEEN(10,50))/100</f>
        <v>0.27</v>
      </c>
      <c r="X4" s="66" t="str">
        <f>D3</f>
        <v>Muhammad Ahmed</v>
      </c>
      <c r="Y4" s="66" t="str">
        <f>E3</f>
        <v>Operations</v>
      </c>
      <c r="Z4" s="66" t="str">
        <f>F3</f>
        <v>South</v>
      </c>
      <c r="AA4" s="66">
        <f>G3</f>
        <v>137396</v>
      </c>
      <c r="AB4" s="92">
        <f ca="1">H3</f>
        <v>0.25</v>
      </c>
      <c r="AC4" s="66">
        <f>I3</f>
        <v>100</v>
      </c>
    </row>
    <row r="5" spans="4:29" x14ac:dyDescent="0.25">
      <c r="D5" s="66" t="s">
        <v>475</v>
      </c>
      <c r="E5" s="66" t="s">
        <v>93</v>
      </c>
      <c r="F5" s="66" t="s">
        <v>87</v>
      </c>
      <c r="G5" s="66">
        <v>137280</v>
      </c>
      <c r="H5" s="92">
        <f ca="1">(RANDBETWEEN(10,50))/100</f>
        <v>0.36</v>
      </c>
      <c r="X5" s="66" t="str">
        <f>D4</f>
        <v>Ayesha Khan</v>
      </c>
      <c r="Y5" s="66" t="str">
        <f>E4</f>
        <v>Marketing</v>
      </c>
      <c r="Z5" s="66" t="str">
        <f>F4</f>
        <v>North</v>
      </c>
      <c r="AA5" s="66">
        <f>G4</f>
        <v>58489</v>
      </c>
      <c r="AB5" s="92">
        <f ca="1">H4</f>
        <v>0.27</v>
      </c>
    </row>
    <row r="6" spans="4:29" x14ac:dyDescent="0.25">
      <c r="D6" s="66" t="s">
        <v>476</v>
      </c>
      <c r="E6" s="66" t="s">
        <v>80</v>
      </c>
      <c r="F6" s="66" t="s">
        <v>103</v>
      </c>
      <c r="G6" s="66">
        <v>95502</v>
      </c>
      <c r="H6" s="92">
        <f ca="1">(RANDBETWEEN(10,50))/100</f>
        <v>0.41</v>
      </c>
      <c r="L6" s="146" t="s">
        <v>540</v>
      </c>
      <c r="M6" s="147"/>
      <c r="N6" s="147"/>
      <c r="O6" s="147"/>
      <c r="P6" s="147"/>
      <c r="Q6" s="147"/>
      <c r="R6" s="147"/>
      <c r="S6" s="147"/>
      <c r="T6" s="147"/>
      <c r="U6" s="148"/>
      <c r="X6" s="66" t="str">
        <f>D5</f>
        <v>Muhammad Hamza</v>
      </c>
      <c r="Y6" s="66" t="str">
        <f>E5</f>
        <v>Operations</v>
      </c>
      <c r="Z6" s="66" t="str">
        <f>F5</f>
        <v>West</v>
      </c>
      <c r="AA6" s="66">
        <f>G5</f>
        <v>137280</v>
      </c>
      <c r="AB6" s="92">
        <f ca="1">H5</f>
        <v>0.36</v>
      </c>
    </row>
    <row r="7" spans="4:29" x14ac:dyDescent="0.25">
      <c r="D7" s="66" t="s">
        <v>477</v>
      </c>
      <c r="E7" s="66" t="s">
        <v>134</v>
      </c>
      <c r="F7" s="66" t="s">
        <v>74</v>
      </c>
      <c r="G7" s="66">
        <v>68857</v>
      </c>
      <c r="H7" s="92">
        <f ca="1">(RANDBETWEEN(10,50))/100</f>
        <v>0.17</v>
      </c>
      <c r="X7" s="66" t="str">
        <f>D6</f>
        <v>Fatima Ali</v>
      </c>
      <c r="Y7" s="66" t="str">
        <f>E6</f>
        <v>IT</v>
      </c>
      <c r="Z7" s="66" t="str">
        <f>F6</f>
        <v>Central</v>
      </c>
      <c r="AA7" s="66">
        <f>G6</f>
        <v>95502</v>
      </c>
      <c r="AB7" s="92">
        <f ca="1">H6</f>
        <v>0.41</v>
      </c>
    </row>
    <row r="8" spans="4:29" x14ac:dyDescent="0.25">
      <c r="D8" s="66" t="s">
        <v>478</v>
      </c>
      <c r="E8" s="66" t="s">
        <v>45</v>
      </c>
      <c r="F8" s="66" t="s">
        <v>123</v>
      </c>
      <c r="G8" s="66">
        <v>66262</v>
      </c>
      <c r="H8" s="92">
        <f ca="1">(RANDBETWEEN(10,50))/100</f>
        <v>0.34</v>
      </c>
      <c r="M8" s="66">
        <v>137196</v>
      </c>
      <c r="N8" s="66">
        <v>137196</v>
      </c>
      <c r="X8" s="66" t="str">
        <f>D7</f>
        <v>Hassan Raza</v>
      </c>
      <c r="Y8" s="66" t="str">
        <f>E7</f>
        <v>Finance</v>
      </c>
      <c r="Z8" s="66" t="str">
        <f>F7</f>
        <v>North</v>
      </c>
      <c r="AA8" s="66">
        <f>G7</f>
        <v>68857</v>
      </c>
      <c r="AB8" s="92">
        <f ca="1">H7</f>
        <v>0.17</v>
      </c>
    </row>
    <row r="9" spans="4:29" x14ac:dyDescent="0.25">
      <c r="D9" s="66" t="s">
        <v>479</v>
      </c>
      <c r="E9" s="66" t="s">
        <v>93</v>
      </c>
      <c r="F9" s="66" t="s">
        <v>57</v>
      </c>
      <c r="G9" s="66">
        <v>99078</v>
      </c>
      <c r="H9" s="92">
        <f ca="1">(RANDBETWEEN(10,50))/100</f>
        <v>0.1</v>
      </c>
      <c r="M9" s="66">
        <v>64256</v>
      </c>
      <c r="N9" s="66"/>
      <c r="X9" s="66" t="str">
        <f>D8</f>
        <v>Sana Ahmed</v>
      </c>
      <c r="Y9" s="66" t="str">
        <f>E8</f>
        <v>Sales</v>
      </c>
      <c r="Z9" s="66" t="str">
        <f>F8</f>
        <v>East</v>
      </c>
      <c r="AA9" s="66">
        <f>G8</f>
        <v>66262</v>
      </c>
      <c r="AB9" s="92">
        <f ca="1">H8</f>
        <v>0.34</v>
      </c>
    </row>
    <row r="10" spans="4:29" x14ac:dyDescent="0.25">
      <c r="D10" s="66" t="s">
        <v>480</v>
      </c>
      <c r="E10" s="66" t="s">
        <v>80</v>
      </c>
      <c r="F10" s="66" t="s">
        <v>103</v>
      </c>
      <c r="G10" s="66">
        <v>41051</v>
      </c>
      <c r="H10" s="92">
        <f ca="1">(RANDBETWEEN(10,50))/100</f>
        <v>0.13</v>
      </c>
      <c r="M10" s="66">
        <v>137080</v>
      </c>
      <c r="N10" s="66">
        <v>137080</v>
      </c>
      <c r="X10" s="66" t="str">
        <f>D9</f>
        <v>Usman Malik</v>
      </c>
      <c r="Y10" s="66" t="str">
        <f>E9</f>
        <v>Operations</v>
      </c>
      <c r="Z10" s="66" t="str">
        <f>F9</f>
        <v>South</v>
      </c>
      <c r="AA10" s="66">
        <f>G9</f>
        <v>99078</v>
      </c>
      <c r="AB10" s="92">
        <f ca="1">H9</f>
        <v>0.1</v>
      </c>
    </row>
    <row r="11" spans="4:29" x14ac:dyDescent="0.25">
      <c r="D11" s="66" t="s">
        <v>481</v>
      </c>
      <c r="E11" s="66" t="s">
        <v>45</v>
      </c>
      <c r="F11" s="66" t="s">
        <v>123</v>
      </c>
      <c r="G11" s="66">
        <v>76621</v>
      </c>
      <c r="H11" s="92">
        <f ca="1">(RANDBETWEEN(10,50))/100</f>
        <v>0.36</v>
      </c>
      <c r="M11" s="66">
        <v>95302</v>
      </c>
      <c r="N11" s="66">
        <v>95302</v>
      </c>
      <c r="X11" s="66" t="str">
        <f>D10</f>
        <v>Zainab Siddiqui</v>
      </c>
      <c r="Y11" s="66" t="str">
        <f>E10</f>
        <v>IT</v>
      </c>
      <c r="Z11" s="66" t="str">
        <f>F10</f>
        <v>Central</v>
      </c>
      <c r="AA11" s="66">
        <f>G10</f>
        <v>41051</v>
      </c>
      <c r="AB11" s="92">
        <f ca="1">H10</f>
        <v>0.13</v>
      </c>
    </row>
    <row r="12" spans="4:29" x14ac:dyDescent="0.25">
      <c r="D12" s="66" t="s">
        <v>482</v>
      </c>
      <c r="E12" s="66" t="s">
        <v>45</v>
      </c>
      <c r="F12" s="66" t="s">
        <v>87</v>
      </c>
      <c r="G12" s="66">
        <v>84318</v>
      </c>
      <c r="H12" s="92">
        <f ca="1">(RANDBETWEEN(10,50))/100</f>
        <v>0.38</v>
      </c>
      <c r="M12" s="66">
        <v>68657</v>
      </c>
      <c r="N12" s="66">
        <v>68657</v>
      </c>
      <c r="X12" s="66" t="str">
        <f>D11</f>
        <v>Bilal Hussain</v>
      </c>
      <c r="Y12" s="66" t="str">
        <f>E11</f>
        <v>Sales</v>
      </c>
      <c r="Z12" s="66" t="str">
        <f>F11</f>
        <v>East</v>
      </c>
      <c r="AA12" s="66">
        <f>G11</f>
        <v>76621</v>
      </c>
      <c r="AB12" s="92">
        <f ca="1">H11</f>
        <v>0.36</v>
      </c>
    </row>
    <row r="13" spans="4:29" x14ac:dyDescent="0.25">
      <c r="D13" s="93" t="s">
        <v>544</v>
      </c>
      <c r="E13" s="66" t="s">
        <v>134</v>
      </c>
      <c r="F13" s="66" t="s">
        <v>57</v>
      </c>
      <c r="G13" s="66">
        <v>52876</v>
      </c>
      <c r="H13" s="92">
        <f ca="1">(RANDBETWEEN(10,50))/100</f>
        <v>0.41</v>
      </c>
      <c r="M13" s="66">
        <v>66062</v>
      </c>
      <c r="N13" s="66">
        <v>66062</v>
      </c>
      <c r="X13" s="66" t="str">
        <f>D12</f>
        <v>Maryam Sheikh</v>
      </c>
      <c r="Y13" s="66" t="str">
        <f>E12</f>
        <v>Sales</v>
      </c>
      <c r="Z13" s="66" t="str">
        <f>F12</f>
        <v>West</v>
      </c>
      <c r="AA13" s="66">
        <f>G12</f>
        <v>84318</v>
      </c>
      <c r="AB13" s="92">
        <f ca="1">H12</f>
        <v>0.38</v>
      </c>
    </row>
    <row r="14" spans="4:29" x14ac:dyDescent="0.25">
      <c r="D14" s="66" t="s">
        <v>484</v>
      </c>
      <c r="E14" s="66" t="s">
        <v>185</v>
      </c>
      <c r="F14" s="66" t="s">
        <v>123</v>
      </c>
      <c r="G14" s="66">
        <v>74871</v>
      </c>
      <c r="H14" s="92">
        <f ca="1">(RANDBETWEEN(10,50))/100</f>
        <v>0.48</v>
      </c>
      <c r="M14" s="66">
        <v>98878</v>
      </c>
      <c r="N14" s="66">
        <v>98878</v>
      </c>
      <c r="X14" s="66" t="str">
        <f>D13</f>
        <v>Ali Khan</v>
      </c>
      <c r="Y14" s="66" t="str">
        <f>E13</f>
        <v>Finance</v>
      </c>
      <c r="Z14" s="66" t="str">
        <f>F13</f>
        <v>South</v>
      </c>
      <c r="AA14" s="66">
        <f>G13</f>
        <v>52876</v>
      </c>
      <c r="AB14" s="92">
        <f ca="1">H13</f>
        <v>0.41</v>
      </c>
    </row>
    <row r="15" spans="4:29" x14ac:dyDescent="0.25">
      <c r="D15" s="66" t="s">
        <v>485</v>
      </c>
      <c r="E15" s="66" t="s">
        <v>134</v>
      </c>
      <c r="F15" s="66" t="s">
        <v>123</v>
      </c>
      <c r="G15" s="66">
        <v>56561</v>
      </c>
      <c r="H15" s="92">
        <f ca="1">(RANDBETWEEN(10,50))/100</f>
        <v>0.44</v>
      </c>
      <c r="M15" s="66">
        <v>40851</v>
      </c>
      <c r="N15" s="66">
        <v>40851</v>
      </c>
      <c r="X15" s="66" t="str">
        <f>D14</f>
        <v>Hira Shah</v>
      </c>
      <c r="Y15" s="66" t="str">
        <f>E14</f>
        <v>Marketing</v>
      </c>
      <c r="Z15" s="66" t="str">
        <f>F14</f>
        <v>East</v>
      </c>
      <c r="AA15" s="66">
        <f>G14</f>
        <v>74871</v>
      </c>
      <c r="AB15" s="92">
        <f ca="1">H14</f>
        <v>0.48</v>
      </c>
    </row>
    <row r="16" spans="4:29" x14ac:dyDescent="0.25">
      <c r="D16" s="66" t="s">
        <v>486</v>
      </c>
      <c r="E16" s="66" t="s">
        <v>126</v>
      </c>
      <c r="F16" s="66" t="s">
        <v>57</v>
      </c>
      <c r="G16" s="66">
        <v>78627</v>
      </c>
      <c r="H16" s="92">
        <f ca="1">(RANDBETWEEN(10,50))/100</f>
        <v>0.48</v>
      </c>
      <c r="M16" s="66"/>
      <c r="N16" s="66"/>
      <c r="X16" s="66" t="str">
        <f>D15</f>
        <v>Abdullah Qureshi</v>
      </c>
      <c r="Y16" s="66" t="str">
        <f>E15</f>
        <v>Finance</v>
      </c>
      <c r="Z16" s="66" t="str">
        <f>F15</f>
        <v>East</v>
      </c>
      <c r="AA16" s="66">
        <f>G15</f>
        <v>56561</v>
      </c>
      <c r="AB16" s="92">
        <f ca="1">H15</f>
        <v>0.44</v>
      </c>
    </row>
    <row r="17" spans="4:28" x14ac:dyDescent="0.25">
      <c r="G17" s="222"/>
      <c r="M17" s="66">
        <v>84118</v>
      </c>
      <c r="N17" s="66">
        <v>84118</v>
      </c>
      <c r="X17" s="66" t="str">
        <f>D16</f>
        <v>Iqra Javed</v>
      </c>
      <c r="Y17" s="66" t="str">
        <f>E16</f>
        <v>HR</v>
      </c>
      <c r="Z17" s="66" t="str">
        <f>F16</f>
        <v>South</v>
      </c>
      <c r="AA17" s="66">
        <f>G16</f>
        <v>78627</v>
      </c>
      <c r="AB17" s="92">
        <f ca="1">H16</f>
        <v>0.48</v>
      </c>
    </row>
    <row r="18" spans="4:28" x14ac:dyDescent="0.25">
      <c r="M18" s="66">
        <v>84797</v>
      </c>
      <c r="N18" s="66"/>
    </row>
    <row r="19" spans="4:28" x14ac:dyDescent="0.25">
      <c r="M19" s="66">
        <v>74671</v>
      </c>
      <c r="N19" s="66">
        <v>74671</v>
      </c>
    </row>
    <row r="20" spans="4:28" x14ac:dyDescent="0.25">
      <c r="M20" s="66">
        <v>56361</v>
      </c>
      <c r="N20" s="66">
        <v>56361</v>
      </c>
    </row>
    <row r="21" spans="4:28" x14ac:dyDescent="0.25">
      <c r="M21" s="66">
        <v>78427</v>
      </c>
      <c r="N21" s="66">
        <v>78427</v>
      </c>
    </row>
    <row r="22" spans="4:28" x14ac:dyDescent="0.25">
      <c r="M22" s="66">
        <v>110674</v>
      </c>
      <c r="N22" s="66"/>
    </row>
    <row r="23" spans="4:28" x14ac:dyDescent="0.25">
      <c r="M23" s="66">
        <v>126673</v>
      </c>
      <c r="N23" s="66">
        <v>126673</v>
      </c>
    </row>
    <row r="29" spans="4:28" x14ac:dyDescent="0.25">
      <c r="D29" s="145" t="s">
        <v>538</v>
      </c>
      <c r="E29" s="145"/>
      <c r="F29" s="145"/>
      <c r="G29" s="145"/>
      <c r="H29" s="145"/>
      <c r="I29" s="145"/>
      <c r="J29" s="145"/>
      <c r="K29" s="145"/>
      <c r="L29" s="145"/>
      <c r="M29" s="145"/>
      <c r="N29" s="145"/>
      <c r="O29" s="145"/>
      <c r="P29" s="145"/>
      <c r="Q29" s="145"/>
      <c r="R29" s="145"/>
      <c r="U29" s="146" t="s">
        <v>539</v>
      </c>
      <c r="V29" s="147"/>
      <c r="W29" s="147"/>
      <c r="X29" s="147"/>
      <c r="Y29" s="147"/>
      <c r="Z29" s="148"/>
    </row>
    <row r="30" spans="4:28" x14ac:dyDescent="0.25">
      <c r="D30" s="67" t="s">
        <v>470</v>
      </c>
      <c r="E30" s="66" t="s">
        <v>473</v>
      </c>
      <c r="F30" s="66" t="s">
        <v>474</v>
      </c>
      <c r="G30" s="66" t="s">
        <v>475</v>
      </c>
      <c r="H30" s="66" t="s">
        <v>476</v>
      </c>
      <c r="I30" s="66" t="s">
        <v>477</v>
      </c>
      <c r="J30" s="66" t="s">
        <v>478</v>
      </c>
      <c r="K30" s="66" t="s">
        <v>479</v>
      </c>
      <c r="L30" s="66" t="s">
        <v>480</v>
      </c>
      <c r="M30" s="66" t="s">
        <v>481</v>
      </c>
      <c r="N30" s="66" t="s">
        <v>482</v>
      </c>
      <c r="O30" s="93" t="s">
        <v>544</v>
      </c>
      <c r="P30" s="66" t="s">
        <v>484</v>
      </c>
      <c r="Q30" s="66" t="s">
        <v>485</v>
      </c>
      <c r="R30" s="66" t="s">
        <v>486</v>
      </c>
      <c r="U30" s="67" t="s">
        <v>470</v>
      </c>
      <c r="V30" s="67" t="s">
        <v>6</v>
      </c>
      <c r="W30" s="67" t="s">
        <v>36</v>
      </c>
      <c r="X30" s="66" t="s">
        <v>472</v>
      </c>
      <c r="Y30" s="91" t="s">
        <v>536</v>
      </c>
      <c r="Z30" s="67" t="s">
        <v>537</v>
      </c>
    </row>
    <row r="31" spans="4:28" x14ac:dyDescent="0.25">
      <c r="D31" s="67" t="s">
        <v>6</v>
      </c>
      <c r="E31" s="66" t="s">
        <v>93</v>
      </c>
      <c r="F31" s="66" t="s">
        <v>185</v>
      </c>
      <c r="G31" s="66" t="s">
        <v>93</v>
      </c>
      <c r="H31" s="66" t="s">
        <v>80</v>
      </c>
      <c r="I31" s="66" t="s">
        <v>134</v>
      </c>
      <c r="J31" s="66" t="s">
        <v>45</v>
      </c>
      <c r="K31" s="66" t="s">
        <v>93</v>
      </c>
      <c r="L31" s="66" t="s">
        <v>80</v>
      </c>
      <c r="M31" s="66" t="s">
        <v>45</v>
      </c>
      <c r="N31" s="66" t="s">
        <v>45</v>
      </c>
      <c r="O31" s="66" t="s">
        <v>134</v>
      </c>
      <c r="P31" s="66" t="s">
        <v>185</v>
      </c>
      <c r="Q31" s="66" t="s">
        <v>134</v>
      </c>
      <c r="R31" s="66" t="s">
        <v>126</v>
      </c>
      <c r="U31" s="66" t="s">
        <v>473</v>
      </c>
      <c r="V31" s="66" t="s">
        <v>93</v>
      </c>
      <c r="W31" s="66" t="s">
        <v>57</v>
      </c>
      <c r="X31" s="66">
        <v>137396</v>
      </c>
      <c r="Y31" s="92">
        <v>0.47</v>
      </c>
      <c r="Z31" s="66">
        <v>100</v>
      </c>
    </row>
    <row r="32" spans="4:28" x14ac:dyDescent="0.25">
      <c r="D32" s="67" t="s">
        <v>36</v>
      </c>
      <c r="E32" s="66" t="s">
        <v>57</v>
      </c>
      <c r="F32" s="66" t="s">
        <v>74</v>
      </c>
      <c r="G32" s="66" t="s">
        <v>87</v>
      </c>
      <c r="H32" s="66" t="s">
        <v>103</v>
      </c>
      <c r="I32" s="66" t="s">
        <v>74</v>
      </c>
      <c r="J32" s="66" t="s">
        <v>123</v>
      </c>
      <c r="K32" s="66" t="s">
        <v>57</v>
      </c>
      <c r="L32" s="66" t="s">
        <v>103</v>
      </c>
      <c r="M32" s="66" t="s">
        <v>123</v>
      </c>
      <c r="N32" s="66" t="s">
        <v>87</v>
      </c>
      <c r="O32" s="66" t="s">
        <v>57</v>
      </c>
      <c r="P32" s="66" t="s">
        <v>123</v>
      </c>
      <c r="Q32" s="66" t="s">
        <v>123</v>
      </c>
      <c r="R32" s="66" t="s">
        <v>57</v>
      </c>
      <c r="U32" s="66" t="s">
        <v>474</v>
      </c>
      <c r="V32" s="66" t="s">
        <v>185</v>
      </c>
      <c r="W32" s="66" t="s">
        <v>74</v>
      </c>
      <c r="X32" s="66">
        <v>58489</v>
      </c>
      <c r="Y32" s="92">
        <v>0.42</v>
      </c>
    </row>
    <row r="33" spans="4:25" x14ac:dyDescent="0.25">
      <c r="D33" s="66" t="s">
        <v>472</v>
      </c>
      <c r="E33" s="66">
        <v>137396</v>
      </c>
      <c r="F33" s="66">
        <v>58489</v>
      </c>
      <c r="G33" s="66">
        <v>137280</v>
      </c>
      <c r="H33" s="66">
        <v>95502</v>
      </c>
      <c r="I33" s="66">
        <v>68857</v>
      </c>
      <c r="J33" s="66">
        <v>66262</v>
      </c>
      <c r="K33" s="66">
        <v>99078</v>
      </c>
      <c r="L33" s="66">
        <v>41051</v>
      </c>
      <c r="M33" s="66">
        <v>76621</v>
      </c>
      <c r="N33" s="66">
        <v>84318</v>
      </c>
      <c r="O33" s="66">
        <v>52876</v>
      </c>
      <c r="P33" s="66">
        <v>74871</v>
      </c>
      <c r="Q33" s="66">
        <v>56561</v>
      </c>
      <c r="R33" s="66">
        <v>78627</v>
      </c>
      <c r="U33" s="66" t="s">
        <v>475</v>
      </c>
      <c r="V33" s="66" t="s">
        <v>93</v>
      </c>
      <c r="W33" s="66" t="s">
        <v>87</v>
      </c>
      <c r="X33" s="66">
        <v>137280</v>
      </c>
      <c r="Y33" s="92">
        <v>0.28999999999999998</v>
      </c>
    </row>
    <row r="34" spans="4:25" x14ac:dyDescent="0.25">
      <c r="D34" s="91" t="s">
        <v>536</v>
      </c>
      <c r="E34" s="92">
        <v>0.46</v>
      </c>
      <c r="F34" s="92">
        <v>0.39</v>
      </c>
      <c r="G34" s="92">
        <v>0.22</v>
      </c>
      <c r="H34" s="92">
        <v>0.11</v>
      </c>
      <c r="I34" s="92">
        <v>0.37</v>
      </c>
      <c r="J34" s="92">
        <v>0.2</v>
      </c>
      <c r="K34" s="92">
        <v>0.47</v>
      </c>
      <c r="L34" s="92">
        <v>0.49</v>
      </c>
      <c r="M34" s="92">
        <v>0.23</v>
      </c>
      <c r="N34" s="92">
        <v>0.27</v>
      </c>
      <c r="O34" s="92">
        <v>0.3</v>
      </c>
      <c r="P34" s="92">
        <v>0.32</v>
      </c>
      <c r="Q34" s="92">
        <v>0.11</v>
      </c>
      <c r="R34" s="92">
        <v>0.34</v>
      </c>
      <c r="U34" s="66" t="s">
        <v>476</v>
      </c>
      <c r="V34" s="66" t="s">
        <v>80</v>
      </c>
      <c r="W34" s="66" t="s">
        <v>103</v>
      </c>
      <c r="X34" s="66">
        <v>95502</v>
      </c>
      <c r="Y34" s="92">
        <v>0.44</v>
      </c>
    </row>
    <row r="35" spans="4:25" x14ac:dyDescent="0.25">
      <c r="D35" s="67" t="s">
        <v>537</v>
      </c>
      <c r="E35" s="66">
        <v>100</v>
      </c>
      <c r="U35" s="66" t="s">
        <v>477</v>
      </c>
      <c r="V35" s="66" t="s">
        <v>134</v>
      </c>
      <c r="W35" s="66" t="s">
        <v>74</v>
      </c>
      <c r="X35" s="66">
        <v>68857</v>
      </c>
      <c r="Y35" s="92">
        <v>0.35</v>
      </c>
    </row>
    <row r="36" spans="4:25" x14ac:dyDescent="0.25">
      <c r="U36" s="66" t="s">
        <v>478</v>
      </c>
      <c r="V36" s="66" t="s">
        <v>45</v>
      </c>
      <c r="W36" s="66" t="s">
        <v>123</v>
      </c>
      <c r="X36" s="66">
        <v>66262</v>
      </c>
      <c r="Y36" s="92">
        <v>0.42</v>
      </c>
    </row>
    <row r="37" spans="4:25" x14ac:dyDescent="0.25">
      <c r="U37" s="66" t="s">
        <v>479</v>
      </c>
      <c r="V37" s="66" t="s">
        <v>93</v>
      </c>
      <c r="W37" s="66" t="s">
        <v>57</v>
      </c>
      <c r="X37" s="66">
        <v>99078</v>
      </c>
      <c r="Y37" s="92">
        <v>0.44</v>
      </c>
    </row>
    <row r="38" spans="4:25" x14ac:dyDescent="0.25">
      <c r="U38" s="66" t="s">
        <v>480</v>
      </c>
      <c r="V38" s="66" t="s">
        <v>80</v>
      </c>
      <c r="W38" s="66" t="s">
        <v>103</v>
      </c>
      <c r="X38" s="66">
        <v>41051</v>
      </c>
      <c r="Y38" s="92">
        <v>0.19</v>
      </c>
    </row>
    <row r="39" spans="4:25" x14ac:dyDescent="0.25">
      <c r="U39" s="66" t="s">
        <v>481</v>
      </c>
      <c r="V39" s="66" t="s">
        <v>45</v>
      </c>
      <c r="W39" s="66" t="s">
        <v>123</v>
      </c>
      <c r="X39" s="66">
        <v>76621</v>
      </c>
      <c r="Y39" s="92">
        <v>0.5</v>
      </c>
    </row>
    <row r="40" spans="4:25" x14ac:dyDescent="0.25">
      <c r="U40" s="66" t="s">
        <v>482</v>
      </c>
      <c r="V40" s="66" t="s">
        <v>45</v>
      </c>
      <c r="W40" s="66" t="s">
        <v>87</v>
      </c>
      <c r="X40" s="66">
        <v>84318</v>
      </c>
      <c r="Y40" s="92">
        <v>0.3</v>
      </c>
    </row>
    <row r="41" spans="4:25" x14ac:dyDescent="0.25">
      <c r="U41" s="93" t="s">
        <v>544</v>
      </c>
      <c r="V41" s="66" t="s">
        <v>134</v>
      </c>
      <c r="W41" s="66" t="s">
        <v>57</v>
      </c>
      <c r="X41" s="66">
        <v>52876</v>
      </c>
      <c r="Y41" s="92">
        <v>0.47</v>
      </c>
    </row>
    <row r="42" spans="4:25" x14ac:dyDescent="0.25">
      <c r="U42" s="66" t="s">
        <v>484</v>
      </c>
      <c r="V42" s="66" t="s">
        <v>185</v>
      </c>
      <c r="W42" s="66" t="s">
        <v>123</v>
      </c>
      <c r="X42" s="66">
        <v>74871</v>
      </c>
      <c r="Y42" s="92">
        <v>0.47</v>
      </c>
    </row>
    <row r="43" spans="4:25" x14ac:dyDescent="0.25">
      <c r="U43" s="66" t="s">
        <v>485</v>
      </c>
      <c r="V43" s="66" t="s">
        <v>134</v>
      </c>
      <c r="W43" s="66" t="s">
        <v>123</v>
      </c>
      <c r="X43" s="66">
        <v>56561</v>
      </c>
      <c r="Y43" s="92">
        <v>0.46</v>
      </c>
    </row>
    <row r="44" spans="4:25" x14ac:dyDescent="0.25">
      <c r="U44" s="66" t="s">
        <v>486</v>
      </c>
      <c r="V44" s="66" t="s">
        <v>126</v>
      </c>
      <c r="W44" s="66" t="s">
        <v>57</v>
      </c>
      <c r="X44" s="66">
        <v>78627</v>
      </c>
      <c r="Y44" s="92">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3328-67BE-461F-B77C-82DF01B17429}">
  <sheetPr codeName="Sheet11"/>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A71F-C2F0-4666-AA0D-C32AA134A569}">
  <sheetPr codeName="Sheet12"/>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149" t="s">
        <v>545</v>
      </c>
      <c r="B4" s="150"/>
      <c r="C4" s="150"/>
      <c r="D4" s="150"/>
      <c r="E4" s="150"/>
      <c r="F4" s="150"/>
      <c r="H4" s="149" t="s">
        <v>546</v>
      </c>
      <c r="I4" s="150"/>
      <c r="J4" s="150"/>
      <c r="K4" s="150"/>
      <c r="L4" s="150"/>
      <c r="M4" s="150"/>
      <c r="P4" s="149" t="s">
        <v>548</v>
      </c>
      <c r="Q4" s="150"/>
      <c r="R4" s="150"/>
      <c r="S4" s="150"/>
      <c r="T4" s="150"/>
      <c r="U4" s="150"/>
      <c r="W4" s="149" t="s">
        <v>547</v>
      </c>
      <c r="X4" s="150"/>
      <c r="Y4" s="150"/>
      <c r="Z4" s="150"/>
      <c r="AA4" s="150"/>
      <c r="AB4" s="150"/>
    </row>
    <row r="5" spans="1:28" ht="15.75" thickBot="1" x14ac:dyDescent="0.3"/>
    <row r="6" spans="1:28" ht="15.75" x14ac:dyDescent="0.25">
      <c r="A6" s="29" t="s">
        <v>469</v>
      </c>
      <c r="B6" s="206" t="s">
        <v>470</v>
      </c>
      <c r="C6" s="206" t="s">
        <v>6</v>
      </c>
      <c r="D6" s="206" t="s">
        <v>36</v>
      </c>
      <c r="E6" s="205" t="s">
        <v>471</v>
      </c>
      <c r="F6" s="204" t="s">
        <v>472</v>
      </c>
      <c r="H6" t="s">
        <v>469</v>
      </c>
      <c r="I6" t="s">
        <v>470</v>
      </c>
      <c r="J6" t="s">
        <v>6</v>
      </c>
      <c r="K6" t="s">
        <v>36</v>
      </c>
      <c r="L6" t="s">
        <v>471</v>
      </c>
      <c r="M6" t="s">
        <v>472</v>
      </c>
      <c r="P6" s="202"/>
      <c r="Q6" s="201"/>
      <c r="R6" s="201"/>
      <c r="S6" s="201"/>
      <c r="T6" s="200"/>
      <c r="U6" s="199"/>
    </row>
    <row r="7" spans="1:28" x14ac:dyDescent="0.25">
      <c r="A7" s="30">
        <v>46304</v>
      </c>
      <c r="B7" s="31" t="s">
        <v>473</v>
      </c>
      <c r="C7" s="31" t="s">
        <v>93</v>
      </c>
      <c r="D7" s="31" t="s">
        <v>74</v>
      </c>
      <c r="E7" s="32">
        <v>38278</v>
      </c>
      <c r="F7" s="33">
        <v>137196</v>
      </c>
      <c r="H7">
        <v>46304</v>
      </c>
      <c r="I7" t="s">
        <v>473</v>
      </c>
      <c r="J7" t="s">
        <v>93</v>
      </c>
      <c r="K7" t="s">
        <v>74</v>
      </c>
      <c r="L7">
        <v>38278</v>
      </c>
      <c r="M7">
        <v>137196</v>
      </c>
      <c r="P7" s="198"/>
      <c r="Q7" s="63"/>
      <c r="R7" s="63"/>
      <c r="S7" s="63"/>
      <c r="T7" s="196"/>
      <c r="U7" s="195"/>
    </row>
    <row r="8" spans="1:28" x14ac:dyDescent="0.25">
      <c r="A8" s="34">
        <f>A7+1</f>
        <v>46305</v>
      </c>
      <c r="B8" s="31" t="s">
        <v>474</v>
      </c>
      <c r="C8" s="31" t="s">
        <v>185</v>
      </c>
      <c r="D8" s="31" t="s">
        <v>57</v>
      </c>
      <c r="E8" s="32">
        <v>64256</v>
      </c>
      <c r="F8" s="33">
        <v>58289</v>
      </c>
      <c r="H8">
        <f>H7+1</f>
        <v>46305</v>
      </c>
      <c r="I8" t="s">
        <v>474</v>
      </c>
      <c r="J8" t="s">
        <v>185</v>
      </c>
      <c r="K8" t="s">
        <v>57</v>
      </c>
      <c r="L8">
        <v>64256</v>
      </c>
      <c r="M8">
        <v>58289</v>
      </c>
      <c r="P8" s="197"/>
      <c r="Q8" s="63"/>
      <c r="R8" s="63"/>
      <c r="S8" s="63"/>
      <c r="T8" s="196"/>
      <c r="U8" s="195"/>
    </row>
    <row r="9" spans="1:28" x14ac:dyDescent="0.25">
      <c r="A9" s="34">
        <f>A8+1</f>
        <v>46306</v>
      </c>
      <c r="B9" s="31" t="s">
        <v>475</v>
      </c>
      <c r="C9" s="31" t="s">
        <v>93</v>
      </c>
      <c r="D9" s="31" t="s">
        <v>74</v>
      </c>
      <c r="E9" s="32">
        <v>123696</v>
      </c>
      <c r="F9" s="33">
        <v>137080</v>
      </c>
      <c r="H9">
        <f>H8+1</f>
        <v>46306</v>
      </c>
      <c r="I9" t="s">
        <v>475</v>
      </c>
      <c r="J9" t="s">
        <v>93</v>
      </c>
      <c r="K9" t="s">
        <v>74</v>
      </c>
      <c r="L9">
        <v>123696</v>
      </c>
      <c r="M9">
        <v>137080</v>
      </c>
      <c r="P9" s="197"/>
      <c r="Q9" s="63"/>
      <c r="R9" s="63"/>
      <c r="S9" s="63"/>
      <c r="T9" s="196"/>
      <c r="U9" s="195"/>
    </row>
    <row r="10" spans="1:28" x14ac:dyDescent="0.25">
      <c r="A10" s="34">
        <f>A9+1</f>
        <v>46307</v>
      </c>
      <c r="B10" s="31" t="s">
        <v>476</v>
      </c>
      <c r="C10" s="31" t="s">
        <v>80</v>
      </c>
      <c r="D10" s="31" t="s">
        <v>74</v>
      </c>
      <c r="E10" s="32">
        <v>112397</v>
      </c>
      <c r="F10" s="33">
        <v>95302</v>
      </c>
      <c r="H10">
        <f>H9+1</f>
        <v>46307</v>
      </c>
      <c r="I10" t="s">
        <v>476</v>
      </c>
      <c r="J10" t="s">
        <v>80</v>
      </c>
      <c r="K10" t="s">
        <v>74</v>
      </c>
      <c r="L10">
        <v>112397</v>
      </c>
      <c r="M10">
        <v>95302</v>
      </c>
      <c r="P10" s="197"/>
      <c r="Q10" s="63"/>
      <c r="R10" s="63"/>
      <c r="S10" s="63"/>
      <c r="T10" s="196"/>
      <c r="U10" s="195"/>
    </row>
    <row r="11" spans="1:28" x14ac:dyDescent="0.25">
      <c r="A11" s="34">
        <f>A10+1</f>
        <v>46308</v>
      </c>
      <c r="B11" s="31" t="s">
        <v>477</v>
      </c>
      <c r="C11" s="31" t="s">
        <v>134</v>
      </c>
      <c r="D11" s="31" t="s">
        <v>74</v>
      </c>
      <c r="E11" s="32">
        <v>47280</v>
      </c>
      <c r="F11" s="33">
        <v>68657</v>
      </c>
      <c r="H11">
        <f>H10+1</f>
        <v>46308</v>
      </c>
      <c r="I11" t="s">
        <v>477</v>
      </c>
      <c r="J11" t="s">
        <v>134</v>
      </c>
      <c r="K11" t="s">
        <v>74</v>
      </c>
      <c r="L11">
        <v>47280</v>
      </c>
      <c r="M11">
        <v>68657</v>
      </c>
      <c r="P11" s="197"/>
      <c r="Q11" s="63"/>
      <c r="R11" s="63"/>
      <c r="S11" s="63"/>
      <c r="T11" s="196"/>
      <c r="U11" s="195"/>
    </row>
    <row r="12" spans="1:28" x14ac:dyDescent="0.25">
      <c r="A12" s="34">
        <f>A11+1</f>
        <v>46309</v>
      </c>
      <c r="B12" s="31" t="s">
        <v>478</v>
      </c>
      <c r="C12" s="31" t="s">
        <v>45</v>
      </c>
      <c r="D12" s="31" t="s">
        <v>74</v>
      </c>
      <c r="E12" s="32">
        <v>108563</v>
      </c>
      <c r="F12" s="33">
        <v>66062</v>
      </c>
      <c r="H12">
        <f>H11+1</f>
        <v>46309</v>
      </c>
      <c r="I12" t="s">
        <v>478</v>
      </c>
      <c r="J12" t="s">
        <v>45</v>
      </c>
      <c r="K12" t="s">
        <v>74</v>
      </c>
      <c r="L12">
        <v>108563</v>
      </c>
      <c r="M12">
        <v>66062</v>
      </c>
      <c r="P12" s="197"/>
      <c r="Q12" s="63"/>
      <c r="R12" s="63"/>
      <c r="S12" s="63"/>
      <c r="T12" s="196"/>
      <c r="U12" s="195"/>
    </row>
    <row r="13" spans="1:28" x14ac:dyDescent="0.25">
      <c r="A13" s="34">
        <f>A12+1</f>
        <v>46310</v>
      </c>
      <c r="B13" s="31" t="s">
        <v>479</v>
      </c>
      <c r="C13" s="31" t="s">
        <v>93</v>
      </c>
      <c r="D13" s="31" t="s">
        <v>87</v>
      </c>
      <c r="E13" s="32">
        <v>63893</v>
      </c>
      <c r="F13" s="33">
        <v>98878</v>
      </c>
      <c r="H13">
        <f>H12+1</f>
        <v>46310</v>
      </c>
      <c r="I13" t="s">
        <v>479</v>
      </c>
      <c r="J13" t="s">
        <v>93</v>
      </c>
      <c r="K13" t="s">
        <v>87</v>
      </c>
      <c r="L13">
        <v>63893</v>
      </c>
      <c r="M13">
        <v>98878</v>
      </c>
      <c r="P13" s="197"/>
      <c r="Q13" s="63"/>
      <c r="R13" s="63"/>
      <c r="S13" s="63"/>
      <c r="T13" s="196"/>
      <c r="U13" s="195"/>
    </row>
    <row r="14" spans="1:28" x14ac:dyDescent="0.25">
      <c r="A14" s="34">
        <f>A13+1</f>
        <v>46311</v>
      </c>
      <c r="B14" s="31" t="s">
        <v>480</v>
      </c>
      <c r="C14" s="31" t="s">
        <v>80</v>
      </c>
      <c r="D14" s="31" t="s">
        <v>123</v>
      </c>
      <c r="E14" s="32">
        <v>141093</v>
      </c>
      <c r="F14" s="33">
        <v>40851</v>
      </c>
      <c r="H14">
        <f>H13+1</f>
        <v>46311</v>
      </c>
      <c r="I14" t="s">
        <v>480</v>
      </c>
      <c r="J14" t="s">
        <v>80</v>
      </c>
      <c r="K14" t="s">
        <v>123</v>
      </c>
      <c r="L14">
        <v>141093</v>
      </c>
      <c r="M14">
        <v>40851</v>
      </c>
      <c r="P14" s="197"/>
      <c r="Q14" s="63"/>
      <c r="R14" s="63"/>
      <c r="S14" s="63"/>
      <c r="T14" s="196"/>
      <c r="U14" s="195"/>
    </row>
    <row r="15" spans="1:28" x14ac:dyDescent="0.25">
      <c r="A15" s="34">
        <f>A14+1</f>
        <v>46312</v>
      </c>
      <c r="B15" s="31" t="s">
        <v>481</v>
      </c>
      <c r="C15" s="31" t="s">
        <v>45</v>
      </c>
      <c r="D15" s="31" t="s">
        <v>87</v>
      </c>
      <c r="E15" s="32">
        <v>79597</v>
      </c>
      <c r="F15" s="33">
        <v>76421</v>
      </c>
      <c r="H15">
        <f>H14+1</f>
        <v>46312</v>
      </c>
      <c r="I15" t="s">
        <v>481</v>
      </c>
      <c r="J15" t="s">
        <v>45</v>
      </c>
      <c r="K15" t="s">
        <v>87</v>
      </c>
      <c r="L15">
        <v>79597</v>
      </c>
      <c r="M15">
        <v>76421</v>
      </c>
      <c r="P15" s="197"/>
      <c r="Q15" s="63"/>
      <c r="R15" s="63"/>
      <c r="S15" s="63"/>
      <c r="T15" s="196"/>
      <c r="U15" s="195"/>
    </row>
    <row r="16" spans="1:28" x14ac:dyDescent="0.25">
      <c r="A16" s="34">
        <f>A15+1</f>
        <v>46313</v>
      </c>
      <c r="B16" s="31" t="s">
        <v>482</v>
      </c>
      <c r="C16" s="31" t="s">
        <v>45</v>
      </c>
      <c r="D16" s="31" t="s">
        <v>57</v>
      </c>
      <c r="E16" s="32">
        <v>135072</v>
      </c>
      <c r="F16" s="33">
        <v>84118</v>
      </c>
      <c r="H16">
        <f>H15+1</f>
        <v>46313</v>
      </c>
      <c r="I16" t="s">
        <v>482</v>
      </c>
      <c r="J16" t="s">
        <v>45</v>
      </c>
      <c r="K16" t="s">
        <v>57</v>
      </c>
      <c r="L16">
        <v>135072</v>
      </c>
      <c r="M16">
        <v>84118</v>
      </c>
      <c r="P16" s="197"/>
      <c r="Q16" s="63"/>
      <c r="R16" s="63"/>
      <c r="S16" s="63"/>
      <c r="T16" s="196"/>
      <c r="U16" s="195"/>
    </row>
    <row r="17" spans="1:21" x14ac:dyDescent="0.25">
      <c r="A17" s="34">
        <f>A16+1</f>
        <v>46314</v>
      </c>
      <c r="B17" s="31" t="s">
        <v>483</v>
      </c>
      <c r="C17" s="31" t="s">
        <v>134</v>
      </c>
      <c r="D17" s="31" t="s">
        <v>74</v>
      </c>
      <c r="E17" s="32">
        <v>84797</v>
      </c>
      <c r="F17" s="33">
        <v>52676</v>
      </c>
      <c r="H17">
        <f>H16+1</f>
        <v>46314</v>
      </c>
      <c r="I17" t="s">
        <v>483</v>
      </c>
      <c r="J17" t="s">
        <v>134</v>
      </c>
      <c r="K17" t="s">
        <v>74</v>
      </c>
      <c r="L17">
        <v>84797</v>
      </c>
      <c r="M17">
        <v>52676</v>
      </c>
      <c r="P17" s="197"/>
      <c r="Q17" s="63"/>
      <c r="R17" s="63"/>
      <c r="S17" s="63"/>
      <c r="T17" s="196"/>
      <c r="U17" s="195"/>
    </row>
    <row r="18" spans="1:21" x14ac:dyDescent="0.25">
      <c r="A18" s="34">
        <f>A17+1</f>
        <v>46315</v>
      </c>
      <c r="B18" s="31" t="s">
        <v>484</v>
      </c>
      <c r="C18" s="31" t="s">
        <v>185</v>
      </c>
      <c r="D18" s="31" t="s">
        <v>123</v>
      </c>
      <c r="E18" s="32">
        <v>20000</v>
      </c>
      <c r="F18" s="33">
        <v>74671</v>
      </c>
      <c r="H18">
        <f>H17+1</f>
        <v>46315</v>
      </c>
      <c r="I18" t="s">
        <v>484</v>
      </c>
      <c r="J18" t="s">
        <v>185</v>
      </c>
      <c r="K18" t="s">
        <v>123</v>
      </c>
      <c r="L18">
        <v>20000</v>
      </c>
      <c r="M18">
        <v>74671</v>
      </c>
      <c r="P18" s="197"/>
      <c r="Q18" s="63"/>
      <c r="R18" s="63"/>
      <c r="S18" s="63"/>
      <c r="T18" s="196"/>
      <c r="U18" s="195"/>
    </row>
    <row r="19" spans="1:21" x14ac:dyDescent="0.25">
      <c r="A19" s="34">
        <f>A18+1</f>
        <v>46316</v>
      </c>
      <c r="B19" s="31" t="s">
        <v>485</v>
      </c>
      <c r="C19" s="31" t="s">
        <v>134</v>
      </c>
      <c r="D19" s="31" t="s">
        <v>87</v>
      </c>
      <c r="E19" s="32">
        <v>105284</v>
      </c>
      <c r="F19" s="33">
        <v>56361</v>
      </c>
      <c r="H19">
        <f>H18+1</f>
        <v>46316</v>
      </c>
      <c r="I19" t="s">
        <v>485</v>
      </c>
      <c r="J19" t="s">
        <v>134</v>
      </c>
      <c r="K19" t="s">
        <v>87</v>
      </c>
      <c r="L19">
        <v>105284</v>
      </c>
      <c r="M19">
        <v>56361</v>
      </c>
      <c r="P19" s="197"/>
      <c r="Q19" s="63"/>
      <c r="R19" s="63"/>
      <c r="S19" s="63"/>
      <c r="T19" s="196"/>
      <c r="U19" s="195"/>
    </row>
    <row r="20" spans="1:21" x14ac:dyDescent="0.25">
      <c r="A20" s="34">
        <f>A19+1</f>
        <v>46317</v>
      </c>
      <c r="B20" s="31" t="s">
        <v>486</v>
      </c>
      <c r="C20" s="31" t="s">
        <v>126</v>
      </c>
      <c r="D20" s="31" t="s">
        <v>74</v>
      </c>
      <c r="E20" s="32">
        <v>20000</v>
      </c>
      <c r="F20" s="33">
        <v>78427</v>
      </c>
      <c r="H20">
        <f>H19+1</f>
        <v>46317</v>
      </c>
      <c r="I20" t="s">
        <v>486</v>
      </c>
      <c r="J20" t="s">
        <v>126</v>
      </c>
      <c r="K20" t="s">
        <v>74</v>
      </c>
      <c r="L20">
        <v>20000</v>
      </c>
      <c r="M20">
        <v>78427</v>
      </c>
      <c r="P20" s="197"/>
      <c r="Q20" s="63"/>
      <c r="R20" s="63"/>
      <c r="S20" s="63"/>
      <c r="T20" s="196"/>
      <c r="U20" s="195"/>
    </row>
    <row r="21" spans="1:21" x14ac:dyDescent="0.25">
      <c r="A21" s="34">
        <f>A20+1</f>
        <v>46318</v>
      </c>
      <c r="B21" s="31" t="s">
        <v>487</v>
      </c>
      <c r="C21" s="31" t="s">
        <v>93</v>
      </c>
      <c r="D21" s="31" t="s">
        <v>123</v>
      </c>
      <c r="E21" s="32">
        <v>110674</v>
      </c>
      <c r="F21" s="33">
        <v>65203</v>
      </c>
      <c r="H21">
        <f>H20+1</f>
        <v>46318</v>
      </c>
      <c r="I21" t="s">
        <v>487</v>
      </c>
      <c r="J21" t="s">
        <v>93</v>
      </c>
      <c r="K21" t="s">
        <v>123</v>
      </c>
      <c r="L21">
        <v>110674</v>
      </c>
      <c r="M21">
        <v>65203</v>
      </c>
      <c r="P21" s="197"/>
      <c r="Q21" s="63"/>
      <c r="R21" s="63"/>
      <c r="S21" s="63"/>
      <c r="T21" s="196"/>
      <c r="U21" s="195"/>
    </row>
    <row r="22" spans="1:21" x14ac:dyDescent="0.25">
      <c r="A22" s="34">
        <f>A21+1</f>
        <v>46319</v>
      </c>
      <c r="B22" s="31" t="s">
        <v>488</v>
      </c>
      <c r="C22" s="31" t="s">
        <v>93</v>
      </c>
      <c r="D22" s="31" t="s">
        <v>74</v>
      </c>
      <c r="E22" s="32">
        <v>41006</v>
      </c>
      <c r="F22" s="33">
        <v>126673</v>
      </c>
      <c r="H22">
        <f>H21+1</f>
        <v>46319</v>
      </c>
      <c r="I22" t="s">
        <v>488</v>
      </c>
      <c r="J22" t="s">
        <v>93</v>
      </c>
      <c r="K22" t="s">
        <v>74</v>
      </c>
      <c r="L22">
        <v>41006</v>
      </c>
      <c r="M22">
        <v>126673</v>
      </c>
      <c r="P22" s="197"/>
      <c r="Q22" s="63"/>
      <c r="R22" s="63"/>
      <c r="S22" s="63"/>
      <c r="T22" s="196"/>
      <c r="U22" s="195"/>
    </row>
    <row r="23" spans="1:21" x14ac:dyDescent="0.25">
      <c r="A23" s="34">
        <f>A22+1</f>
        <v>46320</v>
      </c>
      <c r="B23" s="31" t="s">
        <v>489</v>
      </c>
      <c r="C23" s="31" t="s">
        <v>45</v>
      </c>
      <c r="D23" s="31" t="s">
        <v>123</v>
      </c>
      <c r="E23" s="32">
        <v>45458</v>
      </c>
      <c r="F23" s="33">
        <v>70512</v>
      </c>
      <c r="H23">
        <f>H22+1</f>
        <v>46320</v>
      </c>
      <c r="I23" t="s">
        <v>489</v>
      </c>
      <c r="J23" t="s">
        <v>45</v>
      </c>
      <c r="K23" t="s">
        <v>123</v>
      </c>
      <c r="L23">
        <v>45458</v>
      </c>
      <c r="M23">
        <v>70512</v>
      </c>
      <c r="P23" s="197"/>
      <c r="Q23" s="63"/>
      <c r="R23" s="63"/>
      <c r="S23" s="63"/>
      <c r="T23" s="196"/>
      <c r="U23" s="195"/>
    </row>
    <row r="24" spans="1:21" x14ac:dyDescent="0.25">
      <c r="A24" s="34">
        <f>A23+1</f>
        <v>46321</v>
      </c>
      <c r="B24" s="31" t="s">
        <v>490</v>
      </c>
      <c r="C24" s="31" t="s">
        <v>134</v>
      </c>
      <c r="D24" s="31" t="s">
        <v>87</v>
      </c>
      <c r="E24" s="32">
        <v>71434</v>
      </c>
      <c r="F24" s="33">
        <v>99429</v>
      </c>
      <c r="H24">
        <f>H23+1</f>
        <v>46321</v>
      </c>
      <c r="I24" t="s">
        <v>490</v>
      </c>
      <c r="J24" t="s">
        <v>134</v>
      </c>
      <c r="K24" t="s">
        <v>87</v>
      </c>
      <c r="L24">
        <v>71434</v>
      </c>
      <c r="M24">
        <v>99429</v>
      </c>
      <c r="P24" s="197"/>
      <c r="Q24" s="63"/>
      <c r="R24" s="63"/>
      <c r="S24" s="63"/>
      <c r="T24" s="196"/>
      <c r="U24" s="195"/>
    </row>
    <row r="25" spans="1:21" x14ac:dyDescent="0.25">
      <c r="A25" s="34">
        <f>A24+1</f>
        <v>46322</v>
      </c>
      <c r="B25" s="31" t="s">
        <v>491</v>
      </c>
      <c r="C25" s="31" t="s">
        <v>93</v>
      </c>
      <c r="D25" s="31" t="s">
        <v>123</v>
      </c>
      <c r="E25" s="32">
        <v>56319</v>
      </c>
      <c r="F25" s="33">
        <v>88520</v>
      </c>
      <c r="H25">
        <f>H24+1</f>
        <v>46322</v>
      </c>
      <c r="I25" t="s">
        <v>491</v>
      </c>
      <c r="J25" t="s">
        <v>93</v>
      </c>
      <c r="K25" t="s">
        <v>123</v>
      </c>
      <c r="L25">
        <v>56319</v>
      </c>
      <c r="M25">
        <v>88520</v>
      </c>
      <c r="P25" s="197"/>
      <c r="Q25" s="63"/>
      <c r="R25" s="63"/>
      <c r="S25" s="63"/>
      <c r="T25" s="196"/>
      <c r="U25" s="195"/>
    </row>
    <row r="26" spans="1:21" x14ac:dyDescent="0.25">
      <c r="A26" s="34">
        <f>A25+1</f>
        <v>46323</v>
      </c>
      <c r="B26" s="31" t="s">
        <v>492</v>
      </c>
      <c r="C26" s="31" t="s">
        <v>185</v>
      </c>
      <c r="D26" s="31" t="s">
        <v>57</v>
      </c>
      <c r="E26" s="32">
        <v>122841</v>
      </c>
      <c r="F26" s="33">
        <v>74993</v>
      </c>
      <c r="H26">
        <f>H25+1</f>
        <v>46323</v>
      </c>
      <c r="I26" t="s">
        <v>492</v>
      </c>
      <c r="J26" t="s">
        <v>185</v>
      </c>
      <c r="K26" t="s">
        <v>57</v>
      </c>
      <c r="L26">
        <v>122841</v>
      </c>
      <c r="M26">
        <v>74993</v>
      </c>
      <c r="P26" s="197"/>
      <c r="Q26" s="63"/>
      <c r="R26" s="63"/>
      <c r="S26" s="63"/>
      <c r="T26" s="196"/>
      <c r="U26" s="195"/>
    </row>
    <row r="27" spans="1:21" x14ac:dyDescent="0.25">
      <c r="A27" s="34">
        <f>A26+1</f>
        <v>46324</v>
      </c>
      <c r="B27" s="31" t="s">
        <v>493</v>
      </c>
      <c r="C27" s="31" t="s">
        <v>93</v>
      </c>
      <c r="D27" s="31" t="s">
        <v>74</v>
      </c>
      <c r="E27" s="32">
        <v>114840</v>
      </c>
      <c r="F27" s="33">
        <v>123227</v>
      </c>
      <c r="H27">
        <f>H26+1</f>
        <v>46324</v>
      </c>
      <c r="I27" t="s">
        <v>493</v>
      </c>
      <c r="J27" t="s">
        <v>93</v>
      </c>
      <c r="K27" t="s">
        <v>74</v>
      </c>
      <c r="L27">
        <v>114840</v>
      </c>
      <c r="M27">
        <v>123227</v>
      </c>
      <c r="P27" s="197"/>
      <c r="Q27" s="63"/>
      <c r="R27" s="63"/>
      <c r="S27" s="63"/>
      <c r="T27" s="196"/>
      <c r="U27" s="195"/>
    </row>
    <row r="28" spans="1:21" x14ac:dyDescent="0.25">
      <c r="A28" s="34">
        <f>A27+1</f>
        <v>46325</v>
      </c>
      <c r="B28" s="31" t="s">
        <v>494</v>
      </c>
      <c r="C28" s="31" t="s">
        <v>45</v>
      </c>
      <c r="D28" s="31" t="s">
        <v>57</v>
      </c>
      <c r="E28" s="32">
        <v>56417</v>
      </c>
      <c r="F28" s="33">
        <v>100589</v>
      </c>
      <c r="H28">
        <f>H27+1</f>
        <v>46325</v>
      </c>
      <c r="I28" t="s">
        <v>494</v>
      </c>
      <c r="J28" t="s">
        <v>45</v>
      </c>
      <c r="K28" t="s">
        <v>57</v>
      </c>
      <c r="L28">
        <v>56417</v>
      </c>
      <c r="M28">
        <v>100589</v>
      </c>
      <c r="P28" s="197"/>
      <c r="Q28" s="63"/>
      <c r="R28" s="63"/>
      <c r="S28" s="63"/>
      <c r="T28" s="196"/>
      <c r="U28" s="195"/>
    </row>
    <row r="29" spans="1:21" x14ac:dyDescent="0.25">
      <c r="A29" s="34">
        <f>A28+1</f>
        <v>46326</v>
      </c>
      <c r="B29" s="31" t="s">
        <v>495</v>
      </c>
      <c r="C29" s="31" t="s">
        <v>126</v>
      </c>
      <c r="D29" s="31" t="s">
        <v>123</v>
      </c>
      <c r="E29" s="32">
        <v>118886</v>
      </c>
      <c r="F29" s="33">
        <v>130198</v>
      </c>
      <c r="H29">
        <f>H28+1</f>
        <v>46326</v>
      </c>
      <c r="I29" t="s">
        <v>495</v>
      </c>
      <c r="J29" t="s">
        <v>126</v>
      </c>
      <c r="K29" t="s">
        <v>123</v>
      </c>
      <c r="L29">
        <v>118886</v>
      </c>
      <c r="M29">
        <v>130198</v>
      </c>
      <c r="P29" s="197"/>
      <c r="Q29" s="63"/>
      <c r="R29" s="63"/>
      <c r="S29" s="63"/>
      <c r="T29" s="196"/>
      <c r="U29" s="195"/>
    </row>
    <row r="30" spans="1:21" x14ac:dyDescent="0.25">
      <c r="A30" s="34">
        <f>A29+1</f>
        <v>46327</v>
      </c>
      <c r="B30" s="31" t="s">
        <v>496</v>
      </c>
      <c r="C30" s="31" t="s">
        <v>80</v>
      </c>
      <c r="D30" s="31" t="s">
        <v>57</v>
      </c>
      <c r="E30" s="32">
        <v>124733</v>
      </c>
      <c r="F30" s="33">
        <v>82504</v>
      </c>
      <c r="H30">
        <f>H29+1</f>
        <v>46327</v>
      </c>
      <c r="I30" t="s">
        <v>496</v>
      </c>
      <c r="J30" t="s">
        <v>80</v>
      </c>
      <c r="K30" t="s">
        <v>57</v>
      </c>
      <c r="L30">
        <v>124733</v>
      </c>
      <c r="M30">
        <v>82504</v>
      </c>
      <c r="P30" s="197"/>
      <c r="Q30" s="63"/>
      <c r="R30" s="63"/>
      <c r="S30" s="63"/>
      <c r="T30" s="196"/>
      <c r="U30" s="195"/>
    </row>
    <row r="31" spans="1:21" x14ac:dyDescent="0.25">
      <c r="A31" s="34">
        <f>A30+1</f>
        <v>46328</v>
      </c>
      <c r="B31" s="31" t="s">
        <v>497</v>
      </c>
      <c r="C31" s="31" t="s">
        <v>134</v>
      </c>
      <c r="D31" s="31" t="s">
        <v>57</v>
      </c>
      <c r="E31" s="32">
        <v>142715</v>
      </c>
      <c r="F31" s="33">
        <v>44207</v>
      </c>
      <c r="H31">
        <f>H30+1</f>
        <v>46328</v>
      </c>
      <c r="I31" t="s">
        <v>497</v>
      </c>
      <c r="J31" t="s">
        <v>134</v>
      </c>
      <c r="K31" t="s">
        <v>57</v>
      </c>
      <c r="L31">
        <v>142715</v>
      </c>
      <c r="M31">
        <v>44207</v>
      </c>
      <c r="P31" s="197"/>
      <c r="Q31" s="63"/>
      <c r="R31" s="63"/>
      <c r="S31" s="63"/>
      <c r="T31" s="196"/>
      <c r="U31" s="195"/>
    </row>
    <row r="32" spans="1:21" x14ac:dyDescent="0.25">
      <c r="A32" s="34">
        <f>A31+1</f>
        <v>46329</v>
      </c>
      <c r="B32" s="31" t="s">
        <v>498</v>
      </c>
      <c r="C32" s="31" t="s">
        <v>185</v>
      </c>
      <c r="D32" s="31" t="s">
        <v>87</v>
      </c>
      <c r="E32" s="32">
        <v>70093</v>
      </c>
      <c r="F32" s="33">
        <v>48675</v>
      </c>
      <c r="H32">
        <f>H31+1</f>
        <v>46329</v>
      </c>
      <c r="I32" t="s">
        <v>498</v>
      </c>
      <c r="J32" t="s">
        <v>185</v>
      </c>
      <c r="K32" t="s">
        <v>87</v>
      </c>
      <c r="L32">
        <v>70093</v>
      </c>
      <c r="M32">
        <v>48675</v>
      </c>
      <c r="P32" s="197"/>
      <c r="Q32" s="63"/>
      <c r="R32" s="63"/>
      <c r="S32" s="63"/>
      <c r="T32" s="196"/>
      <c r="U32" s="195"/>
    </row>
    <row r="33" spans="1:21" x14ac:dyDescent="0.25">
      <c r="A33" s="34">
        <f>A32+1</f>
        <v>46330</v>
      </c>
      <c r="B33" s="31" t="s">
        <v>499</v>
      </c>
      <c r="C33" s="31" t="s">
        <v>45</v>
      </c>
      <c r="D33" s="31" t="s">
        <v>123</v>
      </c>
      <c r="E33" s="32">
        <v>62869</v>
      </c>
      <c r="F33" s="33">
        <v>125909</v>
      </c>
      <c r="H33">
        <f>H32+1</f>
        <v>46330</v>
      </c>
      <c r="I33" t="s">
        <v>499</v>
      </c>
      <c r="J33" t="s">
        <v>45</v>
      </c>
      <c r="K33" t="s">
        <v>123</v>
      </c>
      <c r="L33">
        <v>62869</v>
      </c>
      <c r="M33">
        <v>125909</v>
      </c>
      <c r="P33" s="197"/>
      <c r="Q33" s="63"/>
      <c r="R33" s="63"/>
      <c r="S33" s="63"/>
      <c r="T33" s="196"/>
      <c r="U33" s="195"/>
    </row>
    <row r="34" spans="1:21" x14ac:dyDescent="0.25">
      <c r="A34" s="34">
        <f>A33+1</f>
        <v>46331</v>
      </c>
      <c r="B34" s="31" t="s">
        <v>500</v>
      </c>
      <c r="C34" s="31" t="s">
        <v>126</v>
      </c>
      <c r="D34" s="31" t="s">
        <v>87</v>
      </c>
      <c r="E34" s="32">
        <v>119259</v>
      </c>
      <c r="F34" s="33">
        <v>100142</v>
      </c>
      <c r="H34">
        <f>H33+1</f>
        <v>46331</v>
      </c>
      <c r="I34" t="s">
        <v>500</v>
      </c>
      <c r="J34" t="s">
        <v>126</v>
      </c>
      <c r="K34" t="s">
        <v>87</v>
      </c>
      <c r="L34">
        <v>119259</v>
      </c>
      <c r="M34">
        <v>100142</v>
      </c>
      <c r="P34" s="197"/>
      <c r="Q34" s="63"/>
      <c r="R34" s="63"/>
      <c r="S34" s="63"/>
      <c r="T34" s="196"/>
      <c r="U34" s="195"/>
    </row>
    <row r="35" spans="1:21" x14ac:dyDescent="0.25">
      <c r="A35" s="34">
        <f>A34+1</f>
        <v>46332</v>
      </c>
      <c r="B35" s="31" t="s">
        <v>501</v>
      </c>
      <c r="C35" s="31" t="s">
        <v>45</v>
      </c>
      <c r="D35" s="31" t="s">
        <v>123</v>
      </c>
      <c r="E35" s="32">
        <v>53301</v>
      </c>
      <c r="F35" s="33">
        <v>72325</v>
      </c>
      <c r="H35">
        <f>H34+1</f>
        <v>46332</v>
      </c>
      <c r="I35" t="s">
        <v>501</v>
      </c>
      <c r="J35" t="s">
        <v>45</v>
      </c>
      <c r="K35" t="s">
        <v>123</v>
      </c>
      <c r="L35">
        <v>53301</v>
      </c>
      <c r="M35">
        <v>72325</v>
      </c>
      <c r="P35" s="197"/>
      <c r="Q35" s="63"/>
      <c r="R35" s="63"/>
      <c r="S35" s="63"/>
      <c r="T35" s="196"/>
      <c r="U35" s="195"/>
    </row>
    <row r="36" spans="1:21" x14ac:dyDescent="0.25">
      <c r="A36" s="34">
        <f>A35+1</f>
        <v>46333</v>
      </c>
      <c r="B36" s="31" t="s">
        <v>502</v>
      </c>
      <c r="C36" s="31" t="s">
        <v>93</v>
      </c>
      <c r="D36" s="31" t="s">
        <v>123</v>
      </c>
      <c r="E36" s="32">
        <v>132912</v>
      </c>
      <c r="F36" s="33">
        <v>116622</v>
      </c>
      <c r="H36">
        <f>H35+1</f>
        <v>46333</v>
      </c>
      <c r="I36" t="s">
        <v>502</v>
      </c>
      <c r="J36" t="s">
        <v>93</v>
      </c>
      <c r="K36" t="s">
        <v>123</v>
      </c>
      <c r="L36">
        <v>132912</v>
      </c>
      <c r="M36">
        <v>116622</v>
      </c>
      <c r="P36" s="197"/>
      <c r="Q36" s="63"/>
      <c r="R36" s="63"/>
      <c r="S36" s="63"/>
      <c r="T36" s="196"/>
      <c r="U36" s="195"/>
    </row>
    <row r="37" spans="1:21" x14ac:dyDescent="0.25">
      <c r="A37" s="34">
        <f>A36+1</f>
        <v>46334</v>
      </c>
      <c r="B37" s="31" t="s">
        <v>503</v>
      </c>
      <c r="C37" s="31" t="s">
        <v>126</v>
      </c>
      <c r="D37" s="31" t="s">
        <v>87</v>
      </c>
      <c r="E37" s="32">
        <v>82447</v>
      </c>
      <c r="F37" s="33">
        <v>68746</v>
      </c>
      <c r="H37">
        <f>H36+1</f>
        <v>46334</v>
      </c>
      <c r="I37" t="s">
        <v>503</v>
      </c>
      <c r="J37" t="s">
        <v>126</v>
      </c>
      <c r="K37" t="s">
        <v>87</v>
      </c>
      <c r="L37">
        <v>82447</v>
      </c>
      <c r="M37">
        <v>68746</v>
      </c>
      <c r="P37" s="197"/>
      <c r="Q37" s="63"/>
      <c r="R37" s="63"/>
      <c r="S37" s="63"/>
      <c r="T37" s="196"/>
      <c r="U37" s="195"/>
    </row>
    <row r="38" spans="1:21" x14ac:dyDescent="0.25">
      <c r="A38" s="34">
        <f>A37+1</f>
        <v>46335</v>
      </c>
      <c r="B38" s="31" t="s">
        <v>504</v>
      </c>
      <c r="C38" s="31" t="s">
        <v>45</v>
      </c>
      <c r="D38" s="31" t="s">
        <v>87</v>
      </c>
      <c r="E38" s="32">
        <v>46915</v>
      </c>
      <c r="F38" s="33">
        <v>139061</v>
      </c>
      <c r="H38">
        <f>H37+1</f>
        <v>46335</v>
      </c>
      <c r="I38" t="s">
        <v>504</v>
      </c>
      <c r="J38" t="s">
        <v>45</v>
      </c>
      <c r="K38" t="s">
        <v>87</v>
      </c>
      <c r="L38">
        <v>46915</v>
      </c>
      <c r="M38">
        <v>139061</v>
      </c>
      <c r="P38" s="197"/>
      <c r="Q38" s="63"/>
      <c r="R38" s="63"/>
      <c r="S38" s="63"/>
      <c r="T38" s="196"/>
      <c r="U38" s="195"/>
    </row>
    <row r="39" spans="1:21" x14ac:dyDescent="0.25">
      <c r="A39" s="34">
        <f>A38+1</f>
        <v>46336</v>
      </c>
      <c r="B39" s="31" t="s">
        <v>505</v>
      </c>
      <c r="C39" s="31" t="s">
        <v>134</v>
      </c>
      <c r="D39" s="31" t="s">
        <v>74</v>
      </c>
      <c r="E39" s="32">
        <v>55033</v>
      </c>
      <c r="F39" s="33">
        <v>122240</v>
      </c>
      <c r="H39">
        <f>H38+1</f>
        <v>46336</v>
      </c>
      <c r="I39" t="s">
        <v>505</v>
      </c>
      <c r="J39" t="s">
        <v>134</v>
      </c>
      <c r="K39" t="s">
        <v>74</v>
      </c>
      <c r="L39">
        <v>55033</v>
      </c>
      <c r="M39">
        <v>122240</v>
      </c>
      <c r="P39" s="197"/>
      <c r="Q39" s="63"/>
      <c r="R39" s="63"/>
      <c r="S39" s="63"/>
      <c r="T39" s="196"/>
      <c r="U39" s="195"/>
    </row>
    <row r="40" spans="1:21" x14ac:dyDescent="0.25">
      <c r="A40" s="34">
        <f>A39+1</f>
        <v>46337</v>
      </c>
      <c r="B40" s="31" t="s">
        <v>506</v>
      </c>
      <c r="C40" s="31" t="s">
        <v>45</v>
      </c>
      <c r="D40" s="31" t="s">
        <v>87</v>
      </c>
      <c r="E40" s="32">
        <v>113172</v>
      </c>
      <c r="F40" s="33">
        <v>48326</v>
      </c>
      <c r="H40">
        <f>H39+1</f>
        <v>46337</v>
      </c>
      <c r="I40" t="s">
        <v>506</v>
      </c>
      <c r="J40" t="s">
        <v>45</v>
      </c>
      <c r="K40" t="s">
        <v>87</v>
      </c>
      <c r="L40">
        <v>113172</v>
      </c>
      <c r="M40">
        <v>48326</v>
      </c>
      <c r="P40" s="197"/>
      <c r="Q40" s="63"/>
      <c r="R40" s="63"/>
      <c r="S40" s="63"/>
      <c r="T40" s="196"/>
      <c r="U40" s="195"/>
    </row>
    <row r="41" spans="1:21" x14ac:dyDescent="0.25">
      <c r="A41" s="34">
        <f>A40+1</f>
        <v>46338</v>
      </c>
      <c r="B41" s="31" t="s">
        <v>507</v>
      </c>
      <c r="C41" s="31" t="s">
        <v>126</v>
      </c>
      <c r="D41" s="31" t="s">
        <v>87</v>
      </c>
      <c r="E41" s="32">
        <v>113104</v>
      </c>
      <c r="F41" s="33">
        <v>101348</v>
      </c>
      <c r="H41">
        <f>H40+1</f>
        <v>46338</v>
      </c>
      <c r="I41" t="s">
        <v>507</v>
      </c>
      <c r="J41" t="s">
        <v>126</v>
      </c>
      <c r="K41" t="s">
        <v>87</v>
      </c>
      <c r="L41">
        <v>113104</v>
      </c>
      <c r="M41">
        <v>101348</v>
      </c>
      <c r="P41" s="197"/>
      <c r="Q41" s="63"/>
      <c r="R41" s="63"/>
      <c r="S41" s="63"/>
      <c r="T41" s="196"/>
      <c r="U41" s="195"/>
    </row>
    <row r="42" spans="1:21" x14ac:dyDescent="0.25">
      <c r="A42" s="34">
        <f>A41+1</f>
        <v>46339</v>
      </c>
      <c r="B42" s="31" t="s">
        <v>508</v>
      </c>
      <c r="C42" s="31" t="s">
        <v>80</v>
      </c>
      <c r="D42" s="31" t="s">
        <v>123</v>
      </c>
      <c r="E42" s="32">
        <v>20000</v>
      </c>
      <c r="F42" s="33">
        <v>41504</v>
      </c>
      <c r="H42">
        <f>H41+1</f>
        <v>46339</v>
      </c>
      <c r="I42" t="s">
        <v>508</v>
      </c>
      <c r="J42" t="s">
        <v>80</v>
      </c>
      <c r="K42" t="s">
        <v>123</v>
      </c>
      <c r="L42">
        <v>20000</v>
      </c>
      <c r="M42">
        <v>41504</v>
      </c>
      <c r="P42" s="197"/>
      <c r="Q42" s="63"/>
      <c r="R42" s="63"/>
      <c r="S42" s="63"/>
      <c r="T42" s="196"/>
      <c r="U42" s="195"/>
    </row>
    <row r="43" spans="1:21" x14ac:dyDescent="0.25">
      <c r="A43" s="34">
        <f>A42+1</f>
        <v>46340</v>
      </c>
      <c r="B43" s="31" t="s">
        <v>509</v>
      </c>
      <c r="C43" s="31" t="s">
        <v>93</v>
      </c>
      <c r="D43" s="31" t="s">
        <v>74</v>
      </c>
      <c r="E43" s="32">
        <v>124353</v>
      </c>
      <c r="F43" s="33">
        <v>109163</v>
      </c>
      <c r="H43">
        <f>H42+1</f>
        <v>46340</v>
      </c>
      <c r="I43" t="s">
        <v>509</v>
      </c>
      <c r="J43" t="s">
        <v>93</v>
      </c>
      <c r="K43" t="s">
        <v>74</v>
      </c>
      <c r="L43">
        <v>124353</v>
      </c>
      <c r="M43">
        <v>109163</v>
      </c>
      <c r="P43" s="197"/>
      <c r="Q43" s="63"/>
      <c r="R43" s="63"/>
      <c r="S43" s="63"/>
      <c r="T43" s="196"/>
      <c r="U43" s="195"/>
    </row>
    <row r="44" spans="1:21" x14ac:dyDescent="0.25">
      <c r="A44" s="34">
        <f>A43+1</f>
        <v>46341</v>
      </c>
      <c r="B44" s="31" t="s">
        <v>510</v>
      </c>
      <c r="C44" s="31" t="s">
        <v>185</v>
      </c>
      <c r="D44" s="31" t="s">
        <v>123</v>
      </c>
      <c r="E44" s="32">
        <v>49621</v>
      </c>
      <c r="F44" s="33">
        <v>78469</v>
      </c>
      <c r="H44">
        <f>H43+1</f>
        <v>46341</v>
      </c>
      <c r="I44" t="s">
        <v>510</v>
      </c>
      <c r="J44" t="s">
        <v>185</v>
      </c>
      <c r="K44" t="s">
        <v>123</v>
      </c>
      <c r="L44">
        <v>49621</v>
      </c>
      <c r="M44">
        <v>78469</v>
      </c>
      <c r="P44" s="197"/>
      <c r="Q44" s="63"/>
      <c r="R44" s="63"/>
      <c r="S44" s="63"/>
      <c r="T44" s="196"/>
      <c r="U44" s="195"/>
    </row>
    <row r="45" spans="1:21" x14ac:dyDescent="0.25">
      <c r="A45" s="34">
        <f>A44+1</f>
        <v>46342</v>
      </c>
      <c r="B45" s="31" t="s">
        <v>511</v>
      </c>
      <c r="C45" s="31" t="s">
        <v>126</v>
      </c>
      <c r="D45" s="31" t="s">
        <v>57</v>
      </c>
      <c r="E45" s="32">
        <v>94470</v>
      </c>
      <c r="F45" s="33">
        <v>40425</v>
      </c>
      <c r="H45">
        <f>H44+1</f>
        <v>46342</v>
      </c>
      <c r="I45" t="s">
        <v>511</v>
      </c>
      <c r="J45" t="s">
        <v>126</v>
      </c>
      <c r="K45" t="s">
        <v>57</v>
      </c>
      <c r="L45">
        <v>94470</v>
      </c>
      <c r="M45">
        <v>40425</v>
      </c>
      <c r="P45" s="197"/>
      <c r="Q45" s="63"/>
      <c r="R45" s="63"/>
      <c r="S45" s="63"/>
      <c r="T45" s="196"/>
      <c r="U45" s="195"/>
    </row>
    <row r="46" spans="1:21" x14ac:dyDescent="0.25">
      <c r="A46" s="34">
        <f>A45+1</f>
        <v>46343</v>
      </c>
      <c r="B46" s="31" t="s">
        <v>512</v>
      </c>
      <c r="C46" s="31" t="s">
        <v>93</v>
      </c>
      <c r="D46" s="31" t="s">
        <v>123</v>
      </c>
      <c r="E46" s="32">
        <v>100612</v>
      </c>
      <c r="F46" s="33">
        <v>139871</v>
      </c>
      <c r="H46">
        <f>H45+1</f>
        <v>46343</v>
      </c>
      <c r="I46" t="s">
        <v>512</v>
      </c>
      <c r="J46" t="s">
        <v>93</v>
      </c>
      <c r="K46" t="s">
        <v>123</v>
      </c>
      <c r="L46">
        <v>100612</v>
      </c>
      <c r="M46">
        <v>139871</v>
      </c>
      <c r="P46" s="197"/>
      <c r="Q46" s="63"/>
      <c r="R46" s="63"/>
      <c r="S46" s="63"/>
      <c r="T46" s="196"/>
      <c r="U46" s="195"/>
    </row>
    <row r="47" spans="1:21" x14ac:dyDescent="0.25">
      <c r="A47" s="34">
        <f>A46+1</f>
        <v>46344</v>
      </c>
      <c r="B47" s="31" t="s">
        <v>513</v>
      </c>
      <c r="C47" s="31" t="s">
        <v>45</v>
      </c>
      <c r="D47" s="31" t="s">
        <v>74</v>
      </c>
      <c r="E47" s="32">
        <v>149100</v>
      </c>
      <c r="F47" s="33">
        <v>121959</v>
      </c>
      <c r="H47">
        <f>H46+1</f>
        <v>46344</v>
      </c>
      <c r="I47" t="s">
        <v>513</v>
      </c>
      <c r="J47" t="s">
        <v>45</v>
      </c>
      <c r="K47" t="s">
        <v>74</v>
      </c>
      <c r="L47">
        <v>149100</v>
      </c>
      <c r="M47">
        <v>121959</v>
      </c>
      <c r="P47" s="197"/>
      <c r="Q47" s="63"/>
      <c r="R47" s="63"/>
      <c r="S47" s="63"/>
      <c r="T47" s="196"/>
      <c r="U47" s="195"/>
    </row>
    <row r="48" spans="1:21" x14ac:dyDescent="0.25">
      <c r="A48" s="34">
        <f>A47+1</f>
        <v>46345</v>
      </c>
      <c r="B48" s="31" t="s">
        <v>514</v>
      </c>
      <c r="C48" s="31" t="s">
        <v>185</v>
      </c>
      <c r="D48" s="31" t="s">
        <v>57</v>
      </c>
      <c r="E48" s="32">
        <v>55032</v>
      </c>
      <c r="F48" s="33">
        <v>89009</v>
      </c>
      <c r="H48">
        <f>H47+1</f>
        <v>46345</v>
      </c>
      <c r="I48" t="s">
        <v>514</v>
      </c>
      <c r="J48" t="s">
        <v>185</v>
      </c>
      <c r="K48" t="s">
        <v>57</v>
      </c>
      <c r="L48">
        <v>55032</v>
      </c>
      <c r="M48">
        <v>89009</v>
      </c>
      <c r="P48" s="197"/>
      <c r="Q48" s="63"/>
      <c r="R48" s="63"/>
      <c r="S48" s="63"/>
      <c r="T48" s="196"/>
      <c r="U48" s="195"/>
    </row>
    <row r="49" spans="1:21" x14ac:dyDescent="0.25">
      <c r="A49" s="34">
        <f>A48+1</f>
        <v>46346</v>
      </c>
      <c r="B49" s="31" t="s">
        <v>515</v>
      </c>
      <c r="C49" s="31" t="s">
        <v>45</v>
      </c>
      <c r="D49" s="31" t="s">
        <v>74</v>
      </c>
      <c r="E49" s="32">
        <v>113504</v>
      </c>
      <c r="F49" s="33">
        <v>82487</v>
      </c>
      <c r="H49">
        <f>H48+1</f>
        <v>46346</v>
      </c>
      <c r="I49" t="s">
        <v>515</v>
      </c>
      <c r="J49" t="s">
        <v>45</v>
      </c>
      <c r="K49" t="s">
        <v>74</v>
      </c>
      <c r="L49">
        <v>113504</v>
      </c>
      <c r="M49">
        <v>82487</v>
      </c>
      <c r="P49" s="197"/>
      <c r="Q49" s="63"/>
      <c r="R49" s="63"/>
      <c r="S49" s="63"/>
      <c r="T49" s="196"/>
      <c r="U49" s="195"/>
    </row>
    <row r="50" spans="1:21" x14ac:dyDescent="0.25">
      <c r="A50" s="34">
        <f>A49+1</f>
        <v>46347</v>
      </c>
      <c r="B50" s="31" t="s">
        <v>516</v>
      </c>
      <c r="C50" s="31" t="s">
        <v>126</v>
      </c>
      <c r="D50" s="31" t="s">
        <v>74</v>
      </c>
      <c r="E50" s="32">
        <v>49662</v>
      </c>
      <c r="F50" s="33">
        <v>87576</v>
      </c>
      <c r="H50">
        <f>H49+1</f>
        <v>46347</v>
      </c>
      <c r="I50" t="s">
        <v>516</v>
      </c>
      <c r="J50" t="s">
        <v>126</v>
      </c>
      <c r="K50" t="s">
        <v>74</v>
      </c>
      <c r="L50">
        <v>49662</v>
      </c>
      <c r="M50">
        <v>87576</v>
      </c>
      <c r="P50" s="197"/>
      <c r="Q50" s="63"/>
      <c r="R50" s="63"/>
      <c r="S50" s="63"/>
      <c r="T50" s="196"/>
      <c r="U50" s="195"/>
    </row>
    <row r="51" spans="1:21" x14ac:dyDescent="0.25">
      <c r="A51" s="34">
        <f>A50+1</f>
        <v>46348</v>
      </c>
      <c r="B51" s="31" t="s">
        <v>517</v>
      </c>
      <c r="C51" s="31" t="s">
        <v>185</v>
      </c>
      <c r="D51" s="31" t="s">
        <v>57</v>
      </c>
      <c r="E51" s="32">
        <v>42592</v>
      </c>
      <c r="F51" s="33">
        <v>71571</v>
      </c>
      <c r="H51">
        <f>H50+1</f>
        <v>46348</v>
      </c>
      <c r="I51" t="s">
        <v>517</v>
      </c>
      <c r="J51" t="s">
        <v>185</v>
      </c>
      <c r="K51" t="s">
        <v>57</v>
      </c>
      <c r="L51">
        <v>42592</v>
      </c>
      <c r="M51">
        <v>71571</v>
      </c>
      <c r="P51" s="197"/>
      <c r="Q51" s="63"/>
      <c r="R51" s="63"/>
      <c r="S51" s="63"/>
      <c r="T51" s="196"/>
      <c r="U51" s="195"/>
    </row>
    <row r="52" spans="1:21" x14ac:dyDescent="0.25">
      <c r="A52" s="34">
        <f>A51+1</f>
        <v>46349</v>
      </c>
      <c r="B52" s="31" t="s">
        <v>518</v>
      </c>
      <c r="C52" s="31" t="s">
        <v>80</v>
      </c>
      <c r="D52" s="31" t="s">
        <v>74</v>
      </c>
      <c r="E52" s="32">
        <v>46226</v>
      </c>
      <c r="F52" s="33">
        <v>135932</v>
      </c>
      <c r="H52">
        <f>H51+1</f>
        <v>46349</v>
      </c>
      <c r="I52" t="s">
        <v>518</v>
      </c>
      <c r="J52" t="s">
        <v>80</v>
      </c>
      <c r="K52" t="s">
        <v>74</v>
      </c>
      <c r="L52">
        <v>46226</v>
      </c>
      <c r="M52">
        <v>135932</v>
      </c>
      <c r="P52" s="197"/>
      <c r="Q52" s="63"/>
      <c r="R52" s="63"/>
      <c r="S52" s="63"/>
      <c r="T52" s="196"/>
      <c r="U52" s="195"/>
    </row>
    <row r="53" spans="1:21" x14ac:dyDescent="0.25">
      <c r="A53" s="34">
        <f>A52+1</f>
        <v>46350</v>
      </c>
      <c r="B53" s="31" t="s">
        <v>519</v>
      </c>
      <c r="C53" s="31" t="s">
        <v>126</v>
      </c>
      <c r="D53" s="31" t="s">
        <v>74</v>
      </c>
      <c r="E53" s="32">
        <v>20000</v>
      </c>
      <c r="F53" s="33">
        <v>109822</v>
      </c>
      <c r="H53">
        <f>H52+1</f>
        <v>46350</v>
      </c>
      <c r="I53" t="s">
        <v>519</v>
      </c>
      <c r="J53" t="s">
        <v>126</v>
      </c>
      <c r="K53" t="s">
        <v>74</v>
      </c>
      <c r="L53">
        <v>20000</v>
      </c>
      <c r="M53">
        <v>109822</v>
      </c>
      <c r="P53" s="197"/>
      <c r="Q53" s="63"/>
      <c r="R53" s="63"/>
      <c r="S53" s="63"/>
      <c r="T53" s="196"/>
      <c r="U53" s="195"/>
    </row>
    <row r="54" spans="1:21" x14ac:dyDescent="0.25">
      <c r="A54" s="34">
        <f>A53+1</f>
        <v>46351</v>
      </c>
      <c r="B54" s="31" t="s">
        <v>520</v>
      </c>
      <c r="C54" s="31" t="s">
        <v>45</v>
      </c>
      <c r="D54" s="31" t="s">
        <v>57</v>
      </c>
      <c r="E54" s="32">
        <v>121474</v>
      </c>
      <c r="F54" s="33">
        <v>102296</v>
      </c>
      <c r="H54">
        <f>H53+1</f>
        <v>46351</v>
      </c>
      <c r="I54" t="s">
        <v>520</v>
      </c>
      <c r="J54" t="s">
        <v>45</v>
      </c>
      <c r="K54" t="s">
        <v>57</v>
      </c>
      <c r="L54">
        <v>121474</v>
      </c>
      <c r="M54">
        <v>102296</v>
      </c>
      <c r="P54" s="197"/>
      <c r="Q54" s="63"/>
      <c r="R54" s="63"/>
      <c r="S54" s="63"/>
      <c r="T54" s="196"/>
      <c r="U54" s="195"/>
    </row>
    <row r="55" spans="1:21" x14ac:dyDescent="0.25">
      <c r="A55" s="34">
        <f>A54+1</f>
        <v>46352</v>
      </c>
      <c r="B55" s="31" t="s">
        <v>521</v>
      </c>
      <c r="C55" s="31" t="s">
        <v>80</v>
      </c>
      <c r="D55" s="31" t="s">
        <v>57</v>
      </c>
      <c r="E55" s="32">
        <v>69741</v>
      </c>
      <c r="F55" s="33">
        <v>109163</v>
      </c>
      <c r="H55">
        <f>H54+1</f>
        <v>46352</v>
      </c>
      <c r="I55" t="s">
        <v>521</v>
      </c>
      <c r="J55" t="s">
        <v>80</v>
      </c>
      <c r="K55" t="s">
        <v>57</v>
      </c>
      <c r="L55">
        <v>69741</v>
      </c>
      <c r="M55">
        <v>109163</v>
      </c>
      <c r="P55" s="197"/>
      <c r="Q55" s="63"/>
      <c r="R55" s="63"/>
      <c r="S55" s="63"/>
      <c r="T55" s="196"/>
      <c r="U55" s="195"/>
    </row>
    <row r="56" spans="1:21" ht="15.75" thickBot="1" x14ac:dyDescent="0.3">
      <c r="A56" s="35">
        <f>A55+1</f>
        <v>46353</v>
      </c>
      <c r="B56" s="36" t="s">
        <v>522</v>
      </c>
      <c r="C56" s="36" t="s">
        <v>80</v>
      </c>
      <c r="D56" s="36" t="s">
        <v>87</v>
      </c>
      <c r="E56" s="37">
        <v>62760</v>
      </c>
      <c r="F56" s="38">
        <v>110686</v>
      </c>
      <c r="H56">
        <f>H55+1</f>
        <v>46353</v>
      </c>
      <c r="I56" t="s">
        <v>522</v>
      </c>
      <c r="J56" t="s">
        <v>80</v>
      </c>
      <c r="K56" t="s">
        <v>87</v>
      </c>
      <c r="L56">
        <v>62760</v>
      </c>
      <c r="M56">
        <v>110686</v>
      </c>
      <c r="P56" s="194"/>
      <c r="Q56" s="90"/>
      <c r="R56" s="90"/>
      <c r="S56" s="90"/>
      <c r="T56" s="193"/>
      <c r="U56" s="192"/>
    </row>
  </sheetData>
  <mergeCells count="4">
    <mergeCell ref="A4:F4"/>
    <mergeCell ref="H4:M4"/>
    <mergeCell ref="P4:U4"/>
    <mergeCell ref="W4:AB4"/>
  </mergeCells>
  <conditionalFormatting sqref="E7:E56">
    <cfRule type="cellIs" dxfId="29" priority="23" operator="equal">
      <formula>20000</formula>
    </cfRule>
    <cfRule type="cellIs" dxfId="28" priority="24" operator="between">
      <formula>50000</formula>
      <formula>100000</formula>
    </cfRule>
    <cfRule type="cellIs" dxfId="27" priority="25" operator="between">
      <formula>"Rs. 65,984"</formula>
      <formula>"Rs. 121,395"</formula>
    </cfRule>
    <cfRule type="cellIs" dxfId="26" priority="26" operator="lessThan">
      <formula>93689</formula>
    </cfRule>
    <cfRule type="cellIs" dxfId="25" priority="27" operator="greaterThan">
      <formula>93689</formula>
    </cfRule>
    <cfRule type="cellIs" dxfId="24" priority="28" operator="greaterThan">
      <formula>"Rs. 93,689"</formula>
    </cfRule>
  </conditionalFormatting>
  <conditionalFormatting sqref="B7:B56">
    <cfRule type="containsText" dxfId="23" priority="22" operator="containsText" text="Ayesha khan">
      <formula>NOT(ISERROR(SEARCH("Ayesha khan",B7)))</formula>
    </cfRule>
  </conditionalFormatting>
  <conditionalFormatting sqref="A8:A56">
    <cfRule type="timePeriod" dxfId="22" priority="20" timePeriod="yesterday">
      <formula>FLOOR(A8,1)=TODAY()-1</formula>
    </cfRule>
    <cfRule type="timePeriod" dxfId="21" priority="21" timePeriod="yesterday">
      <formula>FLOOR(A8,1)=TODAY()-1</formula>
    </cfRule>
  </conditionalFormatting>
  <conditionalFormatting sqref="A7:A56">
    <cfRule type="timePeriod" dxfId="20" priority="17" timePeriod="nextWeek">
      <formula>AND(ROUNDDOWN(A7,0)-TODAY()&gt;(7-WEEKDAY(TODAY())),ROUNDDOWN(A7,0)-TODAY()&lt;(15-WEEKDAY(TODAY())))</formula>
    </cfRule>
    <cfRule type="timePeriod" dxfId="19" priority="18" timePeriod="yesterday">
      <formula>FLOOR(A7,1)=TODAY()-1</formula>
    </cfRule>
    <cfRule type="timePeriod" dxfId="18" priority="19" timePeriod="today">
      <formula>FLOOR(A7,1)=TODAY()</formula>
    </cfRule>
  </conditionalFormatting>
  <conditionalFormatting sqref="F7:F56">
    <cfRule type="uniqueValues" dxfId="17" priority="15"/>
    <cfRule type="duplicateValues" dxfId="16" priority="16"/>
  </conditionalFormatting>
  <conditionalFormatting sqref="T7:T56">
    <cfRule type="cellIs" dxfId="15" priority="9" operator="equal">
      <formula>20000</formula>
    </cfRule>
    <cfRule type="cellIs" dxfId="14" priority="10" operator="between">
      <formula>50000</formula>
      <formula>100000</formula>
    </cfRule>
    <cfRule type="cellIs" dxfId="13" priority="11" operator="between">
      <formula>"Rs. 65,984"</formula>
      <formula>"Rs. 121,395"</formula>
    </cfRule>
    <cfRule type="cellIs" dxfId="12" priority="12" operator="lessThan">
      <formula>93689</formula>
    </cfRule>
    <cfRule type="cellIs" dxfId="11" priority="13" operator="greaterThan">
      <formula>93689</formula>
    </cfRule>
    <cfRule type="cellIs" dxfId="10" priority="14" operator="greaterThan">
      <formula>"Rs. 93,689"</formula>
    </cfRule>
  </conditionalFormatting>
  <conditionalFormatting sqref="Q7:Q56">
    <cfRule type="containsText" dxfId="9" priority="8" operator="containsText" text="Ayesha khan">
      <formula>NOT(ISERROR(SEARCH("Ayesha khan",Q7)))</formula>
    </cfRule>
  </conditionalFormatting>
  <conditionalFormatting sqref="P8:P56">
    <cfRule type="timePeriod" dxfId="8" priority="6" timePeriod="yesterday">
      <formula>FLOOR(P8,1)=TODAY()-1</formula>
    </cfRule>
    <cfRule type="timePeriod" dxfId="7" priority="7" timePeriod="yesterday">
      <formula>FLOOR(P8,1)=TODAY()-1</formula>
    </cfRule>
  </conditionalFormatting>
  <conditionalFormatting sqref="P7:P56">
    <cfRule type="timePeriod" dxfId="6" priority="3" timePeriod="nextWeek">
      <formula>AND(ROUNDDOWN(P7,0)-TODAY()&gt;(7-WEEKDAY(TODAY())),ROUNDDOWN(P7,0)-TODAY()&lt;(15-WEEKDAY(TODAY())))</formula>
    </cfRule>
    <cfRule type="timePeriod" dxfId="5" priority="4" timePeriod="yesterday">
      <formula>FLOOR(P7,1)=TODAY()-1</formula>
    </cfRule>
    <cfRule type="timePeriod" dxfId="4" priority="5" timePeriod="today">
      <formula>FLOOR(P7,1)=TODAY()</formula>
    </cfRule>
  </conditionalFormatting>
  <conditionalFormatting sqref="U7:U56">
    <cfRule type="uniqueValues" dxfId="3" priority="1"/>
    <cfRule type="duplicateValues" dxfId="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1C22-C9E1-4C21-9218-48D27EEA4902}">
  <sheetPr codeName="Sheet13"/>
  <dimension ref="B3:M41"/>
  <sheetViews>
    <sheetView zoomScale="160" zoomScaleNormal="160" workbookViewId="0">
      <selection activeCell="B3" sqref="B3:M3"/>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151" t="s">
        <v>553</v>
      </c>
      <c r="C3" s="151"/>
      <c r="D3" s="151"/>
      <c r="E3" s="151"/>
      <c r="F3" s="151"/>
      <c r="G3" s="152">
        <v>400</v>
      </c>
      <c r="H3" s="152"/>
      <c r="I3" s="152"/>
      <c r="J3" s="152"/>
      <c r="K3" s="152"/>
      <c r="L3" s="152"/>
      <c r="M3" s="152"/>
    </row>
    <row r="4" spans="2:13" x14ac:dyDescent="0.25">
      <c r="B4" s="94" t="s">
        <v>470</v>
      </c>
      <c r="C4" s="94" t="s">
        <v>461</v>
      </c>
      <c r="D4" s="94" t="s">
        <v>462</v>
      </c>
      <c r="E4" s="94" t="s">
        <v>463</v>
      </c>
      <c r="F4" s="94" t="s">
        <v>464</v>
      </c>
      <c r="G4" s="94" t="s">
        <v>552</v>
      </c>
      <c r="H4" s="94" t="s">
        <v>536</v>
      </c>
      <c r="I4" s="94" t="s">
        <v>536</v>
      </c>
      <c r="J4" s="94" t="s">
        <v>554</v>
      </c>
      <c r="K4" s="94" t="s">
        <v>555</v>
      </c>
      <c r="L4" s="94" t="s">
        <v>556</v>
      </c>
      <c r="M4" s="94" t="s">
        <v>557</v>
      </c>
    </row>
    <row r="5" spans="2:13" x14ac:dyDescent="0.25">
      <c r="B5" s="66" t="s">
        <v>473</v>
      </c>
      <c r="C5" s="66">
        <v>40</v>
      </c>
      <c r="D5" s="66">
        <v>46</v>
      </c>
      <c r="E5" s="66">
        <v>63</v>
      </c>
      <c r="F5" s="66">
        <v>66</v>
      </c>
      <c r="G5" s="66">
        <v>215</v>
      </c>
      <c r="H5" s="92">
        <f>G5/400</f>
        <v>0.53749999999999998</v>
      </c>
      <c r="I5" s="92">
        <f>G5/$G$3</f>
        <v>0.53749999999999998</v>
      </c>
      <c r="J5" s="92">
        <f>C5/$G5</f>
        <v>0.18604651162790697</v>
      </c>
      <c r="K5" s="92">
        <f>D5/$G5</f>
        <v>0.21395348837209302</v>
      </c>
      <c r="L5" s="92">
        <f>E5/$G5</f>
        <v>0.2930232558139535</v>
      </c>
      <c r="M5" s="92">
        <f>F5/$G5</f>
        <v>0.30697674418604654</v>
      </c>
    </row>
    <row r="6" spans="2:13" x14ac:dyDescent="0.25">
      <c r="B6" s="66" t="s">
        <v>474</v>
      </c>
      <c r="C6" s="66">
        <v>9</v>
      </c>
      <c r="D6" s="66">
        <v>13</v>
      </c>
      <c r="E6" s="66">
        <v>98</v>
      </c>
      <c r="F6" s="66">
        <v>19</v>
      </c>
      <c r="G6" s="66">
        <v>139</v>
      </c>
      <c r="H6" s="92">
        <f>G6/400</f>
        <v>0.34749999999999998</v>
      </c>
      <c r="I6" s="92">
        <f>G6/$G$3</f>
        <v>0.34749999999999998</v>
      </c>
      <c r="J6" s="92">
        <f>C6/$G6</f>
        <v>6.4748201438848921E-2</v>
      </c>
      <c r="K6" s="92">
        <f>D6/$G6</f>
        <v>9.3525179856115109E-2</v>
      </c>
      <c r="L6" s="92">
        <f>E6/$G6</f>
        <v>0.70503597122302153</v>
      </c>
      <c r="M6" s="92">
        <f>F6/$G6</f>
        <v>0.1366906474820144</v>
      </c>
    </row>
    <row r="7" spans="2:13" x14ac:dyDescent="0.25">
      <c r="B7" s="66" t="s">
        <v>475</v>
      </c>
      <c r="C7" s="66">
        <v>82</v>
      </c>
      <c r="D7" s="66">
        <v>43</v>
      </c>
      <c r="E7" s="66">
        <v>63</v>
      </c>
      <c r="F7" s="66">
        <v>84</v>
      </c>
      <c r="G7" s="66">
        <v>272</v>
      </c>
      <c r="H7" s="92">
        <f>G7/400</f>
        <v>0.68</v>
      </c>
      <c r="I7" s="92">
        <f>G7/$G$3</f>
        <v>0.68</v>
      </c>
      <c r="J7" s="92">
        <f>C7/$G7</f>
        <v>0.3014705882352941</v>
      </c>
      <c r="K7" s="92">
        <f>D7/$G7</f>
        <v>0.15808823529411764</v>
      </c>
      <c r="L7" s="92">
        <f>E7/$G7</f>
        <v>0.23161764705882354</v>
      </c>
      <c r="M7" s="92">
        <f>F7/$G7</f>
        <v>0.30882352941176472</v>
      </c>
    </row>
    <row r="8" spans="2:13" x14ac:dyDescent="0.25">
      <c r="B8" s="66" t="s">
        <v>476</v>
      </c>
      <c r="C8" s="66">
        <v>32</v>
      </c>
      <c r="D8" s="66">
        <v>48</v>
      </c>
      <c r="E8" s="66">
        <v>26</v>
      </c>
      <c r="F8" s="66">
        <v>81</v>
      </c>
      <c r="G8" s="66">
        <v>187</v>
      </c>
      <c r="H8" s="92">
        <f>G8/400</f>
        <v>0.46750000000000003</v>
      </c>
      <c r="I8" s="92">
        <f>G8/$G$3</f>
        <v>0.46750000000000003</v>
      </c>
      <c r="J8" s="92">
        <f>C8/$G8</f>
        <v>0.17112299465240641</v>
      </c>
      <c r="K8" s="92">
        <f>D8/$G8</f>
        <v>0.25668449197860965</v>
      </c>
      <c r="L8" s="92">
        <f>E8/$G8</f>
        <v>0.13903743315508021</v>
      </c>
      <c r="M8" s="92">
        <f>F8/$G8</f>
        <v>0.43315508021390375</v>
      </c>
    </row>
    <row r="9" spans="2:13" x14ac:dyDescent="0.25">
      <c r="B9" s="66" t="s">
        <v>477</v>
      </c>
      <c r="C9" s="66">
        <v>20</v>
      </c>
      <c r="D9" s="66">
        <v>3</v>
      </c>
      <c r="E9" s="66">
        <v>76</v>
      </c>
      <c r="F9" s="66">
        <v>78</v>
      </c>
      <c r="G9" s="66">
        <v>177</v>
      </c>
      <c r="H9" s="92">
        <f>G9/400</f>
        <v>0.4425</v>
      </c>
      <c r="I9" s="92">
        <f>G9/$G$3</f>
        <v>0.4425</v>
      </c>
      <c r="J9" s="92">
        <f>C9/$G9</f>
        <v>0.11299435028248588</v>
      </c>
      <c r="K9" s="92">
        <f>D9/$G9</f>
        <v>1.6949152542372881E-2</v>
      </c>
      <c r="L9" s="92">
        <f>E9/$G9</f>
        <v>0.42937853107344631</v>
      </c>
      <c r="M9" s="92">
        <f>F9/$G9</f>
        <v>0.44067796610169491</v>
      </c>
    </row>
    <row r="10" spans="2:13" x14ac:dyDescent="0.25">
      <c r="B10" s="66" t="s">
        <v>478</v>
      </c>
      <c r="C10" s="66">
        <v>80</v>
      </c>
      <c r="D10" s="66">
        <v>46</v>
      </c>
      <c r="E10" s="66">
        <v>0</v>
      </c>
      <c r="F10" s="66">
        <v>76</v>
      </c>
      <c r="G10" s="66">
        <v>202</v>
      </c>
      <c r="H10" s="92">
        <f>G10/400</f>
        <v>0.505</v>
      </c>
      <c r="I10" s="92">
        <f>G10/$G$3</f>
        <v>0.505</v>
      </c>
      <c r="J10" s="92">
        <f>C10/$G10</f>
        <v>0.39603960396039606</v>
      </c>
      <c r="K10" s="92">
        <f>D10/$G10</f>
        <v>0.22772277227722773</v>
      </c>
      <c r="L10" s="92">
        <f>E10/$G10</f>
        <v>0</v>
      </c>
      <c r="M10" s="92">
        <f>F10/$G10</f>
        <v>0.37623762376237624</v>
      </c>
    </row>
    <row r="11" spans="2:13" x14ac:dyDescent="0.25">
      <c r="B11" s="66" t="s">
        <v>479</v>
      </c>
      <c r="C11" s="66">
        <v>62</v>
      </c>
      <c r="D11" s="66">
        <v>40</v>
      </c>
      <c r="E11" s="66">
        <v>40</v>
      </c>
      <c r="F11" s="66">
        <v>76</v>
      </c>
      <c r="G11" s="66">
        <v>218</v>
      </c>
      <c r="H11" s="92">
        <f>G11/400</f>
        <v>0.54500000000000004</v>
      </c>
      <c r="I11" s="92">
        <f>G11/$G$3</f>
        <v>0.54500000000000004</v>
      </c>
      <c r="J11" s="92">
        <f>C11/$G11</f>
        <v>0.28440366972477066</v>
      </c>
      <c r="K11" s="92">
        <f>D11/$G11</f>
        <v>0.1834862385321101</v>
      </c>
      <c r="L11" s="92">
        <f>E11/$G11</f>
        <v>0.1834862385321101</v>
      </c>
      <c r="M11" s="92">
        <f>F11/$G11</f>
        <v>0.34862385321100919</v>
      </c>
    </row>
    <row r="12" spans="2:13" x14ac:dyDescent="0.25">
      <c r="B12" s="66" t="s">
        <v>549</v>
      </c>
      <c r="C12" s="66">
        <v>11</v>
      </c>
      <c r="D12" s="66">
        <v>88</v>
      </c>
      <c r="E12" s="66">
        <v>23</v>
      </c>
      <c r="F12" s="66">
        <v>77</v>
      </c>
      <c r="G12" s="66">
        <v>199</v>
      </c>
      <c r="H12" s="92">
        <f>G12/400</f>
        <v>0.4975</v>
      </c>
      <c r="I12" s="92">
        <f>G12/$G$3</f>
        <v>0.4975</v>
      </c>
      <c r="J12" s="92">
        <f>C12/$G12</f>
        <v>5.5276381909547742E-2</v>
      </c>
      <c r="K12" s="92">
        <f>D12/$G12</f>
        <v>0.44221105527638194</v>
      </c>
      <c r="L12" s="92">
        <f>E12/$G12</f>
        <v>0.11557788944723618</v>
      </c>
      <c r="M12" s="92">
        <f>F12/$G12</f>
        <v>0.38693467336683418</v>
      </c>
    </row>
    <row r="13" spans="2:13" x14ac:dyDescent="0.25">
      <c r="B13" s="66" t="s">
        <v>481</v>
      </c>
      <c r="C13" s="66">
        <v>62</v>
      </c>
      <c r="D13" s="66">
        <v>61</v>
      </c>
      <c r="E13" s="66">
        <v>93</v>
      </c>
      <c r="F13" s="66">
        <v>95</v>
      </c>
      <c r="G13" s="66">
        <v>311</v>
      </c>
      <c r="H13" s="92">
        <f>G13/400</f>
        <v>0.77749999999999997</v>
      </c>
      <c r="I13" s="92">
        <f>G13/$G$3</f>
        <v>0.77749999999999997</v>
      </c>
      <c r="J13" s="92">
        <f>C13/$G13</f>
        <v>0.19935691318327975</v>
      </c>
      <c r="K13" s="92">
        <f>D13/$G13</f>
        <v>0.19614147909967847</v>
      </c>
      <c r="L13" s="92">
        <f>E13/$G13</f>
        <v>0.29903536977491962</v>
      </c>
      <c r="M13" s="92">
        <f>F13/$G13</f>
        <v>0.30546623794212219</v>
      </c>
    </row>
    <row r="14" spans="2:13" x14ac:dyDescent="0.25">
      <c r="B14" s="66" t="s">
        <v>482</v>
      </c>
      <c r="C14" s="66">
        <v>7</v>
      </c>
      <c r="D14" s="66">
        <v>63</v>
      </c>
      <c r="E14" s="66">
        <v>37</v>
      </c>
      <c r="F14" s="66">
        <v>80</v>
      </c>
      <c r="G14" s="66">
        <v>187</v>
      </c>
      <c r="H14" s="92">
        <f>G14/400</f>
        <v>0.46750000000000003</v>
      </c>
      <c r="I14" s="92">
        <f>G14/$G$3</f>
        <v>0.46750000000000003</v>
      </c>
      <c r="J14" s="92">
        <f>C14/$G14</f>
        <v>3.7433155080213901E-2</v>
      </c>
      <c r="K14" s="92">
        <f>D14/$G14</f>
        <v>0.33689839572192515</v>
      </c>
      <c r="L14" s="92">
        <f>E14/$G14</f>
        <v>0.19786096256684493</v>
      </c>
      <c r="M14" s="92">
        <f>F14/$G14</f>
        <v>0.42780748663101603</v>
      </c>
    </row>
    <row r="15" spans="2:13" x14ac:dyDescent="0.25">
      <c r="B15" s="66" t="s">
        <v>550</v>
      </c>
      <c r="C15" s="66">
        <v>97</v>
      </c>
      <c r="D15" s="66">
        <v>47</v>
      </c>
      <c r="E15" s="66">
        <v>26</v>
      </c>
      <c r="F15" s="66">
        <v>99</v>
      </c>
      <c r="G15" s="66">
        <v>269</v>
      </c>
      <c r="H15" s="92">
        <f>G15/400</f>
        <v>0.67249999999999999</v>
      </c>
      <c r="I15" s="92">
        <f>G15/$G$3</f>
        <v>0.67249999999999999</v>
      </c>
      <c r="J15" s="92">
        <f>C15/$G15</f>
        <v>0.36059479553903345</v>
      </c>
      <c r="K15" s="92">
        <f>D15/$G15</f>
        <v>0.17472118959107807</v>
      </c>
      <c r="L15" s="92">
        <f>E15/$G15</f>
        <v>9.6654275092936809E-2</v>
      </c>
      <c r="M15" s="92">
        <f>F15/$G15</f>
        <v>0.36802973977695169</v>
      </c>
    </row>
    <row r="16" spans="2:13" x14ac:dyDescent="0.25">
      <c r="B16" s="66" t="s">
        <v>484</v>
      </c>
      <c r="C16" s="66">
        <v>6</v>
      </c>
      <c r="D16" s="66">
        <v>63</v>
      </c>
      <c r="E16" s="66">
        <v>68</v>
      </c>
      <c r="F16" s="66">
        <v>39</v>
      </c>
      <c r="G16" s="66">
        <v>176</v>
      </c>
      <c r="H16" s="92">
        <f>G16/400</f>
        <v>0.44</v>
      </c>
      <c r="I16" s="92">
        <f>G16/$G$3</f>
        <v>0.44</v>
      </c>
      <c r="J16" s="92">
        <f>C16/$G16</f>
        <v>3.4090909090909088E-2</v>
      </c>
      <c r="K16" s="92">
        <f>D16/$G16</f>
        <v>0.35795454545454547</v>
      </c>
      <c r="L16" s="92">
        <f>E16/$G16</f>
        <v>0.38636363636363635</v>
      </c>
      <c r="M16" s="92">
        <f>F16/$G16</f>
        <v>0.22159090909090909</v>
      </c>
    </row>
    <row r="17" spans="2:13" x14ac:dyDescent="0.25">
      <c r="B17" s="66" t="s">
        <v>551</v>
      </c>
      <c r="C17" s="66">
        <v>18</v>
      </c>
      <c r="D17" s="66">
        <v>26</v>
      </c>
      <c r="E17" s="66">
        <v>40</v>
      </c>
      <c r="F17" s="66">
        <v>5</v>
      </c>
      <c r="G17" s="66">
        <v>89</v>
      </c>
      <c r="H17" s="92">
        <f>G17/400</f>
        <v>0.2225</v>
      </c>
      <c r="I17" s="92">
        <f>G17/$G$3</f>
        <v>0.2225</v>
      </c>
      <c r="J17" s="92">
        <f>C17/$G17</f>
        <v>0.20224719101123595</v>
      </c>
      <c r="K17" s="92">
        <f>D17/$G17</f>
        <v>0.29213483146067415</v>
      </c>
      <c r="L17" s="92">
        <f>E17/$G17</f>
        <v>0.449438202247191</v>
      </c>
      <c r="M17" s="92">
        <f>F17/$G17</f>
        <v>5.6179775280898875E-2</v>
      </c>
    </row>
    <row r="18" spans="2:13" x14ac:dyDescent="0.25">
      <c r="B18" s="66" t="s">
        <v>486</v>
      </c>
      <c r="C18" s="66">
        <v>40</v>
      </c>
      <c r="D18" s="66">
        <v>77</v>
      </c>
      <c r="E18" s="66">
        <v>69</v>
      </c>
      <c r="F18" s="66">
        <v>40</v>
      </c>
      <c r="G18" s="66">
        <v>226</v>
      </c>
      <c r="H18" s="92">
        <f>G18/400</f>
        <v>0.56499999999999995</v>
      </c>
      <c r="I18" s="92">
        <f>G18/$G$3</f>
        <v>0.56499999999999995</v>
      </c>
      <c r="J18" s="92">
        <f>C18/$G18</f>
        <v>0.17699115044247787</v>
      </c>
      <c r="K18" s="92">
        <f>D18/$G18</f>
        <v>0.34070796460176989</v>
      </c>
      <c r="L18" s="92">
        <f>E18/$G18</f>
        <v>0.30530973451327431</v>
      </c>
      <c r="M18" s="92">
        <f>F18/$G18</f>
        <v>0.17699115044247787</v>
      </c>
    </row>
    <row r="19" spans="2:13" ht="15.75" thickBot="1" x14ac:dyDescent="0.3">
      <c r="B19" s="96" t="s">
        <v>487</v>
      </c>
      <c r="C19" s="96">
        <v>52</v>
      </c>
      <c r="D19" s="96">
        <v>81</v>
      </c>
      <c r="E19" s="96">
        <v>39</v>
      </c>
      <c r="F19" s="96">
        <v>11</v>
      </c>
      <c r="G19" s="96">
        <v>183</v>
      </c>
      <c r="H19" s="97">
        <f>G19/400</f>
        <v>0.45750000000000002</v>
      </c>
      <c r="I19" s="97">
        <f>G19/$G$3</f>
        <v>0.45750000000000002</v>
      </c>
      <c r="J19" s="92">
        <f>C19/$G19</f>
        <v>0.28415300546448086</v>
      </c>
      <c r="K19" s="92">
        <f>D19/$G19</f>
        <v>0.44262295081967212</v>
      </c>
      <c r="L19" s="92">
        <f>E19/$G19</f>
        <v>0.21311475409836064</v>
      </c>
      <c r="M19" s="92">
        <f>F19/$G19</f>
        <v>6.0109289617486336E-2</v>
      </c>
    </row>
    <row r="25" spans="2:13" x14ac:dyDescent="0.25">
      <c r="B25" s="151" t="s">
        <v>553</v>
      </c>
      <c r="C25" s="151"/>
      <c r="D25" s="151"/>
      <c r="E25" s="151"/>
      <c r="F25" s="151"/>
      <c r="G25" s="153">
        <v>400</v>
      </c>
      <c r="H25" s="154"/>
      <c r="I25" s="154"/>
    </row>
    <row r="26" spans="2:13" x14ac:dyDescent="0.25">
      <c r="B26" s="94" t="s">
        <v>470</v>
      </c>
      <c r="C26" s="94" t="s">
        <v>461</v>
      </c>
      <c r="D26" s="94" t="s">
        <v>462</v>
      </c>
      <c r="E26" s="94" t="s">
        <v>463</v>
      </c>
      <c r="F26" s="94" t="s">
        <v>464</v>
      </c>
      <c r="G26" s="94" t="s">
        <v>552</v>
      </c>
      <c r="H26" s="94" t="s">
        <v>536</v>
      </c>
      <c r="I26" s="95" t="s">
        <v>558</v>
      </c>
    </row>
    <row r="27" spans="2:13" x14ac:dyDescent="0.25">
      <c r="B27" s="66" t="s">
        <v>473</v>
      </c>
      <c r="C27" s="66">
        <v>40</v>
      </c>
      <c r="D27" s="66">
        <v>46</v>
      </c>
      <c r="E27" s="66">
        <v>63</v>
      </c>
      <c r="F27" s="66">
        <v>66</v>
      </c>
      <c r="G27" s="66">
        <v>215</v>
      </c>
      <c r="H27" s="92">
        <f>G27/400</f>
        <v>0.53749999999999998</v>
      </c>
      <c r="I27" s="98">
        <f>RANK(H27,$H$27:$H$41,0)</f>
        <v>6</v>
      </c>
    </row>
    <row r="28" spans="2:13" x14ac:dyDescent="0.25">
      <c r="B28" s="66" t="s">
        <v>474</v>
      </c>
      <c r="C28" s="66">
        <v>9</v>
      </c>
      <c r="D28" s="66">
        <v>13</v>
      </c>
      <c r="E28" s="66">
        <v>98</v>
      </c>
      <c r="F28" s="66">
        <v>19</v>
      </c>
      <c r="G28" s="66">
        <v>139</v>
      </c>
      <c r="H28" s="92">
        <f>G28/400</f>
        <v>0.34749999999999998</v>
      </c>
      <c r="I28" s="98">
        <f>RANK(H28,$H$27:$H$41,0)</f>
        <v>14</v>
      </c>
    </row>
    <row r="29" spans="2:13" x14ac:dyDescent="0.25">
      <c r="B29" s="66" t="s">
        <v>475</v>
      </c>
      <c r="C29" s="66">
        <v>82</v>
      </c>
      <c r="D29" s="66">
        <v>43</v>
      </c>
      <c r="E29" s="66">
        <v>63</v>
      </c>
      <c r="F29" s="66">
        <v>84</v>
      </c>
      <c r="G29" s="66">
        <v>272</v>
      </c>
      <c r="H29" s="92">
        <f>G29/400</f>
        <v>0.68</v>
      </c>
      <c r="I29" s="98">
        <f>RANK(H29,$H$27:$H$41,0)</f>
        <v>2</v>
      </c>
    </row>
    <row r="30" spans="2:13" x14ac:dyDescent="0.25">
      <c r="B30" s="66" t="s">
        <v>476</v>
      </c>
      <c r="C30" s="66">
        <v>32</v>
      </c>
      <c r="D30" s="66">
        <v>48</v>
      </c>
      <c r="E30" s="66">
        <v>26</v>
      </c>
      <c r="F30" s="66">
        <v>81</v>
      </c>
      <c r="G30" s="66">
        <v>187</v>
      </c>
      <c r="H30" s="92">
        <f>G30/400</f>
        <v>0.46750000000000003</v>
      </c>
      <c r="I30" s="98">
        <f>RANK(H30,$H$27:$H$41,0)</f>
        <v>9</v>
      </c>
    </row>
    <row r="31" spans="2:13" x14ac:dyDescent="0.25">
      <c r="B31" s="66" t="s">
        <v>477</v>
      </c>
      <c r="C31" s="66">
        <v>20</v>
      </c>
      <c r="D31" s="66">
        <v>3</v>
      </c>
      <c r="E31" s="66">
        <v>76</v>
      </c>
      <c r="F31" s="66">
        <v>78</v>
      </c>
      <c r="G31" s="66">
        <v>177</v>
      </c>
      <c r="H31" s="92">
        <f>G31/400</f>
        <v>0.4425</v>
      </c>
      <c r="I31" s="98">
        <f>RANK(H31,$H$27:$H$41,0)</f>
        <v>12</v>
      </c>
    </row>
    <row r="32" spans="2:13" x14ac:dyDescent="0.25">
      <c r="B32" s="66" t="s">
        <v>478</v>
      </c>
      <c r="C32" s="66">
        <v>80</v>
      </c>
      <c r="D32" s="66">
        <v>46</v>
      </c>
      <c r="E32" s="66">
        <v>0</v>
      </c>
      <c r="F32" s="66">
        <v>76</v>
      </c>
      <c r="G32" s="66">
        <v>202</v>
      </c>
      <c r="H32" s="92">
        <f>G32/400</f>
        <v>0.505</v>
      </c>
      <c r="I32" s="98">
        <f>RANK(H32,$H$27:$H$41,0)</f>
        <v>7</v>
      </c>
    </row>
    <row r="33" spans="2:9" x14ac:dyDescent="0.25">
      <c r="B33" s="66" t="s">
        <v>479</v>
      </c>
      <c r="C33" s="66">
        <v>62</v>
      </c>
      <c r="D33" s="66">
        <v>40</v>
      </c>
      <c r="E33" s="66">
        <v>40</v>
      </c>
      <c r="F33" s="66">
        <v>76</v>
      </c>
      <c r="G33" s="66">
        <v>218</v>
      </c>
      <c r="H33" s="92">
        <f>G33/400</f>
        <v>0.54500000000000004</v>
      </c>
      <c r="I33" s="98">
        <f>RANK(H33,$H$27:$H$41,0)</f>
        <v>5</v>
      </c>
    </row>
    <row r="34" spans="2:9" x14ac:dyDescent="0.25">
      <c r="B34" s="66" t="s">
        <v>549</v>
      </c>
      <c r="C34" s="66">
        <v>11</v>
      </c>
      <c r="D34" s="66">
        <v>88</v>
      </c>
      <c r="E34" s="66">
        <v>23</v>
      </c>
      <c r="F34" s="66">
        <v>77</v>
      </c>
      <c r="G34" s="66">
        <v>199</v>
      </c>
      <c r="H34" s="92">
        <f>G34/400</f>
        <v>0.4975</v>
      </c>
      <c r="I34" s="98">
        <f>RANK(H34,$H$27:$H$41,0)</f>
        <v>8</v>
      </c>
    </row>
    <row r="35" spans="2:9" x14ac:dyDescent="0.25">
      <c r="B35" s="66" t="s">
        <v>481</v>
      </c>
      <c r="C35" s="66">
        <v>62</v>
      </c>
      <c r="D35" s="66">
        <v>61</v>
      </c>
      <c r="E35" s="66">
        <v>93</v>
      </c>
      <c r="F35" s="66">
        <v>95</v>
      </c>
      <c r="G35" s="66">
        <v>311</v>
      </c>
      <c r="H35" s="92">
        <f>G35/400</f>
        <v>0.77749999999999997</v>
      </c>
      <c r="I35" s="98">
        <f>RANK(H35,$H$27:$H$41,0)</f>
        <v>1</v>
      </c>
    </row>
    <row r="36" spans="2:9" x14ac:dyDescent="0.25">
      <c r="B36" s="66" t="s">
        <v>482</v>
      </c>
      <c r="C36" s="66">
        <v>7</v>
      </c>
      <c r="D36" s="66">
        <v>63</v>
      </c>
      <c r="E36" s="66">
        <v>37</v>
      </c>
      <c r="F36" s="66">
        <v>80</v>
      </c>
      <c r="G36" s="66">
        <v>187</v>
      </c>
      <c r="H36" s="92">
        <f>G36/400</f>
        <v>0.46750000000000003</v>
      </c>
      <c r="I36" s="98">
        <f>RANK(H36,$H$27:$H$41,0)</f>
        <v>9</v>
      </c>
    </row>
    <row r="37" spans="2:9" x14ac:dyDescent="0.25">
      <c r="B37" s="66" t="s">
        <v>550</v>
      </c>
      <c r="C37" s="66">
        <v>97</v>
      </c>
      <c r="D37" s="66">
        <v>47</v>
      </c>
      <c r="E37" s="66">
        <v>26</v>
      </c>
      <c r="F37" s="66">
        <v>99</v>
      </c>
      <c r="G37" s="66">
        <v>269</v>
      </c>
      <c r="H37" s="92">
        <f>G37/400</f>
        <v>0.67249999999999999</v>
      </c>
      <c r="I37" s="98">
        <f>RANK(H37,$H$27:$H$41,0)</f>
        <v>3</v>
      </c>
    </row>
    <row r="38" spans="2:9" x14ac:dyDescent="0.25">
      <c r="B38" s="66" t="s">
        <v>484</v>
      </c>
      <c r="C38" s="66">
        <v>6</v>
      </c>
      <c r="D38" s="66">
        <v>63</v>
      </c>
      <c r="E38" s="66">
        <v>68</v>
      </c>
      <c r="F38" s="66">
        <v>39</v>
      </c>
      <c r="G38" s="66">
        <v>176</v>
      </c>
      <c r="H38" s="92">
        <f>G38/400</f>
        <v>0.44</v>
      </c>
      <c r="I38" s="98">
        <f>RANK(H38,$H$27:$H$41,0)</f>
        <v>13</v>
      </c>
    </row>
    <row r="39" spans="2:9" x14ac:dyDescent="0.25">
      <c r="B39" s="66" t="s">
        <v>551</v>
      </c>
      <c r="C39" s="66">
        <v>18</v>
      </c>
      <c r="D39" s="66">
        <v>26</v>
      </c>
      <c r="E39" s="66">
        <v>40</v>
      </c>
      <c r="F39" s="66">
        <v>5</v>
      </c>
      <c r="G39" s="66">
        <v>89</v>
      </c>
      <c r="H39" s="92">
        <f>G39/400</f>
        <v>0.2225</v>
      </c>
      <c r="I39" s="98">
        <f>RANK(H39,$H$27:$H$41,0)</f>
        <v>15</v>
      </c>
    </row>
    <row r="40" spans="2:9" x14ac:dyDescent="0.25">
      <c r="B40" s="66" t="s">
        <v>486</v>
      </c>
      <c r="C40" s="66">
        <v>40</v>
      </c>
      <c r="D40" s="66">
        <v>77</v>
      </c>
      <c r="E40" s="66">
        <v>69</v>
      </c>
      <c r="F40" s="66">
        <v>40</v>
      </c>
      <c r="G40" s="66">
        <v>226</v>
      </c>
      <c r="H40" s="92">
        <f>G40/400</f>
        <v>0.56499999999999995</v>
      </c>
      <c r="I40" s="98">
        <f>RANK(H40,$H$27:$H$41,0)</f>
        <v>4</v>
      </c>
    </row>
    <row r="41" spans="2:9" ht="15.75" thickBot="1" x14ac:dyDescent="0.3">
      <c r="B41" s="96" t="s">
        <v>487</v>
      </c>
      <c r="C41" s="96">
        <v>52</v>
      </c>
      <c r="D41" s="96">
        <v>81</v>
      </c>
      <c r="E41" s="96">
        <v>39</v>
      </c>
      <c r="F41" s="96">
        <v>11</v>
      </c>
      <c r="G41" s="96">
        <v>183</v>
      </c>
      <c r="H41" s="97">
        <f>G41/400</f>
        <v>0.45750000000000002</v>
      </c>
      <c r="I41" s="98">
        <f>RANK(H41,$H$27:$H$41,0)</f>
        <v>11</v>
      </c>
    </row>
  </sheetData>
  <mergeCells count="4">
    <mergeCell ref="B3:F3"/>
    <mergeCell ref="G3:M3"/>
    <mergeCell ref="B25:F25"/>
    <mergeCell ref="G25:I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92DC-4C5C-4E7C-B545-10134E68AE2C}">
  <sheetPr codeName="Sheet14"/>
  <dimension ref="B2:G24"/>
  <sheetViews>
    <sheetView showGridLines="0" zoomScaleNormal="100" workbookViewId="0">
      <selection activeCell="F16" sqref="F16"/>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246" t="s">
        <v>559</v>
      </c>
      <c r="C3" s="245" t="s">
        <v>560</v>
      </c>
      <c r="D3" s="245" t="s">
        <v>561</v>
      </c>
      <c r="E3" s="245" t="s">
        <v>645</v>
      </c>
      <c r="F3" s="245" t="s">
        <v>562</v>
      </c>
      <c r="G3" s="244" t="s">
        <v>563</v>
      </c>
    </row>
    <row r="4" spans="2:7" x14ac:dyDescent="0.25">
      <c r="B4" s="103">
        <v>1</v>
      </c>
      <c r="C4" s="243" t="s">
        <v>564</v>
      </c>
      <c r="D4" s="242" t="s">
        <v>565</v>
      </c>
      <c r="E4" s="242" t="s">
        <v>566</v>
      </c>
      <c r="F4" s="242" t="s">
        <v>567</v>
      </c>
      <c r="G4" s="241" t="s">
        <v>648</v>
      </c>
    </row>
    <row r="5" spans="2:7" x14ac:dyDescent="0.25">
      <c r="B5" s="103">
        <v>2</v>
      </c>
      <c r="C5" s="243" t="s">
        <v>568</v>
      </c>
      <c r="D5" s="242" t="s">
        <v>569</v>
      </c>
      <c r="E5" s="242" t="s">
        <v>570</v>
      </c>
      <c r="F5" s="242" t="s">
        <v>571</v>
      </c>
      <c r="G5" s="241" t="s">
        <v>649</v>
      </c>
    </row>
    <row r="6" spans="2:7" x14ac:dyDescent="0.25">
      <c r="B6" s="103">
        <v>3</v>
      </c>
      <c r="C6" s="243" t="s">
        <v>572</v>
      </c>
      <c r="D6" s="242" t="s">
        <v>573</v>
      </c>
      <c r="E6" s="242" t="s">
        <v>574</v>
      </c>
      <c r="F6" s="242" t="s">
        <v>575</v>
      </c>
      <c r="G6" s="241" t="s">
        <v>653</v>
      </c>
    </row>
    <row r="7" spans="2:7" x14ac:dyDescent="0.25">
      <c r="B7" s="100">
        <v>4</v>
      </c>
      <c r="C7" s="228" t="s">
        <v>576</v>
      </c>
      <c r="D7" s="227" t="s">
        <v>577</v>
      </c>
      <c r="E7" s="227" t="s">
        <v>578</v>
      </c>
      <c r="F7" s="227" t="s">
        <v>579</v>
      </c>
      <c r="G7" s="226" t="s">
        <v>654</v>
      </c>
    </row>
    <row r="8" spans="2:7" x14ac:dyDescent="0.25">
      <c r="B8" s="100">
        <v>5</v>
      </c>
      <c r="C8" s="228" t="s">
        <v>580</v>
      </c>
      <c r="D8" s="227" t="s">
        <v>581</v>
      </c>
      <c r="E8" s="227" t="s">
        <v>582</v>
      </c>
      <c r="F8" s="227" t="s">
        <v>583</v>
      </c>
      <c r="G8" s="226" t="s">
        <v>655</v>
      </c>
    </row>
    <row r="9" spans="2:7" x14ac:dyDescent="0.25">
      <c r="B9" s="101">
        <v>6</v>
      </c>
      <c r="C9" s="240" t="s">
        <v>584</v>
      </c>
      <c r="D9" s="239" t="s">
        <v>585</v>
      </c>
      <c r="E9" s="239" t="s">
        <v>586</v>
      </c>
      <c r="F9" s="239" t="s">
        <v>587</v>
      </c>
      <c r="G9" s="238" t="s">
        <v>656</v>
      </c>
    </row>
    <row r="10" spans="2:7" x14ac:dyDescent="0.25">
      <c r="B10" s="101">
        <v>7</v>
      </c>
      <c r="C10" s="240" t="s">
        <v>588</v>
      </c>
      <c r="D10" s="239" t="s">
        <v>589</v>
      </c>
      <c r="E10" s="239" t="s">
        <v>590</v>
      </c>
      <c r="F10" s="239" t="s">
        <v>591</v>
      </c>
      <c r="G10" s="238" t="s">
        <v>657</v>
      </c>
    </row>
    <row r="11" spans="2:7" x14ac:dyDescent="0.25">
      <c r="B11" s="101">
        <v>8</v>
      </c>
      <c r="C11" s="240" t="s">
        <v>592</v>
      </c>
      <c r="D11" s="239" t="s">
        <v>593</v>
      </c>
      <c r="E11" s="239" t="s">
        <v>594</v>
      </c>
      <c r="F11" s="239" t="s">
        <v>595</v>
      </c>
      <c r="G11" s="238" t="s">
        <v>650</v>
      </c>
    </row>
    <row r="12" spans="2:7" x14ac:dyDescent="0.25">
      <c r="B12" s="102">
        <v>9</v>
      </c>
      <c r="C12" s="237" t="s">
        <v>596</v>
      </c>
      <c r="D12" s="236" t="s">
        <v>597</v>
      </c>
      <c r="E12" s="236" t="s">
        <v>598</v>
      </c>
      <c r="F12" s="236" t="s">
        <v>599</v>
      </c>
      <c r="G12" s="235" t="s">
        <v>658</v>
      </c>
    </row>
    <row r="13" spans="2:7" x14ac:dyDescent="0.25">
      <c r="B13" s="102">
        <v>10</v>
      </c>
      <c r="C13" s="237" t="s">
        <v>600</v>
      </c>
      <c r="D13" s="236" t="s">
        <v>601</v>
      </c>
      <c r="E13" s="236" t="s">
        <v>602</v>
      </c>
      <c r="F13" s="236" t="s">
        <v>603</v>
      </c>
      <c r="G13" s="235" t="s">
        <v>659</v>
      </c>
    </row>
    <row r="14" spans="2:7" x14ac:dyDescent="0.25">
      <c r="B14" s="102">
        <v>11</v>
      </c>
      <c r="C14" s="237" t="s">
        <v>604</v>
      </c>
      <c r="D14" s="236" t="s">
        <v>605</v>
      </c>
      <c r="E14" s="236" t="s">
        <v>606</v>
      </c>
      <c r="F14" s="236" t="s">
        <v>607</v>
      </c>
      <c r="G14" s="235" t="s">
        <v>660</v>
      </c>
    </row>
    <row r="15" spans="2:7" x14ac:dyDescent="0.25">
      <c r="B15" s="109">
        <v>12</v>
      </c>
      <c r="C15" s="234" t="s">
        <v>608</v>
      </c>
      <c r="D15" s="233" t="s">
        <v>609</v>
      </c>
      <c r="E15" s="233" t="s">
        <v>610</v>
      </c>
      <c r="F15" s="233" t="s">
        <v>611</v>
      </c>
      <c r="G15" s="232" t="s">
        <v>651</v>
      </c>
    </row>
    <row r="16" spans="2:7" x14ac:dyDescent="0.25">
      <c r="B16" s="109">
        <v>13</v>
      </c>
      <c r="C16" s="234" t="s">
        <v>612</v>
      </c>
      <c r="D16" s="233" t="s">
        <v>613</v>
      </c>
      <c r="E16" s="233" t="s">
        <v>614</v>
      </c>
      <c r="F16" s="233" t="s">
        <v>615</v>
      </c>
      <c r="G16" s="232" t="s">
        <v>652</v>
      </c>
    </row>
    <row r="17" spans="2:7" ht="25.5" x14ac:dyDescent="0.25">
      <c r="B17" s="110">
        <v>14</v>
      </c>
      <c r="C17" s="231" t="s">
        <v>616</v>
      </c>
      <c r="D17" s="230" t="s">
        <v>617</v>
      </c>
      <c r="E17" s="230" t="s">
        <v>618</v>
      </c>
      <c r="F17" s="230" t="s">
        <v>619</v>
      </c>
      <c r="G17" s="229" t="s">
        <v>661</v>
      </c>
    </row>
    <row r="18" spans="2:7" ht="25.5" x14ac:dyDescent="0.25">
      <c r="B18" s="110">
        <v>15</v>
      </c>
      <c r="C18" s="231" t="s">
        <v>620</v>
      </c>
      <c r="D18" s="230" t="s">
        <v>621</v>
      </c>
      <c r="E18" s="230" t="s">
        <v>622</v>
      </c>
      <c r="F18" s="230" t="s">
        <v>623</v>
      </c>
      <c r="G18" s="229" t="s">
        <v>662</v>
      </c>
    </row>
    <row r="19" spans="2:7" x14ac:dyDescent="0.25">
      <c r="B19" s="100">
        <v>16</v>
      </c>
      <c r="C19" s="228" t="s">
        <v>624</v>
      </c>
      <c r="D19" s="227" t="s">
        <v>625</v>
      </c>
      <c r="E19" s="227" t="s">
        <v>626</v>
      </c>
      <c r="F19" s="227" t="s">
        <v>627</v>
      </c>
      <c r="G19" s="226" t="s">
        <v>663</v>
      </c>
    </row>
    <row r="20" spans="2:7" x14ac:dyDescent="0.25">
      <c r="B20" s="100">
        <v>17</v>
      </c>
      <c r="C20" s="228" t="s">
        <v>628</v>
      </c>
      <c r="D20" s="227" t="s">
        <v>629</v>
      </c>
      <c r="E20" s="227" t="s">
        <v>630</v>
      </c>
      <c r="F20" s="227" t="s">
        <v>631</v>
      </c>
      <c r="G20" s="226" t="s">
        <v>666</v>
      </c>
    </row>
    <row r="21" spans="2:7" x14ac:dyDescent="0.25">
      <c r="B21" s="100">
        <v>18</v>
      </c>
      <c r="C21" s="228" t="s">
        <v>632</v>
      </c>
      <c r="D21" s="227" t="s">
        <v>633</v>
      </c>
      <c r="E21" s="227" t="s">
        <v>634</v>
      </c>
      <c r="F21" s="227" t="s">
        <v>635</v>
      </c>
      <c r="G21" s="226" t="s">
        <v>664</v>
      </c>
    </row>
    <row r="22" spans="2:7" x14ac:dyDescent="0.25">
      <c r="B22" s="100" t="s">
        <v>636</v>
      </c>
      <c r="C22" s="228" t="s">
        <v>637</v>
      </c>
      <c r="D22" s="227" t="s">
        <v>638</v>
      </c>
      <c r="E22" s="227" t="s">
        <v>639</v>
      </c>
      <c r="F22" s="227" t="s">
        <v>640</v>
      </c>
      <c r="G22" s="226" t="s">
        <v>665</v>
      </c>
    </row>
    <row r="23" spans="2:7" ht="15.75" thickBot="1" x14ac:dyDescent="0.3">
      <c r="B23" s="108">
        <v>20</v>
      </c>
      <c r="C23" s="225" t="s">
        <v>641</v>
      </c>
      <c r="D23" s="224" t="s">
        <v>642</v>
      </c>
      <c r="E23" s="224" t="s">
        <v>643</v>
      </c>
      <c r="F23" s="224" t="s">
        <v>644</v>
      </c>
      <c r="G23" s="223" t="s">
        <v>535</v>
      </c>
    </row>
    <row r="24" spans="2:7" ht="15.75" thickBot="1" x14ac:dyDescent="0.3">
      <c r="B24" s="155" t="s">
        <v>734</v>
      </c>
      <c r="C24" s="156"/>
      <c r="D24" s="156"/>
      <c r="E24" s="156"/>
      <c r="F24" s="156"/>
      <c r="G24" s="157"/>
    </row>
  </sheetData>
  <mergeCells count="1">
    <mergeCell ref="B24:G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CF8B-7C6D-4E9A-9C8E-CD10EC673BCC}">
  <sheetPr codeName="Sheet15">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49" t="s">
        <v>564</v>
      </c>
      <c r="C2" s="248"/>
      <c r="D2" s="253"/>
      <c r="E2" s="249" t="s">
        <v>568</v>
      </c>
      <c r="F2" s="248"/>
      <c r="H2" s="249" t="s">
        <v>572</v>
      </c>
      <c r="I2" s="248"/>
    </row>
    <row r="3" spans="2:9" x14ac:dyDescent="0.25">
      <c r="B3" s="250" t="s">
        <v>646</v>
      </c>
      <c r="C3" s="250" t="s">
        <v>647</v>
      </c>
      <c r="D3" s="252"/>
      <c r="E3" s="250" t="s">
        <v>667</v>
      </c>
      <c r="F3" s="250" t="s">
        <v>668</v>
      </c>
      <c r="H3" s="250" t="s">
        <v>667</v>
      </c>
      <c r="I3" s="250" t="s">
        <v>668</v>
      </c>
    </row>
    <row r="4" spans="2:9" x14ac:dyDescent="0.25">
      <c r="B4" s="247" t="s">
        <v>669</v>
      </c>
      <c r="C4" s="99" t="str">
        <f>LEFT(B4,3)</f>
        <v>Mr.</v>
      </c>
      <c r="D4" s="252"/>
      <c r="E4" s="247" t="s">
        <v>678</v>
      </c>
      <c r="F4" s="247" t="str">
        <f>RIGHT(E4,3)</f>
        <v>MNO</v>
      </c>
      <c r="H4" s="247" t="s">
        <v>678</v>
      </c>
      <c r="I4" s="247" t="str">
        <f>MID(H4,5,4)</f>
        <v>7842</v>
      </c>
    </row>
    <row r="5" spans="2:9" x14ac:dyDescent="0.25">
      <c r="B5" s="247" t="s">
        <v>670</v>
      </c>
      <c r="C5" s="99" t="str">
        <f>LEFT(B5,3)</f>
        <v>Mr.</v>
      </c>
      <c r="D5" s="252"/>
      <c r="E5" s="247" t="s">
        <v>679</v>
      </c>
      <c r="F5" s="247" t="str">
        <f>RIGHT(E5,3)</f>
        <v>KLM</v>
      </c>
      <c r="H5" s="247" t="s">
        <v>679</v>
      </c>
      <c r="I5" s="247" t="str">
        <f>MID(H5,5,4)</f>
        <v>8492</v>
      </c>
    </row>
    <row r="6" spans="2:9" x14ac:dyDescent="0.25">
      <c r="B6" s="247" t="s">
        <v>671</v>
      </c>
      <c r="C6" s="99" t="str">
        <f>LEFT(B6,3)</f>
        <v>Mr.</v>
      </c>
      <c r="D6" s="252"/>
      <c r="E6" s="247" t="s">
        <v>680</v>
      </c>
      <c r="F6" s="247" t="str">
        <f>RIGHT(E6,3)</f>
        <v>YZQ</v>
      </c>
      <c r="H6" s="247" t="s">
        <v>680</v>
      </c>
      <c r="I6" s="247" t="str">
        <f>MID(H6,5,4)</f>
        <v>2345</v>
      </c>
    </row>
    <row r="7" spans="2:9" x14ac:dyDescent="0.25">
      <c r="B7" s="247" t="s">
        <v>672</v>
      </c>
      <c r="C7" s="99" t="str">
        <f>LEFT(B7,3)</f>
        <v>Mr.</v>
      </c>
      <c r="D7" s="252"/>
      <c r="E7" s="247" t="s">
        <v>681</v>
      </c>
      <c r="F7" s="247" t="str">
        <f>RIGHT(E7,3)</f>
        <v>PQR</v>
      </c>
      <c r="H7" s="247" t="s">
        <v>681</v>
      </c>
      <c r="I7" s="247" t="str">
        <f>MID(H7,5,4)</f>
        <v>6789</v>
      </c>
    </row>
    <row r="8" spans="2:9" x14ac:dyDescent="0.25">
      <c r="B8" s="247" t="s">
        <v>673</v>
      </c>
      <c r="C8" s="99" t="str">
        <f>LEFT(B8,3)</f>
        <v>Ms.</v>
      </c>
      <c r="D8" s="252"/>
      <c r="E8" s="247" t="s">
        <v>682</v>
      </c>
      <c r="F8" s="247" t="str">
        <f>RIGHT(E8,3)</f>
        <v>ABC</v>
      </c>
      <c r="H8" s="247" t="s">
        <v>682</v>
      </c>
      <c r="I8" s="247" t="str">
        <f>MID(H8,5,4)</f>
        <v>4532</v>
      </c>
    </row>
    <row r="9" spans="2:9" x14ac:dyDescent="0.25">
      <c r="B9" s="247" t="s">
        <v>674</v>
      </c>
      <c r="C9" s="99" t="str">
        <f>LEFT(B9,3)</f>
        <v>Mr.</v>
      </c>
      <c r="D9" s="252"/>
      <c r="E9" s="247" t="s">
        <v>683</v>
      </c>
      <c r="F9" s="247" t="str">
        <f>RIGHT(E9,3)</f>
        <v>DEF</v>
      </c>
      <c r="H9" s="247" t="s">
        <v>683</v>
      </c>
      <c r="I9" s="247" t="str">
        <f>MID(H9,5,4)</f>
        <v>9102</v>
      </c>
    </row>
    <row r="10" spans="2:9" x14ac:dyDescent="0.25">
      <c r="B10" s="247" t="s">
        <v>675</v>
      </c>
      <c r="C10" s="99" t="str">
        <f>LEFT(B10,3)</f>
        <v>Ms.</v>
      </c>
      <c r="D10" s="252"/>
      <c r="E10" s="247" t="s">
        <v>684</v>
      </c>
      <c r="F10" s="247" t="str">
        <f>RIGHT(E10,3)</f>
        <v>GHI</v>
      </c>
      <c r="H10" s="247" t="s">
        <v>684</v>
      </c>
      <c r="I10" s="247" t="str">
        <f>MID(H10,5,4)</f>
        <v>3217</v>
      </c>
    </row>
    <row r="11" spans="2:9" x14ac:dyDescent="0.25">
      <c r="B11" s="247" t="s">
        <v>676</v>
      </c>
      <c r="C11" s="99" t="str">
        <f>LEFT(B11,3)</f>
        <v>Mr.</v>
      </c>
      <c r="D11" s="252"/>
      <c r="E11" s="247" t="s">
        <v>685</v>
      </c>
      <c r="F11" s="247" t="str">
        <f>RIGHT(E11,3)</f>
        <v>JKL</v>
      </c>
      <c r="H11" s="247" t="s">
        <v>685</v>
      </c>
      <c r="I11" s="247" t="str">
        <f>MID(H11,5,4)</f>
        <v>7654</v>
      </c>
    </row>
    <row r="12" spans="2:9" x14ac:dyDescent="0.25">
      <c r="B12" s="247" t="s">
        <v>677</v>
      </c>
      <c r="C12" s="99" t="str">
        <f>LEFT(B12,3)</f>
        <v>Ms.</v>
      </c>
      <c r="D12" s="251"/>
      <c r="E12" s="247" t="s">
        <v>686</v>
      </c>
      <c r="F12" s="247" t="str">
        <f>RIGHT(E12,3)</f>
        <v>STU</v>
      </c>
      <c r="H12" s="247" t="s">
        <v>686</v>
      </c>
      <c r="I12" s="247" t="str">
        <f>MID(H12,5,4)</f>
        <v>1876</v>
      </c>
    </row>
    <row r="15" spans="2:9" ht="15.75" thickBot="1" x14ac:dyDescent="0.3"/>
    <row r="16" spans="2:9" x14ac:dyDescent="0.25">
      <c r="B16" s="249" t="s">
        <v>687</v>
      </c>
      <c r="C16" s="248"/>
      <c r="E16" s="249" t="s">
        <v>580</v>
      </c>
      <c r="F16" s="248"/>
    </row>
    <row r="17" spans="2:9" x14ac:dyDescent="0.25">
      <c r="B17" s="250" t="s">
        <v>667</v>
      </c>
      <c r="C17" s="250"/>
      <c r="E17" s="250" t="s">
        <v>646</v>
      </c>
      <c r="F17" s="250"/>
    </row>
    <row r="18" spans="2:9" x14ac:dyDescent="0.25">
      <c r="B18" s="247" t="s">
        <v>678</v>
      </c>
      <c r="C18" s="247">
        <f>LEN(B18)</f>
        <v>12</v>
      </c>
      <c r="E18" s="247" t="s">
        <v>688</v>
      </c>
      <c r="F18" s="99" t="str">
        <f>TRIM(E18)</f>
        <v>Mr. Oneeb Arif</v>
      </c>
    </row>
    <row r="19" spans="2:9" x14ac:dyDescent="0.25">
      <c r="B19" s="247" t="s">
        <v>679</v>
      </c>
      <c r="C19" s="247">
        <f>LEN(B19)</f>
        <v>12</v>
      </c>
      <c r="E19" s="247" t="s">
        <v>689</v>
      </c>
      <c r="F19" s="99" t="str">
        <f>TRIM(E19)</f>
        <v>Mr. Bilal Ahmed</v>
      </c>
    </row>
    <row r="20" spans="2:9" x14ac:dyDescent="0.25">
      <c r="B20" s="247" t="s">
        <v>680</v>
      </c>
      <c r="C20" s="247">
        <f>LEN(B20)</f>
        <v>12</v>
      </c>
      <c r="E20" s="247" t="s">
        <v>694</v>
      </c>
      <c r="F20" s="99" t="str">
        <f>TRIM(E20)</f>
        <v>Mr. Muneer Khan</v>
      </c>
    </row>
    <row r="21" spans="2:9" x14ac:dyDescent="0.25">
      <c r="B21" s="247" t="s">
        <v>681</v>
      </c>
      <c r="C21" s="247">
        <f>LEN(B21)</f>
        <v>12</v>
      </c>
      <c r="E21" s="247" t="s">
        <v>690</v>
      </c>
      <c r="F21" s="99" t="str">
        <f>TRIM(E21)</f>
        <v>Mr. Affan Ahmed</v>
      </c>
    </row>
    <row r="22" spans="2:9" x14ac:dyDescent="0.25">
      <c r="B22" s="247" t="s">
        <v>682</v>
      </c>
      <c r="C22" s="247">
        <f>LEN(B22)</f>
        <v>12</v>
      </c>
      <c r="E22" s="247" t="s">
        <v>693</v>
      </c>
      <c r="F22" s="99" t="str">
        <f>TRIM(E22)</f>
        <v>Ms. Ayesha Malik</v>
      </c>
    </row>
    <row r="23" spans="2:9" x14ac:dyDescent="0.25">
      <c r="B23" s="247" t="s">
        <v>683</v>
      </c>
      <c r="C23" s="247">
        <f>LEN(B23)</f>
        <v>12</v>
      </c>
      <c r="E23" s="247" t="s">
        <v>692</v>
      </c>
      <c r="F23" s="99" t="str">
        <f>TRIM(E23)</f>
        <v>Mr. Abdul Wasay</v>
      </c>
    </row>
    <row r="24" spans="2:9" x14ac:dyDescent="0.25">
      <c r="B24" s="247" t="s">
        <v>684</v>
      </c>
      <c r="C24" s="247">
        <f>LEN(B24)</f>
        <v>12</v>
      </c>
      <c r="E24" s="247" t="s">
        <v>675</v>
      </c>
      <c r="F24" s="99" t="str">
        <f>TRIM(E24)</f>
        <v>Ms. Fatima Raza</v>
      </c>
    </row>
    <row r="25" spans="2:9" x14ac:dyDescent="0.25">
      <c r="B25" s="247" t="s">
        <v>685</v>
      </c>
      <c r="C25" s="247">
        <f>LEN(B25)</f>
        <v>12</v>
      </c>
      <c r="E25" s="247" t="s">
        <v>676</v>
      </c>
      <c r="F25" s="99" t="str">
        <f>TRIM(E25)</f>
        <v>Mr. Hamza Sheikh</v>
      </c>
    </row>
    <row r="26" spans="2:9" x14ac:dyDescent="0.25">
      <c r="B26" s="247" t="s">
        <v>686</v>
      </c>
      <c r="C26" s="247">
        <f>LEN(B26)</f>
        <v>12</v>
      </c>
      <c r="E26" s="247" t="s">
        <v>691</v>
      </c>
      <c r="F26" s="99" t="str">
        <f>TRIM(E26)</f>
        <v>Ms. Zainab Ali</v>
      </c>
    </row>
    <row r="31" spans="2:9" ht="15.75" thickBot="1" x14ac:dyDescent="0.3"/>
    <row r="32" spans="2:9" x14ac:dyDescent="0.25">
      <c r="B32" s="249" t="s">
        <v>588</v>
      </c>
      <c r="C32" s="248"/>
      <c r="E32" s="249" t="s">
        <v>584</v>
      </c>
      <c r="F32" s="248"/>
      <c r="H32" s="249" t="s">
        <v>592</v>
      </c>
      <c r="I32" s="248"/>
    </row>
    <row r="33" spans="2:25" x14ac:dyDescent="0.25">
      <c r="B33" s="250" t="s">
        <v>646</v>
      </c>
      <c r="C33" s="250" t="s">
        <v>695</v>
      </c>
      <c r="E33" s="250" t="s">
        <v>646</v>
      </c>
      <c r="F33" s="250" t="s">
        <v>696</v>
      </c>
      <c r="H33" s="250" t="s">
        <v>646</v>
      </c>
      <c r="I33" s="250" t="s">
        <v>697</v>
      </c>
    </row>
    <row r="34" spans="2:25" x14ac:dyDescent="0.25">
      <c r="B34" s="247" t="s">
        <v>669</v>
      </c>
      <c r="C34" s="99" t="str">
        <f>LOWER(B34)</f>
        <v>mr. oneeb arif</v>
      </c>
      <c r="E34" s="247" t="s">
        <v>669</v>
      </c>
      <c r="F34" s="99" t="str">
        <f>UPPER(E34)</f>
        <v>MR. ONEEB ARIF</v>
      </c>
      <c r="H34" s="247" t="s">
        <v>698</v>
      </c>
      <c r="I34" s="247" t="str">
        <f>PROPER(H34)</f>
        <v>Mr. Oneeb Arif</v>
      </c>
    </row>
    <row r="35" spans="2:25" x14ac:dyDescent="0.25">
      <c r="B35" s="247" t="s">
        <v>670</v>
      </c>
      <c r="C35" s="99" t="str">
        <f>LOWER(B35)</f>
        <v>mr. bilal ahmed</v>
      </c>
      <c r="E35" s="247" t="s">
        <v>670</v>
      </c>
      <c r="F35" s="99" t="str">
        <f>UPPER(E35)</f>
        <v>MR. BILAL AHMED</v>
      </c>
      <c r="H35" s="247" t="s">
        <v>699</v>
      </c>
      <c r="I35" s="247" t="str">
        <f>PROPER(H35)</f>
        <v>Mr. Bilal Ahmed</v>
      </c>
    </row>
    <row r="36" spans="2:25" x14ac:dyDescent="0.25">
      <c r="B36" s="247" t="s">
        <v>671</v>
      </c>
      <c r="C36" s="99" t="str">
        <f>LOWER(B36)</f>
        <v>mr. muneer khan</v>
      </c>
      <c r="E36" s="247" t="s">
        <v>671</v>
      </c>
      <c r="F36" s="99" t="str">
        <f>UPPER(E36)</f>
        <v>MR. MUNEER KHAN</v>
      </c>
      <c r="H36" s="247" t="s">
        <v>700</v>
      </c>
      <c r="I36" s="247" t="str">
        <f>PROPER(H36)</f>
        <v>Mr. Muneer Khan</v>
      </c>
    </row>
    <row r="37" spans="2:25" x14ac:dyDescent="0.25">
      <c r="B37" s="247" t="s">
        <v>672</v>
      </c>
      <c r="C37" s="99" t="str">
        <f>LOWER(B37)</f>
        <v>mr. affan ahmed</v>
      </c>
      <c r="E37" s="247" t="s">
        <v>672</v>
      </c>
      <c r="F37" s="99" t="str">
        <f>UPPER(E37)</f>
        <v>MR. AFFAN AHMED</v>
      </c>
      <c r="H37" s="247" t="s">
        <v>701</v>
      </c>
      <c r="I37" s="247" t="str">
        <f>PROPER(H37)</f>
        <v>Mr. Affan Ahmed</v>
      </c>
    </row>
    <row r="38" spans="2:25" x14ac:dyDescent="0.25">
      <c r="B38" s="247" t="s">
        <v>673</v>
      </c>
      <c r="C38" s="99" t="str">
        <f>LOWER(B38)</f>
        <v>ms. ayesha malik</v>
      </c>
      <c r="E38" s="247" t="s">
        <v>673</v>
      </c>
      <c r="F38" s="99" t="str">
        <f>UPPER(E38)</f>
        <v>MS. AYESHA MALIK</v>
      </c>
      <c r="H38" s="247" t="s">
        <v>702</v>
      </c>
      <c r="I38" s="247" t="str">
        <f>PROPER(H38)</f>
        <v>Ms. Ayesha Malik</v>
      </c>
    </row>
    <row r="39" spans="2:25" x14ac:dyDescent="0.25">
      <c r="B39" s="247" t="s">
        <v>674</v>
      </c>
      <c r="C39" s="99" t="str">
        <f>LOWER(B39)</f>
        <v>mr. abdul wasay</v>
      </c>
      <c r="E39" s="247" t="s">
        <v>674</v>
      </c>
      <c r="F39" s="99" t="str">
        <f>UPPER(E39)</f>
        <v>MR. ABDUL WASAY</v>
      </c>
      <c r="H39" s="247" t="s">
        <v>703</v>
      </c>
      <c r="I39" s="247" t="str">
        <f>PROPER(H39)</f>
        <v>Mr. Abdul Wasay</v>
      </c>
    </row>
    <row r="40" spans="2:25" x14ac:dyDescent="0.25">
      <c r="B40" s="247" t="s">
        <v>675</v>
      </c>
      <c r="C40" s="99" t="str">
        <f>LOWER(B40)</f>
        <v>ms. fatima raza</v>
      </c>
      <c r="E40" s="247" t="s">
        <v>675</v>
      </c>
      <c r="F40" s="99" t="str">
        <f>UPPER(E40)</f>
        <v>MS. FATIMA RAZA</v>
      </c>
      <c r="H40" s="247" t="s">
        <v>704</v>
      </c>
      <c r="I40" s="247" t="str">
        <f>PROPER(H40)</f>
        <v>Ms. Fatima Raza</v>
      </c>
    </row>
    <row r="41" spans="2:25" x14ac:dyDescent="0.25">
      <c r="B41" s="247" t="s">
        <v>676</v>
      </c>
      <c r="C41" s="99" t="str">
        <f>LOWER(B41)</f>
        <v>mr. hamza sheikh</v>
      </c>
      <c r="E41" s="247" t="s">
        <v>676</v>
      </c>
      <c r="F41" s="99" t="str">
        <f>UPPER(E41)</f>
        <v>MR. HAMZA SHEIKH</v>
      </c>
      <c r="H41" s="247" t="s">
        <v>705</v>
      </c>
      <c r="I41" s="247" t="str">
        <f>PROPER(H41)</f>
        <v>Mr. Hamza Sheikh</v>
      </c>
    </row>
    <row r="42" spans="2:25" x14ac:dyDescent="0.25">
      <c r="B42" s="247" t="s">
        <v>677</v>
      </c>
      <c r="C42" s="99" t="str">
        <f>LOWER(B42)</f>
        <v>ms. zainab ali</v>
      </c>
      <c r="E42" s="247" t="s">
        <v>677</v>
      </c>
      <c r="F42" s="99" t="str">
        <f>UPPER(E42)</f>
        <v>MS. ZAINAB ALI</v>
      </c>
      <c r="H42" s="247" t="s">
        <v>706</v>
      </c>
      <c r="I42" s="247" t="str">
        <f>PROPER(H42)</f>
        <v>Ms. Zainab Ali</v>
      </c>
    </row>
    <row r="45" spans="2:25" ht="18" customHeight="1" x14ac:dyDescent="0.25">
      <c r="B45" s="158" t="s">
        <v>732</v>
      </c>
      <c r="C45" s="158"/>
      <c r="D45" s="158"/>
      <c r="G45" s="158" t="s">
        <v>719</v>
      </c>
      <c r="H45" s="158"/>
      <c r="I45" s="158"/>
      <c r="K45" s="158" t="s">
        <v>707</v>
      </c>
      <c r="L45" s="158"/>
      <c r="M45" s="158"/>
      <c r="O45" s="158" t="s">
        <v>730</v>
      </c>
      <c r="P45" s="158"/>
      <c r="Q45" s="158"/>
      <c r="S45" s="158" t="s">
        <v>731</v>
      </c>
      <c r="T45" s="158"/>
      <c r="U45" s="158"/>
      <c r="W45" s="158" t="s">
        <v>733</v>
      </c>
      <c r="X45" s="158"/>
      <c r="Y45" s="158"/>
    </row>
    <row r="46" spans="2:25" ht="18" customHeight="1" x14ac:dyDescent="0.25">
      <c r="B46" s="104" t="s">
        <v>710</v>
      </c>
      <c r="C46" s="104" t="s">
        <v>708</v>
      </c>
      <c r="D46" s="104" t="s">
        <v>709</v>
      </c>
      <c r="G46" s="104" t="s">
        <v>708</v>
      </c>
      <c r="H46" s="104" t="s">
        <v>709</v>
      </c>
      <c r="I46" s="104" t="s">
        <v>710</v>
      </c>
      <c r="K46" s="104" t="s">
        <v>708</v>
      </c>
      <c r="L46" s="104" t="s">
        <v>709</v>
      </c>
      <c r="M46" s="104" t="s">
        <v>710</v>
      </c>
      <c r="O46" s="104" t="s">
        <v>708</v>
      </c>
      <c r="P46" s="104" t="s">
        <v>709</v>
      </c>
      <c r="Q46" s="104" t="s">
        <v>710</v>
      </c>
      <c r="S46" s="104" t="s">
        <v>708</v>
      </c>
      <c r="T46" s="104" t="s">
        <v>709</v>
      </c>
      <c r="U46" s="104" t="s">
        <v>710</v>
      </c>
      <c r="W46" s="104" t="s">
        <v>708</v>
      </c>
      <c r="X46" s="104" t="s">
        <v>709</v>
      </c>
      <c r="Y46" s="104" t="s">
        <v>710</v>
      </c>
    </row>
    <row r="47" spans="2:25" ht="18" customHeight="1" x14ac:dyDescent="0.25">
      <c r="B47" s="106" t="s">
        <v>720</v>
      </c>
      <c r="C47" s="105"/>
      <c r="D47" s="105"/>
      <c r="G47" s="105" t="s">
        <v>711</v>
      </c>
      <c r="H47" s="105" t="s">
        <v>712</v>
      </c>
      <c r="I47" s="106" t="s">
        <v>720</v>
      </c>
      <c r="K47" s="105" t="s">
        <v>711</v>
      </c>
      <c r="L47" s="105" t="s">
        <v>712</v>
      </c>
      <c r="M47" s="106" t="str">
        <f>_xlfn.TEXTJOIN(" ",TRUE,K47,L47)</f>
        <v>Oneeb Arif</v>
      </c>
      <c r="O47" s="105" t="s">
        <v>711</v>
      </c>
      <c r="P47" s="105" t="s">
        <v>712</v>
      </c>
      <c r="Q47" s="106" t="str">
        <f>CONCATENATE(O47," ",P47)</f>
        <v>Oneeb Arif</v>
      </c>
      <c r="S47" s="105" t="s">
        <v>711</v>
      </c>
      <c r="T47" s="105" t="s">
        <v>712</v>
      </c>
      <c r="U47" s="106" t="str">
        <f>_xlfn.CONCAT(S47,T47)</f>
        <v>OneebArif</v>
      </c>
      <c r="W47" s="105" t="s">
        <v>711</v>
      </c>
      <c r="X47" s="105" t="s">
        <v>712</v>
      </c>
      <c r="Y47" s="106" t="str">
        <f>W47&amp;" "&amp;X47</f>
        <v>Oneeb Arif</v>
      </c>
    </row>
    <row r="48" spans="2:25" ht="18" customHeight="1" x14ac:dyDescent="0.25">
      <c r="B48" s="106" t="s">
        <v>721</v>
      </c>
      <c r="C48" s="105" t="s">
        <v>171</v>
      </c>
      <c r="D48" s="105" t="s">
        <v>60</v>
      </c>
      <c r="G48" s="105" t="s">
        <v>171</v>
      </c>
      <c r="H48" s="105" t="s">
        <v>60</v>
      </c>
      <c r="I48" s="106" t="s">
        <v>721</v>
      </c>
      <c r="K48" s="105" t="s">
        <v>171</v>
      </c>
      <c r="L48" s="105" t="s">
        <v>60</v>
      </c>
      <c r="M48" s="106" t="str">
        <f>_xlfn.TEXTJOIN(" ",TRUE,K48,L48)</f>
        <v>Bilal Ahmed</v>
      </c>
      <c r="O48" s="105" t="s">
        <v>171</v>
      </c>
      <c r="P48" s="105" t="s">
        <v>60</v>
      </c>
      <c r="Q48" s="106" t="str">
        <f>CONCATENATE(O48," ",P48)</f>
        <v>Bilal Ahmed</v>
      </c>
      <c r="S48" s="105" t="s">
        <v>171</v>
      </c>
      <c r="T48" s="105" t="s">
        <v>60</v>
      </c>
      <c r="U48" s="106" t="str">
        <f>_xlfn.CONCAT(S48,"-",T48)</f>
        <v>Bilal-Ahmed</v>
      </c>
      <c r="W48" s="105" t="s">
        <v>171</v>
      </c>
      <c r="X48" s="105" t="s">
        <v>60</v>
      </c>
      <c r="Y48" s="106" t="str">
        <f>W48&amp;" "&amp;X48</f>
        <v>Bilal Ahmed</v>
      </c>
    </row>
    <row r="49" spans="2:25" ht="18" customHeight="1" x14ac:dyDescent="0.25">
      <c r="B49" s="106" t="s">
        <v>722</v>
      </c>
      <c r="C49" s="105"/>
      <c r="D49" s="105"/>
      <c r="G49" s="105" t="s">
        <v>713</v>
      </c>
      <c r="H49" s="105" t="s">
        <v>201</v>
      </c>
      <c r="I49" s="106" t="s">
        <v>722</v>
      </c>
      <c r="K49" s="105" t="s">
        <v>713</v>
      </c>
      <c r="L49" s="105" t="s">
        <v>201</v>
      </c>
      <c r="M49" s="106" t="str">
        <f>_xlfn.TEXTJOIN(" ",TRUE,K49,L49)</f>
        <v>Muneer Khan</v>
      </c>
      <c r="O49" s="105" t="s">
        <v>713</v>
      </c>
      <c r="P49" s="105" t="s">
        <v>201</v>
      </c>
      <c r="Q49" s="106" t="str">
        <f>CONCATENATE(O49," ",P49)</f>
        <v>Muneer Khan</v>
      </c>
      <c r="S49" s="105" t="s">
        <v>713</v>
      </c>
      <c r="T49" s="105" t="s">
        <v>201</v>
      </c>
      <c r="U49" s="106" t="str">
        <f>_xlfn.CONCAT(S49,"-",T49)</f>
        <v>Muneer-Khan</v>
      </c>
      <c r="W49" s="105" t="s">
        <v>713</v>
      </c>
      <c r="X49" s="105" t="s">
        <v>201</v>
      </c>
      <c r="Y49" s="106" t="str">
        <f>W49&amp;" "&amp;X49</f>
        <v>Muneer Khan</v>
      </c>
    </row>
    <row r="50" spans="2:25" ht="18" customHeight="1" x14ac:dyDescent="0.25">
      <c r="B50" s="106" t="s">
        <v>723</v>
      </c>
      <c r="C50" s="105"/>
      <c r="D50" s="105"/>
      <c r="G50" s="105" t="s">
        <v>714</v>
      </c>
      <c r="H50" s="105" t="s">
        <v>60</v>
      </c>
      <c r="I50" s="106" t="s">
        <v>723</v>
      </c>
      <c r="K50" s="105" t="s">
        <v>714</v>
      </c>
      <c r="L50" s="105" t="s">
        <v>60</v>
      </c>
      <c r="M50" s="106" t="str">
        <f>_xlfn.TEXTJOIN(" ",TRUE,K50,L50)</f>
        <v>Affan Ahmed</v>
      </c>
      <c r="O50" s="105" t="s">
        <v>714</v>
      </c>
      <c r="P50" s="105" t="s">
        <v>60</v>
      </c>
      <c r="Q50" s="106" t="str">
        <f>CONCATENATE(O50," ",P50)</f>
        <v>Affan Ahmed</v>
      </c>
      <c r="S50" s="105" t="s">
        <v>714</v>
      </c>
      <c r="T50" s="105" t="s">
        <v>60</v>
      </c>
      <c r="U50" s="106" t="str">
        <f>_xlfn.CONCAT(S50,"-",T50)</f>
        <v>Affan-Ahmed</v>
      </c>
      <c r="W50" s="105" t="s">
        <v>714</v>
      </c>
      <c r="X50" s="105" t="s">
        <v>60</v>
      </c>
      <c r="Y50" s="106" t="str">
        <f>W50&amp;" "&amp;X50</f>
        <v>Affan Ahmed</v>
      </c>
    </row>
    <row r="51" spans="2:25" ht="18" customHeight="1" x14ac:dyDescent="0.25">
      <c r="B51" s="106" t="s">
        <v>724</v>
      </c>
      <c r="C51" s="105"/>
      <c r="D51" s="105"/>
      <c r="G51" s="105" t="s">
        <v>176</v>
      </c>
      <c r="H51" s="105" t="s">
        <v>191</v>
      </c>
      <c r="I51" s="106" t="s">
        <v>724</v>
      </c>
      <c r="K51" s="105" t="s">
        <v>176</v>
      </c>
      <c r="L51" s="105" t="s">
        <v>191</v>
      </c>
      <c r="M51" s="106" t="str">
        <f>_xlfn.TEXTJOIN(" ",TRUE,K51,L51)</f>
        <v>Ayesha Malik</v>
      </c>
      <c r="O51" s="105" t="s">
        <v>176</v>
      </c>
      <c r="P51" s="105" t="s">
        <v>191</v>
      </c>
      <c r="Q51" s="106" t="str">
        <f>CONCATENATE(O51," ",P51)</f>
        <v>Ayesha Malik</v>
      </c>
      <c r="S51" s="105" t="s">
        <v>176</v>
      </c>
      <c r="T51" s="105" t="s">
        <v>191</v>
      </c>
      <c r="U51" s="106" t="str">
        <f>_xlfn.CONCAT(S51,"-",T51)</f>
        <v>Ayesha-Malik</v>
      </c>
      <c r="W51" s="105" t="s">
        <v>176</v>
      </c>
      <c r="X51" s="105" t="s">
        <v>191</v>
      </c>
      <c r="Y51" s="106" t="str">
        <f>W51&amp;" "&amp;X51</f>
        <v>Ayesha Malik</v>
      </c>
    </row>
    <row r="52" spans="2:25" ht="18" customHeight="1" x14ac:dyDescent="0.25">
      <c r="B52" s="106" t="s">
        <v>725</v>
      </c>
      <c r="C52" s="105"/>
      <c r="D52" s="105"/>
      <c r="G52" s="105" t="s">
        <v>715</v>
      </c>
      <c r="H52" s="105" t="s">
        <v>716</v>
      </c>
      <c r="I52" s="106" t="s">
        <v>725</v>
      </c>
      <c r="K52" s="105" t="s">
        <v>715</v>
      </c>
      <c r="L52" s="105" t="s">
        <v>716</v>
      </c>
      <c r="M52" s="106" t="str">
        <f>_xlfn.TEXTJOIN(" ",TRUE,K52,L52)</f>
        <v>Abdul Wasay</v>
      </c>
      <c r="O52" s="105" t="s">
        <v>715</v>
      </c>
      <c r="P52" s="105" t="s">
        <v>716</v>
      </c>
      <c r="Q52" s="106" t="str">
        <f>CONCATENATE(O52," ",P52)</f>
        <v>Abdul Wasay</v>
      </c>
      <c r="S52" s="105" t="s">
        <v>715</v>
      </c>
      <c r="T52" s="105" t="s">
        <v>716</v>
      </c>
      <c r="U52" s="106" t="str">
        <f>_xlfn.CONCAT(S52,"-",T52)</f>
        <v>Abdul-Wasay</v>
      </c>
      <c r="W52" s="105" t="s">
        <v>715</v>
      </c>
      <c r="X52" s="105" t="s">
        <v>716</v>
      </c>
      <c r="Y52" s="106" t="str">
        <f>W52&amp;" "&amp;X52</f>
        <v>Abdul Wasay</v>
      </c>
    </row>
    <row r="53" spans="2:25" ht="18" customHeight="1" x14ac:dyDescent="0.25">
      <c r="B53" s="106" t="s">
        <v>726</v>
      </c>
      <c r="C53" s="105"/>
      <c r="D53" s="105"/>
      <c r="G53" s="105" t="s">
        <v>196</v>
      </c>
      <c r="H53" s="105" t="s">
        <v>77</v>
      </c>
      <c r="I53" s="106" t="s">
        <v>726</v>
      </c>
      <c r="K53" s="105" t="s">
        <v>196</v>
      </c>
      <c r="L53" s="105" t="s">
        <v>77</v>
      </c>
      <c r="M53" s="106" t="str">
        <f>_xlfn.TEXTJOIN(" ",TRUE,K53,L53)</f>
        <v>Fatima Raza</v>
      </c>
      <c r="O53" s="105" t="s">
        <v>196</v>
      </c>
      <c r="P53" s="105" t="s">
        <v>77</v>
      </c>
      <c r="Q53" s="106" t="str">
        <f>CONCATENATE(O53," ",P53)</f>
        <v>Fatima Raza</v>
      </c>
      <c r="S53" s="105" t="s">
        <v>196</v>
      </c>
      <c r="T53" s="105" t="s">
        <v>77</v>
      </c>
      <c r="U53" s="106" t="str">
        <f>_xlfn.CONCAT(S53,"-",T53)</f>
        <v>Fatima-Raza</v>
      </c>
      <c r="W53" s="105" t="s">
        <v>196</v>
      </c>
      <c r="X53" s="105" t="s">
        <v>77</v>
      </c>
      <c r="Y53" s="106" t="str">
        <f>W53&amp;" "&amp;X53</f>
        <v>Fatima Raza</v>
      </c>
    </row>
    <row r="54" spans="2:25" ht="18" customHeight="1" x14ac:dyDescent="0.25">
      <c r="B54" s="106" t="s">
        <v>727</v>
      </c>
      <c r="C54" s="105"/>
      <c r="D54" s="105"/>
      <c r="G54" s="105" t="s">
        <v>59</v>
      </c>
      <c r="H54" s="105" t="s">
        <v>290</v>
      </c>
      <c r="I54" s="106" t="s">
        <v>727</v>
      </c>
      <c r="K54" s="105" t="s">
        <v>59</v>
      </c>
      <c r="L54" s="105" t="s">
        <v>290</v>
      </c>
      <c r="M54" s="106" t="str">
        <f>_xlfn.TEXTJOIN(" ",TRUE,K54,L54)</f>
        <v>Hamza Sheikh</v>
      </c>
      <c r="O54" s="105" t="s">
        <v>59</v>
      </c>
      <c r="P54" s="105" t="s">
        <v>290</v>
      </c>
      <c r="Q54" s="106" t="str">
        <f>CONCATENATE(O54," ",P54)</f>
        <v>Hamza Sheikh</v>
      </c>
      <c r="S54" s="105" t="s">
        <v>59</v>
      </c>
      <c r="T54" s="105" t="s">
        <v>290</v>
      </c>
      <c r="U54" s="106" t="str">
        <f>_xlfn.CONCAT(S54,"-",T54)</f>
        <v>Hamza-Sheikh</v>
      </c>
      <c r="W54" s="105" t="s">
        <v>59</v>
      </c>
      <c r="X54" s="105" t="s">
        <v>290</v>
      </c>
      <c r="Y54" s="106" t="str">
        <f>W54&amp;" "&amp;X54</f>
        <v>Hamza Sheikh</v>
      </c>
    </row>
    <row r="55" spans="2:25" ht="18" customHeight="1" x14ac:dyDescent="0.25">
      <c r="B55" s="106" t="s">
        <v>728</v>
      </c>
      <c r="C55" s="105"/>
      <c r="D55" s="105"/>
      <c r="G55" s="105" t="s">
        <v>717</v>
      </c>
      <c r="H55" s="105" t="s">
        <v>42</v>
      </c>
      <c r="I55" s="106" t="s">
        <v>728</v>
      </c>
      <c r="K55" s="105" t="s">
        <v>717</v>
      </c>
      <c r="L55" s="105" t="s">
        <v>42</v>
      </c>
      <c r="M55" s="106" t="str">
        <f>_xlfn.TEXTJOIN(" ",TRUE,K55,L55)</f>
        <v>Zainab Ali</v>
      </c>
      <c r="O55" s="105" t="s">
        <v>717</v>
      </c>
      <c r="P55" s="105" t="s">
        <v>42</v>
      </c>
      <c r="Q55" s="106" t="str">
        <f>CONCATENATE(O55," ",P55)</f>
        <v>Zainab Ali</v>
      </c>
      <c r="S55" s="105" t="s">
        <v>717</v>
      </c>
      <c r="T55" s="105" t="s">
        <v>42</v>
      </c>
      <c r="U55" s="106" t="str">
        <f>_xlfn.CONCAT(S55,"-",T55)</f>
        <v>Zainab-Ali</v>
      </c>
      <c r="W55" s="105" t="s">
        <v>717</v>
      </c>
      <c r="X55" s="105" t="s">
        <v>42</v>
      </c>
      <c r="Y55" s="106" t="str">
        <f>W55&amp;" "&amp;X55</f>
        <v>Zainab Ali</v>
      </c>
    </row>
    <row r="56" spans="2:25" ht="18" customHeight="1" x14ac:dyDescent="0.25">
      <c r="B56" s="106" t="s">
        <v>729</v>
      </c>
      <c r="C56" s="105"/>
      <c r="D56" s="105"/>
      <c r="G56" s="105" t="s">
        <v>216</v>
      </c>
      <c r="H56" s="105" t="s">
        <v>718</v>
      </c>
      <c r="I56" s="106" t="s">
        <v>729</v>
      </c>
      <c r="K56" s="105" t="s">
        <v>216</v>
      </c>
      <c r="L56" s="105" t="s">
        <v>718</v>
      </c>
      <c r="M56" s="106" t="str">
        <f>_xlfn.TEXTJOIN(" ",TRUE,K56,L56)</f>
        <v>Usman Tariq</v>
      </c>
      <c r="O56" s="105" t="s">
        <v>216</v>
      </c>
      <c r="P56" s="105" t="s">
        <v>718</v>
      </c>
      <c r="Q56" s="106" t="str">
        <f>CONCATENATE(O56," ",P56)</f>
        <v>Usman Tariq</v>
      </c>
      <c r="S56" s="105" t="s">
        <v>216</v>
      </c>
      <c r="T56" s="105" t="s">
        <v>718</v>
      </c>
      <c r="U56" s="106" t="str">
        <f>_xlfn.CONCAT(S56,"-",T56)</f>
        <v>Usman-Tariq</v>
      </c>
      <c r="W56" s="105" t="s">
        <v>216</v>
      </c>
      <c r="X56" s="105" t="s">
        <v>718</v>
      </c>
      <c r="Y56" s="106" t="str">
        <f>W56&amp;" "&amp;X56</f>
        <v>Usman Tariq</v>
      </c>
    </row>
    <row r="57" spans="2:25" ht="18" customHeight="1" x14ac:dyDescent="0.25"/>
    <row r="58" spans="2:25" ht="18" customHeight="1" x14ac:dyDescent="0.25"/>
    <row r="59" spans="2:25" ht="18" customHeight="1" x14ac:dyDescent="0.25">
      <c r="G59" s="158" t="s">
        <v>735</v>
      </c>
      <c r="H59" s="158"/>
      <c r="I59" s="158"/>
    </row>
    <row r="60" spans="2:25" ht="18" customHeight="1" x14ac:dyDescent="0.25">
      <c r="G60" s="104" t="s">
        <v>710</v>
      </c>
      <c r="H60" s="104" t="s">
        <v>736</v>
      </c>
      <c r="I60" s="104" t="s">
        <v>737</v>
      </c>
    </row>
    <row r="61" spans="2:25" ht="18" customHeight="1" x14ac:dyDescent="0.25">
      <c r="G61" s="106" t="s">
        <v>720</v>
      </c>
      <c r="H61" s="105"/>
      <c r="I61" s="105"/>
    </row>
    <row r="62" spans="2:25" ht="18" customHeight="1" x14ac:dyDescent="0.25">
      <c r="G62" s="106" t="s">
        <v>721</v>
      </c>
      <c r="H62" s="105" t="s">
        <v>171</v>
      </c>
      <c r="I62" s="105" t="s">
        <v>60</v>
      </c>
    </row>
    <row r="63" spans="2:25" ht="18" customHeight="1" x14ac:dyDescent="0.25">
      <c r="G63" s="106" t="s">
        <v>722</v>
      </c>
      <c r="H63" s="105"/>
      <c r="I63" s="105"/>
    </row>
    <row r="64" spans="2:25" ht="18" customHeight="1" x14ac:dyDescent="0.25">
      <c r="G64" s="106" t="s">
        <v>723</v>
      </c>
      <c r="H64" s="105"/>
      <c r="I64" s="105"/>
    </row>
    <row r="65" spans="2:12" ht="18" customHeight="1" x14ac:dyDescent="0.25">
      <c r="G65" s="106" t="s">
        <v>724</v>
      </c>
      <c r="H65" s="105"/>
      <c r="I65" s="105"/>
    </row>
    <row r="66" spans="2:12" ht="18" customHeight="1" x14ac:dyDescent="0.25">
      <c r="G66" s="106" t="s">
        <v>725</v>
      </c>
      <c r="H66" s="105"/>
      <c r="I66" s="105"/>
    </row>
    <row r="67" spans="2:12" ht="18" customHeight="1" x14ac:dyDescent="0.25">
      <c r="G67" s="106" t="s">
        <v>726</v>
      </c>
      <c r="H67" s="105"/>
      <c r="I67" s="105"/>
    </row>
    <row r="68" spans="2:12" ht="18" customHeight="1" x14ac:dyDescent="0.25">
      <c r="G68" s="106" t="s">
        <v>727</v>
      </c>
      <c r="H68" s="105"/>
      <c r="I68" s="105"/>
    </row>
    <row r="69" spans="2:12" ht="18" customHeight="1" x14ac:dyDescent="0.25">
      <c r="G69" s="106" t="s">
        <v>728</v>
      </c>
      <c r="H69" s="105"/>
      <c r="I69" s="105"/>
    </row>
    <row r="70" spans="2:12" ht="18" customHeight="1" x14ac:dyDescent="0.25">
      <c r="G70" s="106" t="s">
        <v>729</v>
      </c>
      <c r="H70" s="105"/>
      <c r="I70" s="105"/>
    </row>
    <row r="71" spans="2:12" ht="18" customHeight="1" x14ac:dyDescent="0.25"/>
    <row r="74" spans="2:12" ht="15.75" thickBot="1" x14ac:dyDescent="0.3"/>
    <row r="75" spans="2:12" x14ac:dyDescent="0.25">
      <c r="B75" s="249" t="s">
        <v>738</v>
      </c>
      <c r="C75" s="248"/>
      <c r="E75" s="249" t="s">
        <v>741</v>
      </c>
      <c r="F75" s="248"/>
      <c r="H75" s="249" t="s">
        <v>740</v>
      </c>
      <c r="I75" s="248"/>
      <c r="K75" s="249" t="s">
        <v>742</v>
      </c>
      <c r="L75" s="248"/>
    </row>
    <row r="76" spans="2:12" x14ac:dyDescent="0.25">
      <c r="B76" s="250" t="s">
        <v>667</v>
      </c>
      <c r="C76" s="250" t="s">
        <v>739</v>
      </c>
      <c r="E76" s="250" t="s">
        <v>667</v>
      </c>
      <c r="F76" s="250" t="s">
        <v>739</v>
      </c>
      <c r="H76" s="250" t="s">
        <v>667</v>
      </c>
      <c r="I76" s="250" t="s">
        <v>739</v>
      </c>
      <c r="K76" s="250" t="s">
        <v>535</v>
      </c>
      <c r="L76" s="250" t="s">
        <v>739</v>
      </c>
    </row>
    <row r="77" spans="2:12" x14ac:dyDescent="0.25">
      <c r="B77" s="247" t="s">
        <v>678</v>
      </c>
      <c r="C77" s="247" t="str">
        <f>SUBSTITUTE(B77,"-","@")</f>
        <v>AXP@7842@MNO</v>
      </c>
      <c r="E77" s="247" t="s">
        <v>678</v>
      </c>
      <c r="F77" s="247">
        <f>FIND("A",E77)</f>
        <v>1</v>
      </c>
      <c r="H77" s="247" t="s">
        <v>678</v>
      </c>
      <c r="I77" s="247" t="str">
        <f>REPLACE(H77,5,4,2026)</f>
        <v>AXP-2026-MNO</v>
      </c>
      <c r="K77" s="247" t="s">
        <v>678</v>
      </c>
      <c r="L77" s="247">
        <f>SEARCH("o",K77)</f>
        <v>12</v>
      </c>
    </row>
    <row r="78" spans="2:12" x14ac:dyDescent="0.25">
      <c r="B78" s="247" t="s">
        <v>679</v>
      </c>
      <c r="C78" s="247" t="str">
        <f>SUBSTITUTE(B78,"-","@")</f>
        <v>BTR@8492@KLM</v>
      </c>
      <c r="E78" s="247" t="s">
        <v>679</v>
      </c>
      <c r="F78" s="247" t="e">
        <f>FIND("A",E78)</f>
        <v>#VALUE!</v>
      </c>
      <c r="H78" s="247" t="s">
        <v>679</v>
      </c>
      <c r="I78" s="247" t="str">
        <f>REPLACE(H78,5,4,2026)</f>
        <v>BTR-2026-KLM</v>
      </c>
      <c r="K78" s="247" t="s">
        <v>679</v>
      </c>
      <c r="L78" s="247" t="e">
        <f>SEARCH("o",K78)</f>
        <v>#VALUE!</v>
      </c>
    </row>
    <row r="79" spans="2:12" x14ac:dyDescent="0.25">
      <c r="B79" s="247" t="s">
        <v>680</v>
      </c>
      <c r="C79" s="247" t="str">
        <f>SUBSTITUTE(B79,"-","@")</f>
        <v>COS@2345@YZQ</v>
      </c>
      <c r="E79" s="247" t="s">
        <v>680</v>
      </c>
      <c r="F79" s="247" t="e">
        <f>FIND("A",E79)</f>
        <v>#VALUE!</v>
      </c>
      <c r="H79" s="247" t="s">
        <v>680</v>
      </c>
      <c r="I79" s="247" t="str">
        <f>REPLACE(H79,5,4,2026)</f>
        <v>COS-2026-YZQ</v>
      </c>
      <c r="K79" s="247" t="s">
        <v>680</v>
      </c>
      <c r="L79" s="247">
        <f>SEARCH("o",K79)</f>
        <v>2</v>
      </c>
    </row>
    <row r="80" spans="2:12" x14ac:dyDescent="0.25">
      <c r="B80" s="247" t="s">
        <v>681</v>
      </c>
      <c r="C80" s="247" t="str">
        <f>SUBSTITUTE(B80,"-","@")</f>
        <v>DYN@6789@PQR</v>
      </c>
      <c r="E80" s="247" t="s">
        <v>681</v>
      </c>
      <c r="F80" s="247" t="e">
        <f>FIND("A",E80)</f>
        <v>#VALUE!</v>
      </c>
      <c r="H80" s="247" t="s">
        <v>681</v>
      </c>
      <c r="I80" s="247" t="str">
        <f>REPLACE(H80,5,4,2026)</f>
        <v>DYN-2026-PQR</v>
      </c>
      <c r="K80" s="247" t="s">
        <v>681</v>
      </c>
      <c r="L80" s="247" t="e">
        <f>SEARCH("o",K80)</f>
        <v>#VALUE!</v>
      </c>
    </row>
    <row r="81" spans="2:12" x14ac:dyDescent="0.25">
      <c r="B81" s="247" t="s">
        <v>682</v>
      </c>
      <c r="C81" s="247" t="str">
        <f>SUBSTITUTE(B81,"-","@")</f>
        <v>EIM@4532@ABC</v>
      </c>
      <c r="E81" s="247" t="s">
        <v>682</v>
      </c>
      <c r="F81" s="247">
        <f>FIND("A",E81)</f>
        <v>10</v>
      </c>
      <c r="H81" s="247" t="s">
        <v>682</v>
      </c>
      <c r="I81" s="247" t="str">
        <f>REPLACE(H81,5,4,2026)</f>
        <v>EIM-2026-ABC</v>
      </c>
      <c r="K81" s="247" t="s">
        <v>682</v>
      </c>
      <c r="L81" s="247" t="e">
        <f>SEARCH("o",K81)</f>
        <v>#VALUE!</v>
      </c>
    </row>
    <row r="82" spans="2:12" x14ac:dyDescent="0.25">
      <c r="B82" s="247" t="s">
        <v>683</v>
      </c>
      <c r="C82" s="247" t="str">
        <f>SUBSTITUTE(B82,"-","@")</f>
        <v>FVK@9102@DEF</v>
      </c>
      <c r="E82" s="247" t="s">
        <v>683</v>
      </c>
      <c r="F82" s="247" t="e">
        <f>FIND("A",E82)</f>
        <v>#VALUE!</v>
      </c>
      <c r="H82" s="247" t="s">
        <v>683</v>
      </c>
      <c r="I82" s="247" t="str">
        <f>REPLACE(H82,5,4,2026)</f>
        <v>FVK-2026-DEF</v>
      </c>
      <c r="K82" s="247" t="s">
        <v>683</v>
      </c>
      <c r="L82" s="247" t="e">
        <f>SEARCH("o",K82)</f>
        <v>#VALUE!</v>
      </c>
    </row>
    <row r="83" spans="2:12" x14ac:dyDescent="0.25">
      <c r="B83" s="247" t="s">
        <v>684</v>
      </c>
      <c r="C83" s="247" t="str">
        <f>SUBSTITUTE(B83,"-","@")</f>
        <v>GWL@3217@GHI</v>
      </c>
      <c r="E83" s="247" t="s">
        <v>684</v>
      </c>
      <c r="F83" s="247" t="e">
        <f>FIND("A",E83)</f>
        <v>#VALUE!</v>
      </c>
      <c r="H83" s="247" t="s">
        <v>684</v>
      </c>
      <c r="I83" s="247" t="str">
        <f>REPLACE(H83,5,4,2026)</f>
        <v>GWL-2026-GHI</v>
      </c>
      <c r="K83" s="247" t="s">
        <v>684</v>
      </c>
      <c r="L83" s="247" t="e">
        <f>SEARCH("o",K83)</f>
        <v>#VALUE!</v>
      </c>
    </row>
    <row r="84" spans="2:12" x14ac:dyDescent="0.25">
      <c r="B84" s="247" t="s">
        <v>685</v>
      </c>
      <c r="C84" s="247" t="str">
        <f>SUBSTITUTE(B84,"-","@")</f>
        <v>HZS@7654@JKL</v>
      </c>
      <c r="E84" s="247" t="s">
        <v>685</v>
      </c>
      <c r="F84" s="247" t="e">
        <f>FIND("A",E84)</f>
        <v>#VALUE!</v>
      </c>
      <c r="H84" s="247" t="s">
        <v>685</v>
      </c>
      <c r="I84" s="247" t="str">
        <f>REPLACE(H84,5,4,2026)</f>
        <v>HZS-2026-JKL</v>
      </c>
      <c r="K84" s="247" t="s">
        <v>685</v>
      </c>
      <c r="L84" s="247" t="e">
        <f>SEARCH("o",K84)</f>
        <v>#VALUE!</v>
      </c>
    </row>
    <row r="85" spans="2:12" x14ac:dyDescent="0.25">
      <c r="B85" s="247" t="s">
        <v>686</v>
      </c>
      <c r="C85" s="247" t="str">
        <f>SUBSTITUTE(B85,"-","@")</f>
        <v>JQP@1876@STU</v>
      </c>
      <c r="E85" s="247" t="s">
        <v>686</v>
      </c>
      <c r="F85" s="247" t="e">
        <f>FIND("A",E85)</f>
        <v>#VALUE!</v>
      </c>
      <c r="H85" s="247" t="s">
        <v>686</v>
      </c>
      <c r="I85" s="247" t="str">
        <f>REPLACE(H85,5,4,2026)</f>
        <v>JQP-2026-STU</v>
      </c>
      <c r="K85" s="247" t="s">
        <v>686</v>
      </c>
      <c r="L85" s="247" t="e">
        <f>SEARCH("o",K85)</f>
        <v>#VALUE!</v>
      </c>
    </row>
    <row r="89" spans="2:12" ht="15.75" thickBot="1" x14ac:dyDescent="0.3"/>
    <row r="90" spans="2:12" ht="15.75" thickBot="1" x14ac:dyDescent="0.3">
      <c r="B90" s="249" t="s">
        <v>628</v>
      </c>
      <c r="C90" s="248"/>
    </row>
    <row r="91" spans="2:12" x14ac:dyDescent="0.25">
      <c r="B91" s="250" t="s">
        <v>743</v>
      </c>
      <c r="C91" s="250" t="s">
        <v>744</v>
      </c>
      <c r="D91" s="250" t="s">
        <v>745</v>
      </c>
      <c r="F91" s="249" t="s">
        <v>746</v>
      </c>
      <c r="G91" s="248"/>
      <c r="I91" s="249" t="s">
        <v>748</v>
      </c>
      <c r="J91" s="248"/>
    </row>
    <row r="92" spans="2:12" ht="30" x14ac:dyDescent="0.25">
      <c r="B92" s="111">
        <v>46309</v>
      </c>
      <c r="C92" s="247" t="str">
        <f>TEXT(B92,"D DDD")</f>
        <v>14 Wed</v>
      </c>
      <c r="D92" s="247" t="str">
        <f>TEXT(B92,"MMMM")</f>
        <v>October</v>
      </c>
      <c r="F92" s="112" t="s">
        <v>747</v>
      </c>
      <c r="G92" s="247">
        <f>VALUE(F92)</f>
        <v>12345</v>
      </c>
      <c r="I92" s="113" t="s">
        <v>749</v>
      </c>
      <c r="J92" s="247" t="str">
        <f>CLEAN(I92)</f>
        <v>OneebArif</v>
      </c>
    </row>
    <row r="93" spans="2:12" x14ac:dyDescent="0.25">
      <c r="B93" s="111">
        <v>46310</v>
      </c>
      <c r="C93" s="247" t="str">
        <f>TEXT(B93,"DDDD")</f>
        <v>Thursday</v>
      </c>
      <c r="D93" s="247" t="str">
        <f>TEXT(B93,"MMMM")</f>
        <v>October</v>
      </c>
    </row>
    <row r="94" spans="2:12" x14ac:dyDescent="0.25">
      <c r="B94" s="111">
        <v>46311</v>
      </c>
      <c r="C94" s="247" t="str">
        <f>TEXT(B94,"DDDD")</f>
        <v>Friday</v>
      </c>
      <c r="D94" s="247" t="str">
        <f>TEXT(B94,"MMMM")</f>
        <v>October</v>
      </c>
    </row>
    <row r="95" spans="2:12" x14ac:dyDescent="0.25">
      <c r="B95" s="111">
        <v>46312</v>
      </c>
      <c r="C95" s="247" t="str">
        <f>TEXT(B95,"DDDD")</f>
        <v>Saturday</v>
      </c>
      <c r="D95" s="247" t="str">
        <f>TEXT(B95,"MMMM")</f>
        <v>October</v>
      </c>
    </row>
    <row r="96" spans="2:12" ht="15.75" thickBot="1" x14ac:dyDescent="0.3">
      <c r="B96" s="111">
        <v>46313</v>
      </c>
      <c r="C96" s="247" t="str">
        <f>TEXT(B96,"DDDD")</f>
        <v>Sunday</v>
      </c>
      <c r="D96" s="247" t="str">
        <f>TEXT(B96,"MMMM")</f>
        <v>October</v>
      </c>
    </row>
    <row r="97" spans="2:10" x14ac:dyDescent="0.25">
      <c r="B97" s="111">
        <v>46314</v>
      </c>
      <c r="C97" s="247" t="str">
        <f>TEXT(B97,"DDDD")</f>
        <v>Monday</v>
      </c>
      <c r="D97" s="247" t="str">
        <f>TEXT(B97,"MMMM")</f>
        <v>October</v>
      </c>
      <c r="F97" s="249" t="s">
        <v>637</v>
      </c>
      <c r="G97" s="248"/>
      <c r="I97" s="249" t="s">
        <v>641</v>
      </c>
      <c r="J97" s="248"/>
    </row>
    <row r="98" spans="2:10" x14ac:dyDescent="0.25">
      <c r="B98" s="111">
        <v>46315</v>
      </c>
      <c r="C98" s="247" t="str">
        <f>TEXT(B98,"DDDD")</f>
        <v>Tuesday</v>
      </c>
      <c r="D98" s="247" t="str">
        <f>TEXT(B98,"MMMM")</f>
        <v>October</v>
      </c>
      <c r="F98" s="112" t="s">
        <v>750</v>
      </c>
      <c r="G98" s="247" t="str">
        <f>CHAR(F98)</f>
        <v>A</v>
      </c>
      <c r="I98" s="112" t="s">
        <v>751</v>
      </c>
      <c r="J98" s="247" t="str">
        <f>REPT(I98,5)</f>
        <v>%$%$%$%$%$</v>
      </c>
    </row>
    <row r="99" spans="2:10" x14ac:dyDescent="0.25">
      <c r="B99" s="111">
        <v>46316</v>
      </c>
      <c r="C99" s="247" t="str">
        <f>TEXT(B99,"DDDD")</f>
        <v>Wednesday</v>
      </c>
      <c r="D99" s="247" t="str">
        <f>TEXT(B99,"MMMM")</f>
        <v>October</v>
      </c>
    </row>
    <row r="100" spans="2:10" x14ac:dyDescent="0.25">
      <c r="B100" s="111">
        <v>46317</v>
      </c>
      <c r="C100" s="247" t="str">
        <f>TEXT(B100,"DDDD")</f>
        <v>Thursday</v>
      </c>
      <c r="D100" s="247" t="str">
        <f>TEXT(B100,"MMMM")</f>
        <v>October</v>
      </c>
    </row>
  </sheetData>
  <mergeCells count="24">
    <mergeCell ref="F91:G91"/>
    <mergeCell ref="I91:J91"/>
    <mergeCell ref="E2:F2"/>
    <mergeCell ref="B2:C2"/>
    <mergeCell ref="H2:I2"/>
    <mergeCell ref="B16:C16"/>
    <mergeCell ref="E16:F16"/>
    <mergeCell ref="S45:U45"/>
    <mergeCell ref="B90:C90"/>
    <mergeCell ref="G59:I59"/>
    <mergeCell ref="B75:C75"/>
    <mergeCell ref="E75:F75"/>
    <mergeCell ref="K75:L75"/>
    <mergeCell ref="H75:I75"/>
    <mergeCell ref="F97:G97"/>
    <mergeCell ref="I97:J97"/>
    <mergeCell ref="W45:Y45"/>
    <mergeCell ref="B32:C32"/>
    <mergeCell ref="E32:F32"/>
    <mergeCell ref="H32:I32"/>
    <mergeCell ref="B45:D45"/>
    <mergeCell ref="G45:I45"/>
    <mergeCell ref="K45:M45"/>
    <mergeCell ref="O45:Q45"/>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EFC4-6F3C-4DAD-8C8E-9A9B2251ABFF}">
  <sheetPr codeName="Sheet16"/>
  <dimension ref="B3:G34"/>
  <sheetViews>
    <sheetView topLeftCell="A3" workbookViewId="0">
      <selection activeCell="B14" activeCellId="1" sqref="B9:G12 B14:G15"/>
    </sheetView>
  </sheetViews>
  <sheetFormatPr defaultRowHeight="15" x14ac:dyDescent="0.25"/>
  <cols>
    <col min="1" max="1" width="9.140625" customWidth="1"/>
    <col min="2" max="2" width="8.5703125" customWidth="1"/>
    <col min="3" max="3" width="18.140625" customWidth="1"/>
    <col min="4" max="4" width="36.140625" customWidth="1"/>
    <col min="5" max="5" width="52.85546875" bestFit="1" customWidth="1"/>
    <col min="6" max="6" width="28.5703125" customWidth="1"/>
    <col min="7" max="7" width="41.85546875" customWidth="1"/>
  </cols>
  <sheetData>
    <row r="3" spans="2:7" x14ac:dyDescent="0.25">
      <c r="B3" s="309" t="s">
        <v>559</v>
      </c>
      <c r="C3" s="308" t="s">
        <v>560</v>
      </c>
      <c r="D3" s="308" t="s">
        <v>561</v>
      </c>
      <c r="E3" s="308" t="s">
        <v>752</v>
      </c>
      <c r="F3" s="308" t="s">
        <v>562</v>
      </c>
      <c r="G3" s="307" t="s">
        <v>563</v>
      </c>
    </row>
    <row r="4" spans="2:7" x14ac:dyDescent="0.25">
      <c r="B4" s="306">
        <v>1</v>
      </c>
      <c r="C4" s="305" t="s">
        <v>753</v>
      </c>
      <c r="D4" s="304" t="s">
        <v>754</v>
      </c>
      <c r="E4" s="304" t="s">
        <v>755</v>
      </c>
      <c r="F4" s="304" t="s">
        <v>756</v>
      </c>
      <c r="G4" s="303" t="s">
        <v>757</v>
      </c>
    </row>
    <row r="5" spans="2:7" x14ac:dyDescent="0.25">
      <c r="B5" s="302">
        <v>2</v>
      </c>
      <c r="C5" s="301" t="s">
        <v>758</v>
      </c>
      <c r="D5" s="300" t="s">
        <v>759</v>
      </c>
      <c r="E5" s="300" t="s">
        <v>760</v>
      </c>
      <c r="F5" s="300" t="s">
        <v>761</v>
      </c>
      <c r="G5" s="299" t="s">
        <v>762</v>
      </c>
    </row>
    <row r="6" spans="2:7" x14ac:dyDescent="0.25">
      <c r="B6" s="302">
        <v>3</v>
      </c>
      <c r="C6" s="301" t="s">
        <v>763</v>
      </c>
      <c r="D6" s="300" t="s">
        <v>764</v>
      </c>
      <c r="E6" s="300" t="s">
        <v>765</v>
      </c>
      <c r="F6" s="300" t="s">
        <v>766</v>
      </c>
      <c r="G6" s="299" t="s">
        <v>767</v>
      </c>
    </row>
    <row r="7" spans="2:7" x14ac:dyDescent="0.25">
      <c r="B7" s="302">
        <v>4</v>
      </c>
      <c r="C7" s="301" t="s">
        <v>768</v>
      </c>
      <c r="D7" s="300" t="s">
        <v>769</v>
      </c>
      <c r="E7" s="300" t="s">
        <v>770</v>
      </c>
      <c r="F7" s="300" t="s">
        <v>771</v>
      </c>
      <c r="G7" s="299" t="s">
        <v>772</v>
      </c>
    </row>
    <row r="8" spans="2:7" x14ac:dyDescent="0.25">
      <c r="B8" s="302">
        <v>5</v>
      </c>
      <c r="C8" s="301" t="s">
        <v>773</v>
      </c>
      <c r="D8" s="300" t="s">
        <v>774</v>
      </c>
      <c r="E8" s="300" t="s">
        <v>775</v>
      </c>
      <c r="F8" s="300" t="s">
        <v>776</v>
      </c>
      <c r="G8" s="299" t="s">
        <v>777</v>
      </c>
    </row>
    <row r="9" spans="2:7" x14ac:dyDescent="0.25">
      <c r="B9" s="294">
        <v>6</v>
      </c>
      <c r="C9" s="293" t="s">
        <v>778</v>
      </c>
      <c r="D9" s="292" t="s">
        <v>779</v>
      </c>
      <c r="E9" s="292" t="s">
        <v>780</v>
      </c>
      <c r="F9" s="292" t="s">
        <v>781</v>
      </c>
      <c r="G9" s="291" t="s">
        <v>782</v>
      </c>
    </row>
    <row r="10" spans="2:7" x14ac:dyDescent="0.25">
      <c r="B10" s="294">
        <v>7</v>
      </c>
      <c r="C10" s="293" t="s">
        <v>783</v>
      </c>
      <c r="D10" s="292" t="s">
        <v>784</v>
      </c>
      <c r="E10" s="292" t="s">
        <v>785</v>
      </c>
      <c r="F10" s="292" t="s">
        <v>786</v>
      </c>
      <c r="G10" s="291" t="s">
        <v>787</v>
      </c>
    </row>
    <row r="11" spans="2:7" x14ac:dyDescent="0.25">
      <c r="B11" s="294">
        <v>8</v>
      </c>
      <c r="C11" s="293" t="s">
        <v>788</v>
      </c>
      <c r="D11" s="292" t="s">
        <v>789</v>
      </c>
      <c r="E11" s="292" t="s">
        <v>790</v>
      </c>
      <c r="F11" s="292" t="s">
        <v>791</v>
      </c>
      <c r="G11" s="291" t="s">
        <v>792</v>
      </c>
    </row>
    <row r="12" spans="2:7" x14ac:dyDescent="0.25">
      <c r="B12" s="294">
        <v>9</v>
      </c>
      <c r="C12" s="293" t="s">
        <v>793</v>
      </c>
      <c r="D12" s="292" t="s">
        <v>794</v>
      </c>
      <c r="E12" s="292" t="s">
        <v>795</v>
      </c>
      <c r="F12" s="292" t="s">
        <v>796</v>
      </c>
      <c r="G12" s="291" t="s">
        <v>797</v>
      </c>
    </row>
    <row r="13" spans="2:7" x14ac:dyDescent="0.25">
      <c r="B13" s="298">
        <v>10</v>
      </c>
      <c r="C13" s="297" t="s">
        <v>798</v>
      </c>
      <c r="D13" s="296" t="s">
        <v>799</v>
      </c>
      <c r="E13" s="296" t="s">
        <v>800</v>
      </c>
      <c r="F13" s="296" t="s">
        <v>801</v>
      </c>
      <c r="G13" s="295" t="s">
        <v>802</v>
      </c>
    </row>
    <row r="14" spans="2:7" x14ac:dyDescent="0.25">
      <c r="B14" s="294">
        <v>11</v>
      </c>
      <c r="C14" s="293" t="s">
        <v>803</v>
      </c>
      <c r="D14" s="292" t="s">
        <v>804</v>
      </c>
      <c r="E14" s="292" t="s">
        <v>805</v>
      </c>
      <c r="F14" s="292" t="s">
        <v>806</v>
      </c>
      <c r="G14" s="291" t="s">
        <v>807</v>
      </c>
    </row>
    <row r="15" spans="2:7" x14ac:dyDescent="0.25">
      <c r="B15" s="294">
        <v>12</v>
      </c>
      <c r="C15" s="293" t="s">
        <v>808</v>
      </c>
      <c r="D15" s="292" t="s">
        <v>809</v>
      </c>
      <c r="E15" s="292" t="s">
        <v>810</v>
      </c>
      <c r="F15" s="292" t="s">
        <v>811</v>
      </c>
      <c r="G15" s="291" t="s">
        <v>812</v>
      </c>
    </row>
    <row r="16" spans="2:7" x14ac:dyDescent="0.25">
      <c r="B16" s="290">
        <v>13</v>
      </c>
      <c r="C16" s="289" t="s">
        <v>813</v>
      </c>
      <c r="D16" s="288" t="s">
        <v>814</v>
      </c>
      <c r="E16" s="288" t="s">
        <v>815</v>
      </c>
      <c r="F16" s="288" t="s">
        <v>816</v>
      </c>
      <c r="G16" s="287" t="s">
        <v>817</v>
      </c>
    </row>
    <row r="17" spans="2:7" x14ac:dyDescent="0.25">
      <c r="B17" s="290">
        <v>14</v>
      </c>
      <c r="C17" s="289" t="s">
        <v>818</v>
      </c>
      <c r="D17" s="288" t="s">
        <v>819</v>
      </c>
      <c r="E17" s="288" t="s">
        <v>820</v>
      </c>
      <c r="F17" s="288" t="s">
        <v>821</v>
      </c>
      <c r="G17" s="287" t="s">
        <v>822</v>
      </c>
    </row>
    <row r="18" spans="2:7" x14ac:dyDescent="0.25">
      <c r="B18" s="286">
        <v>15</v>
      </c>
      <c r="C18" s="285" t="s">
        <v>823</v>
      </c>
      <c r="D18" s="284" t="s">
        <v>824</v>
      </c>
      <c r="E18" s="284" t="s">
        <v>825</v>
      </c>
      <c r="F18" s="284" t="s">
        <v>826</v>
      </c>
      <c r="G18" s="283" t="s">
        <v>827</v>
      </c>
    </row>
    <row r="19" spans="2:7" x14ac:dyDescent="0.25">
      <c r="B19" s="278">
        <v>16</v>
      </c>
      <c r="C19" s="277" t="s">
        <v>828</v>
      </c>
      <c r="D19" s="276" t="s">
        <v>829</v>
      </c>
      <c r="E19" s="276" t="s">
        <v>830</v>
      </c>
      <c r="F19" s="276" t="s">
        <v>831</v>
      </c>
      <c r="G19" s="275" t="s">
        <v>832</v>
      </c>
    </row>
    <row r="20" spans="2:7" x14ac:dyDescent="0.25">
      <c r="B20" s="282">
        <v>17</v>
      </c>
      <c r="C20" s="281" t="s">
        <v>833</v>
      </c>
      <c r="D20" s="280" t="s">
        <v>834</v>
      </c>
      <c r="E20" s="280" t="s">
        <v>835</v>
      </c>
      <c r="F20" s="280" t="s">
        <v>836</v>
      </c>
      <c r="G20" s="279" t="s">
        <v>837</v>
      </c>
    </row>
    <row r="21" spans="2:7" x14ac:dyDescent="0.25">
      <c r="B21" s="278">
        <v>18</v>
      </c>
      <c r="C21" s="277" t="s">
        <v>838</v>
      </c>
      <c r="D21" s="276" t="s">
        <v>839</v>
      </c>
      <c r="E21" s="276" t="s">
        <v>840</v>
      </c>
      <c r="F21" s="276" t="s">
        <v>841</v>
      </c>
      <c r="G21" s="275" t="s">
        <v>842</v>
      </c>
    </row>
    <row r="22" spans="2:7" x14ac:dyDescent="0.25">
      <c r="B22" s="274">
        <v>19</v>
      </c>
      <c r="C22" s="273" t="s">
        <v>843</v>
      </c>
      <c r="D22" s="272" t="s">
        <v>844</v>
      </c>
      <c r="E22" s="272" t="s">
        <v>845</v>
      </c>
      <c r="F22" s="272" t="s">
        <v>846</v>
      </c>
      <c r="G22" s="271" t="s">
        <v>847</v>
      </c>
    </row>
    <row r="23" spans="2:7" x14ac:dyDescent="0.25">
      <c r="B23" s="274">
        <v>20</v>
      </c>
      <c r="C23" s="273" t="s">
        <v>848</v>
      </c>
      <c r="D23" s="272" t="s">
        <v>849</v>
      </c>
      <c r="E23" s="272" t="s">
        <v>850</v>
      </c>
      <c r="F23" s="272" t="s">
        <v>851</v>
      </c>
      <c r="G23" s="271" t="s">
        <v>852</v>
      </c>
    </row>
    <row r="24" spans="2:7" x14ac:dyDescent="0.25">
      <c r="B24" s="274">
        <v>21</v>
      </c>
      <c r="C24" s="273" t="s">
        <v>853</v>
      </c>
      <c r="D24" s="272" t="s">
        <v>854</v>
      </c>
      <c r="E24" s="272" t="s">
        <v>855</v>
      </c>
      <c r="F24" s="272" t="s">
        <v>856</v>
      </c>
      <c r="G24" s="271" t="s">
        <v>857</v>
      </c>
    </row>
    <row r="25" spans="2:7" x14ac:dyDescent="0.25">
      <c r="B25" s="274">
        <v>22</v>
      </c>
      <c r="C25" s="273" t="s">
        <v>858</v>
      </c>
      <c r="D25" s="272" t="s">
        <v>859</v>
      </c>
      <c r="E25" s="272" t="s">
        <v>860</v>
      </c>
      <c r="F25" s="272" t="s">
        <v>861</v>
      </c>
      <c r="G25" s="271" t="s">
        <v>862</v>
      </c>
    </row>
    <row r="26" spans="2:7" x14ac:dyDescent="0.25">
      <c r="B26" s="270">
        <v>23</v>
      </c>
      <c r="C26" s="269" t="s">
        <v>863</v>
      </c>
      <c r="D26" s="268" t="s">
        <v>864</v>
      </c>
      <c r="E26" s="268" t="s">
        <v>865</v>
      </c>
      <c r="F26" s="268" t="s">
        <v>866</v>
      </c>
      <c r="G26" s="267" t="s">
        <v>867</v>
      </c>
    </row>
    <row r="27" spans="2:7" x14ac:dyDescent="0.25">
      <c r="B27" s="266">
        <v>24</v>
      </c>
      <c r="C27" s="265" t="s">
        <v>868</v>
      </c>
      <c r="D27" s="264" t="s">
        <v>869</v>
      </c>
      <c r="E27" s="264" t="s">
        <v>870</v>
      </c>
      <c r="F27" s="264" t="s">
        <v>871</v>
      </c>
      <c r="G27" s="263" t="s">
        <v>872</v>
      </c>
    </row>
    <row r="28" spans="2:7" x14ac:dyDescent="0.25">
      <c r="B28" s="266">
        <v>25</v>
      </c>
      <c r="C28" s="265" t="s">
        <v>873</v>
      </c>
      <c r="D28" s="264" t="s">
        <v>874</v>
      </c>
      <c r="E28" s="264" t="s">
        <v>875</v>
      </c>
      <c r="F28" s="264" t="s">
        <v>876</v>
      </c>
      <c r="G28" s="263" t="s">
        <v>877</v>
      </c>
    </row>
    <row r="29" spans="2:7" x14ac:dyDescent="0.25">
      <c r="B29" s="262">
        <v>26</v>
      </c>
      <c r="C29" s="261" t="s">
        <v>878</v>
      </c>
      <c r="D29" s="258" t="s">
        <v>879</v>
      </c>
      <c r="E29" s="258" t="s">
        <v>880</v>
      </c>
      <c r="F29" s="258" t="s">
        <v>881</v>
      </c>
      <c r="G29" s="257" t="s">
        <v>882</v>
      </c>
    </row>
    <row r="30" spans="2:7" x14ac:dyDescent="0.25">
      <c r="B30" s="262">
        <v>27</v>
      </c>
      <c r="C30" s="261" t="s">
        <v>883</v>
      </c>
      <c r="D30" s="258" t="s">
        <v>884</v>
      </c>
      <c r="E30" s="258" t="s">
        <v>885</v>
      </c>
      <c r="F30" s="258" t="s">
        <v>886</v>
      </c>
      <c r="G30" s="257" t="s">
        <v>887</v>
      </c>
    </row>
    <row r="31" spans="2:7" x14ac:dyDescent="0.25">
      <c r="B31" s="262">
        <v>28</v>
      </c>
      <c r="C31" s="261" t="s">
        <v>888</v>
      </c>
      <c r="D31" s="258" t="s">
        <v>889</v>
      </c>
      <c r="E31" s="258" t="s">
        <v>890</v>
      </c>
      <c r="F31" s="258" t="s">
        <v>891</v>
      </c>
      <c r="G31" s="257" t="s">
        <v>892</v>
      </c>
    </row>
    <row r="32" spans="2:7" x14ac:dyDescent="0.25">
      <c r="B32" s="260">
        <v>29</v>
      </c>
      <c r="C32" s="259" t="s">
        <v>893</v>
      </c>
      <c r="D32" s="258" t="s">
        <v>894</v>
      </c>
      <c r="E32" s="258" t="s">
        <v>895</v>
      </c>
      <c r="F32" s="258" t="s">
        <v>896</v>
      </c>
      <c r="G32" s="257" t="s">
        <v>897</v>
      </c>
    </row>
    <row r="33" spans="2:7" x14ac:dyDescent="0.25">
      <c r="B33" s="260">
        <v>30</v>
      </c>
      <c r="C33" s="259" t="s">
        <v>907</v>
      </c>
      <c r="D33" s="258" t="s">
        <v>908</v>
      </c>
      <c r="E33" s="258" t="s">
        <v>909</v>
      </c>
      <c r="F33" s="258" t="s">
        <v>910</v>
      </c>
      <c r="G33" s="257" t="s">
        <v>911</v>
      </c>
    </row>
    <row r="34" spans="2:7" x14ac:dyDescent="0.25">
      <c r="B34" s="256" t="s">
        <v>898</v>
      </c>
      <c r="C34" s="255"/>
      <c r="D34" s="255"/>
      <c r="E34" s="255"/>
      <c r="F34" s="255"/>
      <c r="G34" s="254"/>
    </row>
  </sheetData>
  <mergeCells count="1">
    <mergeCell ref="B34:G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DD1A7-A40B-40A3-901C-603517E2DF3C}">
  <sheetPr codeName="Sheet18"/>
  <dimension ref="A1:P56"/>
  <sheetViews>
    <sheetView topLeftCell="D30" zoomScale="70" zoomScaleNormal="70" workbookViewId="0">
      <selection activeCell="F31" sqref="F31:F41"/>
    </sheetView>
  </sheetViews>
  <sheetFormatPr defaultRowHeight="15" x14ac:dyDescent="0.25"/>
  <cols>
    <col min="2" max="2" width="11.5703125" customWidth="1"/>
    <col min="3" max="3" width="13.140625" customWidth="1"/>
    <col min="4" max="4" width="21.710937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 min="14" max="14" width="16.140625" customWidth="1"/>
    <col min="15" max="15" width="13.5703125" customWidth="1"/>
    <col min="16" max="16" width="12" customWidth="1"/>
  </cols>
  <sheetData>
    <row r="1" spans="1:8" x14ac:dyDescent="0.25">
      <c r="A1" t="s">
        <v>535</v>
      </c>
    </row>
    <row r="3" spans="1:8" x14ac:dyDescent="0.25">
      <c r="B3" s="159" t="s">
        <v>899</v>
      </c>
      <c r="C3" s="159"/>
      <c r="D3" s="159"/>
      <c r="F3" s="158" t="s">
        <v>828</v>
      </c>
      <c r="G3" s="158"/>
      <c r="H3" s="158"/>
    </row>
    <row r="4" spans="1:8" x14ac:dyDescent="0.25">
      <c r="B4" s="105">
        <f ca="1">RAND()</f>
        <v>0.15902846781483992</v>
      </c>
      <c r="C4" s="105">
        <f ca="1">RAND()</f>
        <v>0.78428332728466632</v>
      </c>
      <c r="D4" s="105">
        <f ca="1">RAND()</f>
        <v>0.4779901442371044</v>
      </c>
      <c r="F4" s="104" t="s">
        <v>901</v>
      </c>
      <c r="G4" s="104" t="s">
        <v>902</v>
      </c>
      <c r="H4" s="104" t="s">
        <v>828</v>
      </c>
    </row>
    <row r="5" spans="1:8" x14ac:dyDescent="0.25">
      <c r="B5" s="105">
        <f ca="1">RAND()</f>
        <v>0.48233199049871256</v>
      </c>
      <c r="C5" s="105">
        <f ca="1">RAND()</f>
        <v>0.91310794372285975</v>
      </c>
      <c r="D5" s="105">
        <f ca="1">RAND()</f>
        <v>0.20347910028146232</v>
      </c>
      <c r="F5" s="106">
        <v>1</v>
      </c>
      <c r="G5" s="105">
        <v>186.74647918864025</v>
      </c>
      <c r="H5" s="105">
        <f>ROUND(G5,3)</f>
        <v>186.74600000000001</v>
      </c>
    </row>
    <row r="6" spans="1:8" x14ac:dyDescent="0.25">
      <c r="B6" s="105">
        <f ca="1">RAND()</f>
        <v>0.77276832681443519</v>
      </c>
      <c r="C6" s="105">
        <f ca="1">RAND()</f>
        <v>0.32237953954380416</v>
      </c>
      <c r="D6" s="105">
        <f ca="1">RAND()</f>
        <v>0.92188885732405657</v>
      </c>
      <c r="F6" s="106">
        <v>2</v>
      </c>
      <c r="G6" s="105">
        <v>1134.2033634091172</v>
      </c>
      <c r="H6" s="105">
        <f>ROUND(G6,3)</f>
        <v>1134.203</v>
      </c>
    </row>
    <row r="7" spans="1:8" x14ac:dyDescent="0.25">
      <c r="B7" s="105">
        <f ca="1">RAND()</f>
        <v>0.48311542166058175</v>
      </c>
      <c r="C7" s="105">
        <f ca="1">RAND()</f>
        <v>3.3704169875099832E-2</v>
      </c>
      <c r="D7" s="105">
        <f ca="1">RAND()</f>
        <v>3.1656694929191875E-2</v>
      </c>
      <c r="F7" s="106">
        <v>3</v>
      </c>
      <c r="G7" s="105">
        <v>1056.2609033230992</v>
      </c>
      <c r="H7" s="105">
        <f>ROUND(G7,3)</f>
        <v>1056.261</v>
      </c>
    </row>
    <row r="8" spans="1:8" x14ac:dyDescent="0.25">
      <c r="B8" s="105">
        <f ca="1">RAND()</f>
        <v>0.14128467228913733</v>
      </c>
      <c r="C8" s="105">
        <f ca="1">RAND()</f>
        <v>0.78073780884731225</v>
      </c>
      <c r="D8" s="105">
        <f ca="1">RAND()</f>
        <v>0.5623898727076081</v>
      </c>
      <c r="F8" s="106">
        <v>4</v>
      </c>
      <c r="G8" s="105">
        <v>444.95536951220424</v>
      </c>
      <c r="H8" s="105">
        <f>ROUND(G8,3)</f>
        <v>444.95499999999998</v>
      </c>
    </row>
    <row r="9" spans="1:8" x14ac:dyDescent="0.25">
      <c r="B9" s="105">
        <f ca="1">RAND()</f>
        <v>0.86781043238179034</v>
      </c>
      <c r="C9" s="105">
        <f ca="1">RAND()</f>
        <v>0.32584130531232069</v>
      </c>
      <c r="D9" s="105">
        <f ca="1">RAND()</f>
        <v>0.12685147541254815</v>
      </c>
      <c r="F9" s="106">
        <v>5</v>
      </c>
      <c r="G9" s="105">
        <v>1319.4698803550457</v>
      </c>
      <c r="H9" s="105">
        <f>ROUND(G9,3)</f>
        <v>1319.47</v>
      </c>
    </row>
    <row r="10" spans="1:8" x14ac:dyDescent="0.25">
      <c r="B10" s="105">
        <f ca="1">RAND()</f>
        <v>0.41398472729782254</v>
      </c>
      <c r="C10" s="105">
        <f ca="1">RAND()</f>
        <v>0.57137198566385095</v>
      </c>
      <c r="D10" s="105">
        <f ca="1">RAND()</f>
        <v>3.3781571375877562E-2</v>
      </c>
      <c r="F10" s="106">
        <v>6</v>
      </c>
      <c r="G10" s="105">
        <v>226.9273016860318</v>
      </c>
      <c r="H10" s="105">
        <f>ROUND(G10,3)</f>
        <v>226.92699999999999</v>
      </c>
    </row>
    <row r="11" spans="1:8" x14ac:dyDescent="0.25">
      <c r="B11" s="105">
        <f ca="1">RAND()</f>
        <v>0.42393155076501954</v>
      </c>
      <c r="C11" s="105">
        <f ca="1">RAND()</f>
        <v>0.7227966418593379</v>
      </c>
      <c r="D11" s="105">
        <f ca="1">RAND()</f>
        <v>0.15858075003986261</v>
      </c>
      <c r="F11" s="106">
        <v>7</v>
      </c>
      <c r="G11" s="105">
        <v>130.1594492248114</v>
      </c>
      <c r="H11" s="105">
        <f>ROUND(G11,3)</f>
        <v>130.15899999999999</v>
      </c>
    </row>
    <row r="12" spans="1:8" x14ac:dyDescent="0.25">
      <c r="B12" s="105">
        <f ca="1">RAND()</f>
        <v>0.87535848034926211</v>
      </c>
      <c r="C12" s="105">
        <f ca="1">RAND()</f>
        <v>8.9034625460132966E-2</v>
      </c>
      <c r="D12" s="105">
        <f ca="1">RAND()</f>
        <v>0.3568852260013744</v>
      </c>
      <c r="F12" s="106">
        <v>8</v>
      </c>
      <c r="G12" s="105">
        <v>351.12731634061288</v>
      </c>
      <c r="H12" s="105">
        <f>ROUND(G12,3)</f>
        <v>351.12700000000001</v>
      </c>
    </row>
    <row r="13" spans="1:8" x14ac:dyDescent="0.25">
      <c r="B13" s="105">
        <f ca="1">RAND()</f>
        <v>0.65050336914778162</v>
      </c>
      <c r="C13" s="105">
        <f ca="1">RAND()</f>
        <v>0.68679291184095181</v>
      </c>
      <c r="D13" s="105">
        <f ca="1">RAND()</f>
        <v>0.53805134156649992</v>
      </c>
      <c r="F13" s="106">
        <v>9</v>
      </c>
      <c r="G13" s="105">
        <v>1433.0594361477456</v>
      </c>
      <c r="H13" s="105">
        <f>ROUND(G13,3)</f>
        <v>1433.059</v>
      </c>
    </row>
    <row r="14" spans="1:8" x14ac:dyDescent="0.25">
      <c r="F14" s="106">
        <v>10</v>
      </c>
      <c r="G14" s="105">
        <v>214.62573845192333</v>
      </c>
      <c r="H14" s="105">
        <f>ROUND(G14,3)</f>
        <v>214.626</v>
      </c>
    </row>
    <row r="17" spans="2:14" x14ac:dyDescent="0.25">
      <c r="B17" s="160" t="s">
        <v>900</v>
      </c>
      <c r="C17" s="159"/>
      <c r="D17" s="159"/>
      <c r="F17" s="158" t="s">
        <v>903</v>
      </c>
      <c r="G17" s="158"/>
      <c r="H17" s="158"/>
      <c r="J17" s="158" t="s">
        <v>906</v>
      </c>
      <c r="K17" s="158"/>
      <c r="L17" s="158"/>
      <c r="M17" s="158"/>
    </row>
    <row r="18" spans="2:14" x14ac:dyDescent="0.25">
      <c r="B18" s="105">
        <f ca="1">RANDBETWEEN(0,100)</f>
        <v>91</v>
      </c>
      <c r="C18" s="105">
        <f ca="1">RANDBETWEEN(0,100)</f>
        <v>22</v>
      </c>
      <c r="D18" s="105">
        <f ca="1">RANDBETWEEN(0,100)</f>
        <v>60</v>
      </c>
      <c r="F18" s="104" t="s">
        <v>901</v>
      </c>
      <c r="G18" s="104" t="s">
        <v>902</v>
      </c>
      <c r="H18" s="104" t="s">
        <v>903</v>
      </c>
      <c r="J18" s="104" t="s">
        <v>901</v>
      </c>
      <c r="K18" s="104" t="s">
        <v>902</v>
      </c>
      <c r="L18" s="104" t="s">
        <v>905</v>
      </c>
      <c r="M18" s="104" t="s">
        <v>848</v>
      </c>
    </row>
    <row r="19" spans="2:14" x14ac:dyDescent="0.25">
      <c r="B19" s="105">
        <f ca="1">RANDBETWEEN(0,100)</f>
        <v>31</v>
      </c>
      <c r="C19" s="105">
        <f ca="1">RANDBETWEEN(0,100)</f>
        <v>48</v>
      </c>
      <c r="D19" s="105">
        <f ca="1">RANDBETWEEN(0,100)</f>
        <v>28</v>
      </c>
      <c r="F19" s="106">
        <v>1</v>
      </c>
      <c r="G19" s="105">
        <v>186.74647918864025</v>
      </c>
      <c r="H19" s="105">
        <f>ROUNDUP(G19,3)</f>
        <v>186.74700000000001</v>
      </c>
      <c r="J19" s="106">
        <v>1</v>
      </c>
      <c r="K19" s="105">
        <v>186.74647918864025</v>
      </c>
      <c r="L19" s="105">
        <f>INT(K19)</f>
        <v>186</v>
      </c>
      <c r="M19" s="105">
        <f>TRUNC(K19,1)</f>
        <v>186.7</v>
      </c>
    </row>
    <row r="20" spans="2:14" x14ac:dyDescent="0.25">
      <c r="B20" s="105">
        <f ca="1">RANDBETWEEN(0,100)</f>
        <v>54</v>
      </c>
      <c r="C20" s="105">
        <f ca="1">RANDBETWEEN(0,100)</f>
        <v>88</v>
      </c>
      <c r="D20" s="105">
        <f ca="1">RANDBETWEEN(0,100)</f>
        <v>4</v>
      </c>
      <c r="F20" s="106">
        <v>2</v>
      </c>
      <c r="G20" s="105">
        <v>1134.2033634091172</v>
      </c>
      <c r="H20" s="105">
        <f>ROUNDUP(G20,3)</f>
        <v>1134.204</v>
      </c>
      <c r="J20" s="106">
        <v>2</v>
      </c>
      <c r="K20" s="105">
        <v>1134.2033634091172</v>
      </c>
      <c r="L20" s="105">
        <f>INT(K20)</f>
        <v>1134</v>
      </c>
      <c r="M20" s="105">
        <f>TRUNC(K20,1)</f>
        <v>1134.2</v>
      </c>
    </row>
    <row r="21" spans="2:14" x14ac:dyDescent="0.25">
      <c r="B21" s="105">
        <f ca="1">RANDBETWEEN(0,100)</f>
        <v>76</v>
      </c>
      <c r="C21" s="105">
        <f ca="1">RANDBETWEEN(0,100)</f>
        <v>95</v>
      </c>
      <c r="D21" s="105">
        <f ca="1">RANDBETWEEN(0,100)</f>
        <v>60</v>
      </c>
      <c r="F21" s="106">
        <v>3</v>
      </c>
      <c r="G21" s="105">
        <v>1056.2609033230992</v>
      </c>
      <c r="H21" s="105">
        <f>ROUNDUP(G21,3)</f>
        <v>1056.261</v>
      </c>
      <c r="J21" s="106">
        <v>3</v>
      </c>
      <c r="K21" s="105">
        <v>1056.2609033230992</v>
      </c>
      <c r="L21" s="105">
        <f>INT(K21)</f>
        <v>1056</v>
      </c>
      <c r="M21" s="105">
        <f>TRUNC(K21,1)</f>
        <v>1056.2</v>
      </c>
    </row>
    <row r="22" spans="2:14" x14ac:dyDescent="0.25">
      <c r="B22" s="105">
        <f ca="1">RANDBETWEEN(0,100)</f>
        <v>75</v>
      </c>
      <c r="C22" s="105">
        <f ca="1">RANDBETWEEN(0,100)</f>
        <v>54</v>
      </c>
      <c r="D22" s="105">
        <f ca="1">RANDBETWEEN(0,100)</f>
        <v>72</v>
      </c>
      <c r="F22" s="106">
        <v>4</v>
      </c>
      <c r="G22" s="105">
        <v>444.95536951220424</v>
      </c>
      <c r="H22" s="105">
        <f>ROUNDUP(G22,3)</f>
        <v>444.95599999999996</v>
      </c>
      <c r="J22" s="106">
        <v>4</v>
      </c>
      <c r="K22" s="105">
        <v>444.95536951220424</v>
      </c>
      <c r="L22" s="105">
        <f>INT(K22)</f>
        <v>444</v>
      </c>
      <c r="M22" s="105">
        <f>TRUNC(K22,1)</f>
        <v>444.9</v>
      </c>
    </row>
    <row r="23" spans="2:14" x14ac:dyDescent="0.25">
      <c r="B23" s="105">
        <f ca="1">RANDBETWEEN(0,100)</f>
        <v>9</v>
      </c>
      <c r="C23" s="105">
        <f ca="1">RANDBETWEEN(0,100)</f>
        <v>73</v>
      </c>
      <c r="D23" s="105">
        <f ca="1">RANDBETWEEN(0,100)</f>
        <v>14</v>
      </c>
      <c r="F23" s="106">
        <v>5</v>
      </c>
      <c r="G23" s="105">
        <v>1319.4698803550457</v>
      </c>
      <c r="H23" s="105">
        <f>ROUNDUP(G23,3)</f>
        <v>1319.47</v>
      </c>
      <c r="J23" s="106">
        <v>5</v>
      </c>
      <c r="K23" s="105">
        <v>1319.4698803550457</v>
      </c>
      <c r="L23" s="105">
        <f>INT(K23)</f>
        <v>1319</v>
      </c>
      <c r="M23" s="105">
        <f>TRUNC(K23,1)</f>
        <v>1319.4</v>
      </c>
    </row>
    <row r="24" spans="2:14" x14ac:dyDescent="0.25">
      <c r="B24" s="105">
        <f ca="1">RANDBETWEEN(0,100)</f>
        <v>60</v>
      </c>
      <c r="C24" s="105">
        <f ca="1">RANDBETWEEN(0,100)</f>
        <v>56</v>
      </c>
      <c r="D24" s="105">
        <f ca="1">RANDBETWEEN(0,100)</f>
        <v>61</v>
      </c>
      <c r="F24" s="106">
        <v>6</v>
      </c>
      <c r="G24" s="105">
        <v>226.9273016860318</v>
      </c>
      <c r="H24" s="105">
        <f>ROUNDUP(G24,3)</f>
        <v>226.928</v>
      </c>
      <c r="J24" s="106">
        <v>6</v>
      </c>
      <c r="K24" s="105">
        <v>226.9273016860318</v>
      </c>
      <c r="L24" s="105">
        <f>INT(K24)</f>
        <v>226</v>
      </c>
      <c r="M24" s="105">
        <f>TRUNC(K24,1)</f>
        <v>226.9</v>
      </c>
    </row>
    <row r="25" spans="2:14" x14ac:dyDescent="0.25">
      <c r="B25" s="105">
        <f ca="1">RANDBETWEEN(0,100)</f>
        <v>34</v>
      </c>
      <c r="C25" s="105">
        <f ca="1">RANDBETWEEN(0,100)</f>
        <v>18</v>
      </c>
      <c r="D25" s="105">
        <f ca="1">RANDBETWEEN(0,100)</f>
        <v>60</v>
      </c>
      <c r="F25" s="106">
        <v>7</v>
      </c>
      <c r="G25" s="105">
        <v>130.1594492248114</v>
      </c>
      <c r="H25" s="105">
        <f>ROUNDUP(G25,3)</f>
        <v>130.16</v>
      </c>
      <c r="J25" s="106">
        <v>7</v>
      </c>
      <c r="K25" s="105">
        <v>130.1594492248114</v>
      </c>
      <c r="L25" s="105">
        <f>INT(K25)</f>
        <v>130</v>
      </c>
      <c r="M25" s="105">
        <f>TRUNC(K25,1)</f>
        <v>130.1</v>
      </c>
    </row>
    <row r="26" spans="2:14" x14ac:dyDescent="0.25">
      <c r="B26" s="105">
        <f ca="1">RANDBETWEEN(0,100)</f>
        <v>31</v>
      </c>
      <c r="C26" s="105">
        <f ca="1">RANDBETWEEN(0,100)</f>
        <v>67</v>
      </c>
      <c r="D26" s="105">
        <f ca="1">RANDBETWEEN(0,100)</f>
        <v>13</v>
      </c>
      <c r="F26" s="106">
        <v>8</v>
      </c>
      <c r="G26" s="105">
        <v>351.12731634061288</v>
      </c>
      <c r="H26" s="105">
        <f>ROUNDUP(G26,3)</f>
        <v>351.12799999999999</v>
      </c>
      <c r="J26" s="106">
        <v>8</v>
      </c>
      <c r="K26" s="105">
        <v>351.12731634061288</v>
      </c>
      <c r="L26" s="105">
        <f>INT(K26)</f>
        <v>351</v>
      </c>
      <c r="M26" s="105">
        <f>TRUNC(K26,1)</f>
        <v>351.1</v>
      </c>
    </row>
    <row r="27" spans="2:14" x14ac:dyDescent="0.25">
      <c r="B27" s="105">
        <f ca="1">RANDBETWEEN(0,100)</f>
        <v>50</v>
      </c>
      <c r="C27" s="105">
        <f ca="1">RANDBETWEEN(0,100)</f>
        <v>87</v>
      </c>
      <c r="D27" s="105">
        <f ca="1">RANDBETWEEN(0,100)</f>
        <v>89</v>
      </c>
      <c r="F27" s="106">
        <v>9</v>
      </c>
      <c r="G27" s="105">
        <v>1433.0594361477456</v>
      </c>
      <c r="H27" s="105">
        <f>ROUNDUP(G27,3)</f>
        <v>1433.06</v>
      </c>
      <c r="J27" s="106">
        <v>9</v>
      </c>
      <c r="K27" s="105">
        <v>1433.0594361477456</v>
      </c>
      <c r="L27" s="105">
        <f>INT(K27)</f>
        <v>1433</v>
      </c>
      <c r="M27" s="105">
        <f>TRUNC(K27,1)</f>
        <v>1433</v>
      </c>
    </row>
    <row r="28" spans="2:14" x14ac:dyDescent="0.25">
      <c r="F28" s="106">
        <v>10</v>
      </c>
      <c r="G28" s="105">
        <v>214.62573845192333</v>
      </c>
      <c r="H28" s="105">
        <f>ROUNDUP(G28,3)</f>
        <v>214.626</v>
      </c>
      <c r="J28" s="106">
        <v>10</v>
      </c>
      <c r="K28" s="105">
        <v>214.62573845192333</v>
      </c>
      <c r="L28" s="105">
        <f>INT(K28)</f>
        <v>214</v>
      </c>
      <c r="M28" s="105">
        <f>TRUNC(K28,1)</f>
        <v>214.6</v>
      </c>
    </row>
    <row r="30" spans="2:14" x14ac:dyDescent="0.25">
      <c r="B30" s="159" t="s">
        <v>873</v>
      </c>
      <c r="C30" s="159"/>
      <c r="D30" s="159"/>
      <c r="F30" s="158" t="s">
        <v>904</v>
      </c>
      <c r="G30" s="158"/>
      <c r="H30" s="158"/>
    </row>
    <row r="31" spans="2:14" x14ac:dyDescent="0.25">
      <c r="B31" s="105" cm="1">
        <f t="array" aca="1" ref="B31:D40" ca="1">_xlfn.RANDARRAY(10,3,0,100,TRUE)</f>
        <v>55</v>
      </c>
      <c r="C31" s="105">
        <f ca="1"/>
        <v>25</v>
      </c>
      <c r="D31" s="105">
        <f ca="1"/>
        <v>75</v>
      </c>
      <c r="F31" s="104" t="s">
        <v>901</v>
      </c>
      <c r="G31" s="104" t="s">
        <v>902</v>
      </c>
      <c r="H31" s="104" t="s">
        <v>904</v>
      </c>
      <c r="J31" s="158" t="s">
        <v>912</v>
      </c>
      <c r="K31" s="158"/>
      <c r="L31" s="158"/>
      <c r="M31" s="158"/>
      <c r="N31" s="158"/>
    </row>
    <row r="32" spans="2:14" x14ac:dyDescent="0.25">
      <c r="B32" s="105">
        <f ca="1"/>
        <v>8</v>
      </c>
      <c r="C32" s="105">
        <f ca="1"/>
        <v>7</v>
      </c>
      <c r="D32" s="105">
        <f ca="1"/>
        <v>12</v>
      </c>
      <c r="F32" s="106">
        <v>1</v>
      </c>
      <c r="G32" s="105">
        <v>186.74647918864025</v>
      </c>
      <c r="H32" s="105">
        <f>ROUNDDOWN(G32,3)</f>
        <v>186.74600000000001</v>
      </c>
      <c r="J32" s="104" t="s">
        <v>901</v>
      </c>
      <c r="K32" s="104" t="s">
        <v>902</v>
      </c>
      <c r="L32" s="104" t="s">
        <v>853</v>
      </c>
      <c r="M32" s="104" t="s">
        <v>907</v>
      </c>
      <c r="N32" s="104" t="s">
        <v>858</v>
      </c>
    </row>
    <row r="33" spans="2:16" x14ac:dyDescent="0.25">
      <c r="B33" s="105">
        <f ca="1"/>
        <v>82</v>
      </c>
      <c r="C33" s="105">
        <f ca="1"/>
        <v>45</v>
      </c>
      <c r="D33" s="105">
        <f ca="1"/>
        <v>31</v>
      </c>
      <c r="F33" s="106">
        <v>2</v>
      </c>
      <c r="G33" s="105">
        <v>1134.2033634091172</v>
      </c>
      <c r="H33" s="105">
        <f>ROUNDDOWN(G33,3)</f>
        <v>1134.203</v>
      </c>
      <c r="J33" s="106">
        <v>1</v>
      </c>
      <c r="K33" s="105">
        <v>49</v>
      </c>
      <c r="L33" s="105">
        <f>FLOOR(K33,3)</f>
        <v>48</v>
      </c>
      <c r="M33" s="105">
        <f>CEILING(K33,3)</f>
        <v>51</v>
      </c>
      <c r="N33" s="105">
        <f>MROUND(K33,3)</f>
        <v>48</v>
      </c>
    </row>
    <row r="34" spans="2:16" x14ac:dyDescent="0.25">
      <c r="B34" s="105">
        <f ca="1"/>
        <v>76</v>
      </c>
      <c r="C34" s="105">
        <f ca="1"/>
        <v>38</v>
      </c>
      <c r="D34" s="105">
        <f ca="1"/>
        <v>51</v>
      </c>
      <c r="F34" s="106">
        <v>3</v>
      </c>
      <c r="G34" s="105">
        <v>1056.2609033230992</v>
      </c>
      <c r="H34" s="105">
        <f>ROUNDDOWN(G34,3)</f>
        <v>1056.26</v>
      </c>
      <c r="J34" s="106">
        <v>2</v>
      </c>
      <c r="K34" s="105">
        <v>92</v>
      </c>
      <c r="L34" s="105">
        <f>FLOOR(K34,3)</f>
        <v>90</v>
      </c>
      <c r="M34" s="105">
        <f>CEILING(K34,3)</f>
        <v>93</v>
      </c>
      <c r="N34" s="105">
        <f>MROUND(K34,3)</f>
        <v>93</v>
      </c>
    </row>
    <row r="35" spans="2:16" x14ac:dyDescent="0.25">
      <c r="B35" s="105">
        <f ca="1"/>
        <v>45</v>
      </c>
      <c r="C35" s="105">
        <f ca="1"/>
        <v>56</v>
      </c>
      <c r="D35" s="105">
        <f ca="1"/>
        <v>27</v>
      </c>
      <c r="F35" s="106">
        <v>4</v>
      </c>
      <c r="G35" s="105">
        <v>444.95536951220424</v>
      </c>
      <c r="H35" s="105">
        <f>ROUNDDOWN(G35,3)</f>
        <v>444.95499999999998</v>
      </c>
      <c r="J35" s="106">
        <v>3</v>
      </c>
      <c r="K35" s="105">
        <v>49</v>
      </c>
      <c r="L35" s="105">
        <f>FLOOR(K35,3)</f>
        <v>48</v>
      </c>
      <c r="M35" s="105">
        <f>CEILING(K35,3)</f>
        <v>51</v>
      </c>
      <c r="N35" s="105">
        <f>MROUND(K35,3)</f>
        <v>48</v>
      </c>
    </row>
    <row r="36" spans="2:16" x14ac:dyDescent="0.25">
      <c r="B36" s="105">
        <f ca="1"/>
        <v>15</v>
      </c>
      <c r="C36" s="105">
        <f ca="1"/>
        <v>98</v>
      </c>
      <c r="D36" s="105">
        <f ca="1"/>
        <v>24</v>
      </c>
      <c r="F36" s="106">
        <v>5</v>
      </c>
      <c r="G36" s="105">
        <v>1319.4698803550457</v>
      </c>
      <c r="H36" s="105">
        <f>ROUNDDOWN(G36,3)</f>
        <v>1319.4690000000001</v>
      </c>
      <c r="J36" s="106">
        <v>4</v>
      </c>
      <c r="K36" s="105">
        <v>32</v>
      </c>
      <c r="L36" s="105">
        <f>FLOOR(K36,3)</f>
        <v>30</v>
      </c>
      <c r="M36" s="105">
        <f>CEILING(K36,3)</f>
        <v>33</v>
      </c>
      <c r="N36" s="105">
        <f>MROUND(K36,3)</f>
        <v>33</v>
      </c>
    </row>
    <row r="37" spans="2:16" x14ac:dyDescent="0.25">
      <c r="B37" s="105">
        <f ca="1"/>
        <v>2</v>
      </c>
      <c r="C37" s="105">
        <f ca="1"/>
        <v>20</v>
      </c>
      <c r="D37" s="105">
        <f ca="1"/>
        <v>63</v>
      </c>
      <c r="F37" s="106">
        <v>6</v>
      </c>
      <c r="G37" s="105">
        <v>226.9273016860318</v>
      </c>
      <c r="H37" s="105">
        <f>ROUNDDOWN(G37,3)</f>
        <v>226.92699999999999</v>
      </c>
      <c r="J37" s="106">
        <v>5</v>
      </c>
      <c r="K37" s="105">
        <v>43</v>
      </c>
      <c r="L37" s="105">
        <f>FLOOR(K37,3)</f>
        <v>42</v>
      </c>
      <c r="M37" s="105">
        <f>CEILING(K37,3)</f>
        <v>45</v>
      </c>
      <c r="N37" s="105">
        <f>MROUND(K37,3)</f>
        <v>42</v>
      </c>
    </row>
    <row r="38" spans="2:16" x14ac:dyDescent="0.25">
      <c r="B38" s="105">
        <f ca="1"/>
        <v>37</v>
      </c>
      <c r="C38" s="105">
        <f ca="1"/>
        <v>88</v>
      </c>
      <c r="D38" s="105">
        <f ca="1"/>
        <v>100</v>
      </c>
      <c r="F38" s="106">
        <v>7</v>
      </c>
      <c r="G38" s="105">
        <v>130.1594492248114</v>
      </c>
      <c r="H38" s="105">
        <f>ROUNDDOWN(G38,3)</f>
        <v>130.15899999999999</v>
      </c>
      <c r="J38" s="106">
        <v>6</v>
      </c>
      <c r="K38" s="105">
        <v>57</v>
      </c>
      <c r="L38" s="105">
        <f>FLOOR(K38,3)</f>
        <v>57</v>
      </c>
      <c r="M38" s="105">
        <f>CEILING(K38,3)</f>
        <v>57</v>
      </c>
      <c r="N38" s="105">
        <f>MROUND(K38,3)</f>
        <v>57</v>
      </c>
    </row>
    <row r="39" spans="2:16" x14ac:dyDescent="0.25">
      <c r="B39" s="105">
        <f ca="1"/>
        <v>89</v>
      </c>
      <c r="C39" s="105">
        <f ca="1"/>
        <v>27</v>
      </c>
      <c r="D39" s="105">
        <f ca="1"/>
        <v>34</v>
      </c>
      <c r="F39" s="106">
        <v>8</v>
      </c>
      <c r="G39" s="105">
        <v>351.12731634061288</v>
      </c>
      <c r="H39" s="105">
        <f>ROUNDDOWN(G39,3)</f>
        <v>351.12700000000001</v>
      </c>
      <c r="J39" s="106">
        <v>7</v>
      </c>
      <c r="K39" s="105">
        <v>45</v>
      </c>
      <c r="L39" s="105">
        <f>FLOOR(K39,3)</f>
        <v>45</v>
      </c>
      <c r="M39" s="105">
        <f>CEILING(K39,3)</f>
        <v>45</v>
      </c>
      <c r="N39" s="105">
        <f>MROUND(K39,3)</f>
        <v>45</v>
      </c>
    </row>
    <row r="40" spans="2:16" x14ac:dyDescent="0.25">
      <c r="B40" s="105">
        <f ca="1"/>
        <v>41</v>
      </c>
      <c r="C40" s="105">
        <f ca="1"/>
        <v>29</v>
      </c>
      <c r="D40" s="105">
        <f ca="1"/>
        <v>58</v>
      </c>
      <c r="F40" s="106">
        <v>9</v>
      </c>
      <c r="G40" s="105">
        <v>1433.0594361477456</v>
      </c>
      <c r="H40" s="105">
        <f>ROUNDDOWN(G40,3)</f>
        <v>1433.059</v>
      </c>
      <c r="J40" s="106">
        <v>8</v>
      </c>
      <c r="K40" s="105">
        <v>59</v>
      </c>
      <c r="L40" s="105">
        <f>FLOOR(K40,3)</f>
        <v>57</v>
      </c>
      <c r="M40" s="105">
        <f>CEILING(K40,3)</f>
        <v>60</v>
      </c>
      <c r="N40" s="105">
        <f>MROUND(K40,3)</f>
        <v>60</v>
      </c>
    </row>
    <row r="41" spans="2:16" x14ac:dyDescent="0.25">
      <c r="F41" s="106">
        <v>10</v>
      </c>
      <c r="G41" s="105">
        <v>214.62573845192333</v>
      </c>
      <c r="H41" s="105">
        <f>ROUNDDOWN(G41,3)</f>
        <v>214.625</v>
      </c>
      <c r="J41" s="106">
        <v>9</v>
      </c>
      <c r="K41" s="105">
        <v>42</v>
      </c>
      <c r="L41" s="105">
        <f>FLOOR(K41,3)</f>
        <v>42</v>
      </c>
      <c r="M41" s="105">
        <f>CEILING(K41,3)</f>
        <v>42</v>
      </c>
      <c r="N41" s="105">
        <f>MROUND(K41,3)</f>
        <v>42</v>
      </c>
    </row>
    <row r="42" spans="2:16" x14ac:dyDescent="0.25">
      <c r="J42" s="106">
        <v>10</v>
      </c>
      <c r="K42" s="105">
        <v>74</v>
      </c>
      <c r="L42" s="105">
        <f>FLOOR(K42,3)</f>
        <v>72</v>
      </c>
      <c r="M42" s="105">
        <f>CEILING(K42,3)</f>
        <v>75</v>
      </c>
      <c r="N42" s="105">
        <f>MROUND(K42,3)</f>
        <v>75</v>
      </c>
    </row>
    <row r="43" spans="2:16" x14ac:dyDescent="0.25">
      <c r="B43" s="158" t="s">
        <v>813</v>
      </c>
      <c r="C43" s="158"/>
      <c r="D43" s="158"/>
      <c r="F43" s="158" t="s">
        <v>818</v>
      </c>
      <c r="G43" s="158"/>
      <c r="H43" s="158"/>
    </row>
    <row r="44" spans="2:16" x14ac:dyDescent="0.25">
      <c r="B44" s="104" t="s">
        <v>901</v>
      </c>
      <c r="C44" s="104" t="s">
        <v>902</v>
      </c>
      <c r="D44" s="104" t="s">
        <v>813</v>
      </c>
      <c r="F44" s="104" t="s">
        <v>901</v>
      </c>
      <c r="G44" s="104" t="s">
        <v>902</v>
      </c>
      <c r="H44" s="104" t="s">
        <v>818</v>
      </c>
    </row>
    <row r="45" spans="2:16" x14ac:dyDescent="0.25">
      <c r="B45" s="106">
        <v>1</v>
      </c>
      <c r="C45" s="105">
        <v>821</v>
      </c>
      <c r="D45" s="105">
        <v>942</v>
      </c>
      <c r="F45" s="106">
        <v>1</v>
      </c>
      <c r="G45" s="105">
        <v>821</v>
      </c>
      <c r="H45" s="105" cm="1">
        <f t="array" ref="H45:H54">SMALL($G$45:$G$54,F45:F54)</f>
        <v>128</v>
      </c>
      <c r="J45" s="158" t="s">
        <v>913</v>
      </c>
      <c r="K45" s="158"/>
      <c r="L45" s="158"/>
      <c r="M45" s="158"/>
      <c r="N45" s="158"/>
      <c r="O45" s="158"/>
      <c r="P45" s="158"/>
    </row>
    <row r="46" spans="2:16" x14ac:dyDescent="0.25">
      <c r="B46" s="106">
        <v>2</v>
      </c>
      <c r="C46" s="105">
        <v>486</v>
      </c>
      <c r="D46" s="105">
        <v>821</v>
      </c>
      <c r="F46" s="106">
        <v>2</v>
      </c>
      <c r="G46" s="105">
        <v>486</v>
      </c>
      <c r="H46" s="105">
        <v>206</v>
      </c>
      <c r="J46" s="104" t="s">
        <v>901</v>
      </c>
      <c r="K46" s="104" t="s">
        <v>902</v>
      </c>
      <c r="L46" s="114" t="s">
        <v>914</v>
      </c>
      <c r="M46" s="104" t="s">
        <v>878</v>
      </c>
      <c r="N46" s="104" t="s">
        <v>883</v>
      </c>
      <c r="O46" s="104" t="s">
        <v>888</v>
      </c>
      <c r="P46" s="104" t="s">
        <v>893</v>
      </c>
    </row>
    <row r="47" spans="2:16" x14ac:dyDescent="0.25">
      <c r="B47" s="106">
        <v>3</v>
      </c>
      <c r="C47" s="105">
        <v>528</v>
      </c>
      <c r="D47" s="105">
        <v>813</v>
      </c>
      <c r="F47" s="106">
        <v>3</v>
      </c>
      <c r="G47" s="105">
        <v>528</v>
      </c>
      <c r="H47" s="105">
        <v>296</v>
      </c>
      <c r="J47" s="106">
        <v>1</v>
      </c>
      <c r="K47" s="105">
        <v>49</v>
      </c>
      <c r="L47" s="105">
        <f>-ABS(K47)</f>
        <v>-49</v>
      </c>
      <c r="M47" s="105">
        <f>ABS(L47)</f>
        <v>49</v>
      </c>
      <c r="N47" s="105">
        <f>MOD(K47,3)</f>
        <v>1</v>
      </c>
      <c r="O47" s="105">
        <f>POWER(J47,3)</f>
        <v>1</v>
      </c>
      <c r="P47" s="105">
        <f>ROUND(SQRT(K47),2)</f>
        <v>7</v>
      </c>
    </row>
    <row r="48" spans="2:16" x14ac:dyDescent="0.25">
      <c r="B48" s="106">
        <v>4</v>
      </c>
      <c r="C48" s="105">
        <v>128</v>
      </c>
      <c r="D48" s="105">
        <v>528</v>
      </c>
      <c r="F48" s="106">
        <v>4</v>
      </c>
      <c r="G48" s="105">
        <v>128</v>
      </c>
      <c r="H48" s="105">
        <v>330</v>
      </c>
      <c r="J48" s="106">
        <v>2</v>
      </c>
      <c r="K48" s="105">
        <v>92</v>
      </c>
      <c r="L48" s="105">
        <f>-ABS(K48)</f>
        <v>-92</v>
      </c>
      <c r="M48" s="105">
        <f>ABS(L48)</f>
        <v>92</v>
      </c>
      <c r="N48" s="105">
        <f>MOD(K48,3)</f>
        <v>2</v>
      </c>
      <c r="O48" s="105">
        <f>POWER(J48,3)</f>
        <v>8</v>
      </c>
      <c r="P48" s="105">
        <f>SQRT(K48)</f>
        <v>9.5916630466254382</v>
      </c>
    </row>
    <row r="49" spans="2:16" x14ac:dyDescent="0.25">
      <c r="B49" s="106">
        <v>5</v>
      </c>
      <c r="C49" s="105">
        <v>422</v>
      </c>
      <c r="D49" s="105">
        <v>486</v>
      </c>
      <c r="F49" s="106">
        <v>5</v>
      </c>
      <c r="G49" s="105">
        <v>422</v>
      </c>
      <c r="H49" s="105">
        <v>422</v>
      </c>
      <c r="J49" s="106">
        <v>3</v>
      </c>
      <c r="K49" s="105">
        <v>49</v>
      </c>
      <c r="L49" s="105">
        <f>-ABS(K49)</f>
        <v>-49</v>
      </c>
      <c r="M49" s="105">
        <f>ABS(L49)</f>
        <v>49</v>
      </c>
      <c r="N49" s="105">
        <f>MOD(K49,3)</f>
        <v>1</v>
      </c>
      <c r="O49" s="105">
        <f>POWER(J49,3)</f>
        <v>27</v>
      </c>
      <c r="P49" s="105">
        <f>SQRT(K49)</f>
        <v>7</v>
      </c>
    </row>
    <row r="50" spans="2:16" x14ac:dyDescent="0.25">
      <c r="B50" s="106">
        <v>6</v>
      </c>
      <c r="C50" s="105">
        <v>206</v>
      </c>
      <c r="D50" s="105">
        <v>422</v>
      </c>
      <c r="F50" s="106">
        <v>6</v>
      </c>
      <c r="G50" s="105">
        <v>206</v>
      </c>
      <c r="H50" s="105">
        <v>486</v>
      </c>
      <c r="J50" s="106">
        <v>4</v>
      </c>
      <c r="K50" s="105">
        <v>32</v>
      </c>
      <c r="L50" s="105">
        <f>-ABS(K50)</f>
        <v>-32</v>
      </c>
      <c r="M50" s="105">
        <f>ABS(L50)</f>
        <v>32</v>
      </c>
      <c r="N50" s="105">
        <f>MOD(K50,3)</f>
        <v>2</v>
      </c>
      <c r="O50" s="105">
        <f>POWER(J50,3)</f>
        <v>64</v>
      </c>
      <c r="P50" s="105">
        <f>SQRT(K50)</f>
        <v>5.6568542494923806</v>
      </c>
    </row>
    <row r="51" spans="2:16" x14ac:dyDescent="0.25">
      <c r="B51" s="106">
        <v>7</v>
      </c>
      <c r="C51" s="105">
        <v>942</v>
      </c>
      <c r="D51" s="105">
        <v>330</v>
      </c>
      <c r="F51" s="106">
        <v>7</v>
      </c>
      <c r="G51" s="105">
        <v>942</v>
      </c>
      <c r="H51" s="105">
        <v>528</v>
      </c>
      <c r="J51" s="106">
        <v>5</v>
      </c>
      <c r="K51" s="105">
        <v>43</v>
      </c>
      <c r="L51" s="105">
        <f>-ABS(K51)</f>
        <v>-43</v>
      </c>
      <c r="M51" s="105">
        <f>ABS(L51)</f>
        <v>43</v>
      </c>
      <c r="N51" s="105">
        <f>MOD(K51,3)</f>
        <v>1</v>
      </c>
      <c r="O51" s="105">
        <f>POWER(J51,3)</f>
        <v>125</v>
      </c>
      <c r="P51" s="105">
        <f>SQRT(K51)</f>
        <v>6.5574385243020004</v>
      </c>
    </row>
    <row r="52" spans="2:16" x14ac:dyDescent="0.25">
      <c r="B52" s="106">
        <v>8</v>
      </c>
      <c r="C52" s="105">
        <v>296</v>
      </c>
      <c r="D52" s="105">
        <v>296</v>
      </c>
      <c r="F52" s="106">
        <v>8</v>
      </c>
      <c r="G52" s="105">
        <v>296</v>
      </c>
      <c r="H52" s="105">
        <v>813</v>
      </c>
      <c r="J52" s="106">
        <v>6</v>
      </c>
      <c r="K52" s="105">
        <v>57</v>
      </c>
      <c r="L52" s="105">
        <f>-ABS(K52)</f>
        <v>-57</v>
      </c>
      <c r="M52" s="105">
        <f>ABS(L52)</f>
        <v>57</v>
      </c>
      <c r="N52" s="105">
        <f>MOD(K52,3)</f>
        <v>0</v>
      </c>
      <c r="O52" s="105">
        <f>POWER(J52,3)</f>
        <v>216</v>
      </c>
      <c r="P52" s="105">
        <f>SQRT(K52)</f>
        <v>7.5498344352707498</v>
      </c>
    </row>
    <row r="53" spans="2:16" x14ac:dyDescent="0.25">
      <c r="B53" s="106">
        <v>9</v>
      </c>
      <c r="C53" s="105">
        <v>813</v>
      </c>
      <c r="D53" s="105">
        <v>206</v>
      </c>
      <c r="F53" s="106">
        <v>9</v>
      </c>
      <c r="G53" s="105">
        <v>813</v>
      </c>
      <c r="H53" s="105">
        <v>821</v>
      </c>
      <c r="J53" s="106">
        <v>7</v>
      </c>
      <c r="K53" s="105">
        <v>45</v>
      </c>
      <c r="L53" s="105">
        <f>-ABS(K53)</f>
        <v>-45</v>
      </c>
      <c r="M53" s="105">
        <f>ABS(L53)</f>
        <v>45</v>
      </c>
      <c r="N53" s="105">
        <f>MOD(K53,3)</f>
        <v>0</v>
      </c>
      <c r="O53" s="105">
        <f>POWER(J53,3)</f>
        <v>343</v>
      </c>
      <c r="P53" s="105">
        <f>SQRT(K53)</f>
        <v>6.7082039324993694</v>
      </c>
    </row>
    <row r="54" spans="2:16" x14ac:dyDescent="0.25">
      <c r="B54" s="106">
        <v>10</v>
      </c>
      <c r="C54" s="105">
        <v>330</v>
      </c>
      <c r="D54" s="105">
        <v>128</v>
      </c>
      <c r="F54" s="106">
        <v>10</v>
      </c>
      <c r="G54" s="105">
        <v>330</v>
      </c>
      <c r="H54" s="105">
        <v>942</v>
      </c>
      <c r="J54" s="106">
        <v>8</v>
      </c>
      <c r="K54" s="105">
        <v>59</v>
      </c>
      <c r="L54" s="105">
        <f>-ABS(K54)</f>
        <v>-59</v>
      </c>
      <c r="M54" s="105">
        <f>ABS(L54)</f>
        <v>59</v>
      </c>
      <c r="N54" s="105">
        <f>MOD(K54,3)</f>
        <v>2</v>
      </c>
      <c r="O54" s="105">
        <f>POWER(J54,3)</f>
        <v>512</v>
      </c>
      <c r="P54" s="105">
        <f>SQRT(K54)</f>
        <v>7.6811457478686078</v>
      </c>
    </row>
    <row r="55" spans="2:16" x14ac:dyDescent="0.25">
      <c r="J55" s="106">
        <v>9</v>
      </c>
      <c r="K55" s="105">
        <v>42</v>
      </c>
      <c r="L55" s="105">
        <f>-ABS(K55)</f>
        <v>-42</v>
      </c>
      <c r="M55" s="105">
        <f>ABS(L55)</f>
        <v>42</v>
      </c>
      <c r="N55" s="105">
        <f>MOD(K55,3)</f>
        <v>0</v>
      </c>
      <c r="O55" s="105">
        <f>POWER(J55,3)</f>
        <v>729</v>
      </c>
      <c r="P55" s="105">
        <f>SQRT(K55)</f>
        <v>6.4807406984078604</v>
      </c>
    </row>
    <row r="56" spans="2:16" x14ac:dyDescent="0.25">
      <c r="J56" s="106">
        <v>10</v>
      </c>
      <c r="K56" s="105">
        <v>74</v>
      </c>
      <c r="L56" s="105">
        <f>-ABS(K56)</f>
        <v>-74</v>
      </c>
      <c r="M56" s="105">
        <f>ABS(L56)</f>
        <v>74</v>
      </c>
      <c r="N56" s="105">
        <f>MOD(K56,3)</f>
        <v>2</v>
      </c>
      <c r="O56" s="105">
        <f>POWER(J56,3)</f>
        <v>1000</v>
      </c>
      <c r="P56" s="105">
        <f>SQRT(K56)</f>
        <v>8.6023252670426267</v>
      </c>
    </row>
  </sheetData>
  <mergeCells count="11">
    <mergeCell ref="J17:M17"/>
    <mergeCell ref="J45:P45"/>
    <mergeCell ref="B3:D3"/>
    <mergeCell ref="B17:D17"/>
    <mergeCell ref="B30:D30"/>
    <mergeCell ref="B43:D43"/>
    <mergeCell ref="J31:N31"/>
    <mergeCell ref="F43:H43"/>
    <mergeCell ref="F3:H3"/>
    <mergeCell ref="F17:H17"/>
    <mergeCell ref="F30:H30"/>
  </mergeCells>
  <conditionalFormatting sqref="C45:C54">
    <cfRule type="top10" dxfId="1" priority="2" rank="3"/>
  </conditionalFormatting>
  <conditionalFormatting sqref="G45:G54">
    <cfRule type="top10" dxfId="0" priority="1" bottom="1" rank="3"/>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7290-60CD-4975-A2BE-12EF3EF39C32}">
  <sheetPr codeName="Sheet19"/>
  <dimension ref="B3:G38"/>
  <sheetViews>
    <sheetView topLeftCell="A16" workbookViewId="0">
      <selection activeCell="D27" sqref="D27"/>
    </sheetView>
  </sheetViews>
  <sheetFormatPr defaultRowHeight="15" x14ac:dyDescent="0.25"/>
  <cols>
    <col min="2" max="2" width="5" bestFit="1" customWidth="1"/>
    <col min="3" max="3" width="19.5703125" bestFit="1" customWidth="1"/>
    <col min="4" max="4" width="49.42578125" bestFit="1" customWidth="1"/>
    <col min="5" max="5" width="37" bestFit="1" customWidth="1"/>
    <col min="6" max="6" width="21.7109375" bestFit="1" customWidth="1"/>
    <col min="7" max="7" width="27.5703125" bestFit="1" customWidth="1"/>
  </cols>
  <sheetData>
    <row r="3" spans="2:7" ht="20.100000000000001" customHeight="1" x14ac:dyDescent="0.25">
      <c r="B3" s="346" t="s">
        <v>559</v>
      </c>
      <c r="C3" s="346" t="s">
        <v>560</v>
      </c>
      <c r="D3" s="346" t="s">
        <v>561</v>
      </c>
      <c r="E3" s="346" t="s">
        <v>752</v>
      </c>
      <c r="F3" s="346" t="s">
        <v>562</v>
      </c>
      <c r="G3" s="346" t="s">
        <v>563</v>
      </c>
    </row>
    <row r="4" spans="2:7" ht="20.100000000000001" customHeight="1" x14ac:dyDescent="0.25">
      <c r="B4" s="345">
        <v>1</v>
      </c>
      <c r="C4" s="344" t="s">
        <v>915</v>
      </c>
      <c r="D4" s="343" t="s">
        <v>916</v>
      </c>
      <c r="E4" s="343" t="s">
        <v>917</v>
      </c>
      <c r="F4" s="343" t="s">
        <v>918</v>
      </c>
      <c r="G4" s="343" t="s">
        <v>916</v>
      </c>
    </row>
    <row r="5" spans="2:7" ht="20.100000000000001" customHeight="1" x14ac:dyDescent="0.25">
      <c r="B5" s="345">
        <v>2</v>
      </c>
      <c r="C5" s="344" t="s">
        <v>919</v>
      </c>
      <c r="D5" s="343" t="s">
        <v>920</v>
      </c>
      <c r="E5" s="343" t="s">
        <v>921</v>
      </c>
      <c r="F5" s="343" t="s">
        <v>922</v>
      </c>
      <c r="G5" s="343" t="s">
        <v>920</v>
      </c>
    </row>
    <row r="6" spans="2:7" ht="20.100000000000001" customHeight="1" x14ac:dyDescent="0.25">
      <c r="B6" s="342">
        <v>3</v>
      </c>
      <c r="C6" s="341" t="s">
        <v>923</v>
      </c>
      <c r="D6" s="340" t="s">
        <v>924</v>
      </c>
      <c r="E6" s="340" t="s">
        <v>925</v>
      </c>
      <c r="F6" s="340" t="s">
        <v>926</v>
      </c>
      <c r="G6" s="340" t="s">
        <v>927</v>
      </c>
    </row>
    <row r="7" spans="2:7" ht="20.100000000000001" customHeight="1" x14ac:dyDescent="0.25">
      <c r="B7" s="342">
        <v>4</v>
      </c>
      <c r="C7" s="341" t="s">
        <v>928</v>
      </c>
      <c r="D7" s="340" t="s">
        <v>929</v>
      </c>
      <c r="E7" s="340" t="s">
        <v>930</v>
      </c>
      <c r="F7" s="340" t="s">
        <v>931</v>
      </c>
      <c r="G7" s="340" t="s">
        <v>932</v>
      </c>
    </row>
    <row r="8" spans="2:7" ht="20.100000000000001" customHeight="1" x14ac:dyDescent="0.25">
      <c r="B8" s="342">
        <v>5</v>
      </c>
      <c r="C8" s="341" t="s">
        <v>933</v>
      </c>
      <c r="D8" s="340" t="s">
        <v>934</v>
      </c>
      <c r="E8" s="340" t="s">
        <v>935</v>
      </c>
      <c r="F8" s="340" t="s">
        <v>936</v>
      </c>
      <c r="G8" s="340" t="s">
        <v>937</v>
      </c>
    </row>
    <row r="9" spans="2:7" ht="20.100000000000001" customHeight="1" x14ac:dyDescent="0.25">
      <c r="B9" s="342">
        <v>6</v>
      </c>
      <c r="C9" s="341" t="s">
        <v>938</v>
      </c>
      <c r="D9" s="340" t="s">
        <v>939</v>
      </c>
      <c r="E9" s="340" t="s">
        <v>940</v>
      </c>
      <c r="F9" s="340" t="s">
        <v>941</v>
      </c>
      <c r="G9" s="340" t="s">
        <v>942</v>
      </c>
    </row>
    <row r="10" spans="2:7" ht="20.100000000000001" customHeight="1" x14ac:dyDescent="0.25">
      <c r="B10" s="342">
        <v>7</v>
      </c>
      <c r="C10" s="341" t="s">
        <v>943</v>
      </c>
      <c r="D10" s="340" t="s">
        <v>944</v>
      </c>
      <c r="E10" s="340" t="s">
        <v>945</v>
      </c>
      <c r="F10" s="340" t="s">
        <v>946</v>
      </c>
      <c r="G10" s="340" t="s">
        <v>947</v>
      </c>
    </row>
    <row r="11" spans="2:7" ht="20.100000000000001" customHeight="1" x14ac:dyDescent="0.25">
      <c r="B11" s="342">
        <v>8</v>
      </c>
      <c r="C11" s="341" t="s">
        <v>948</v>
      </c>
      <c r="D11" s="340" t="s">
        <v>949</v>
      </c>
      <c r="E11" s="340" t="s">
        <v>950</v>
      </c>
      <c r="F11" s="340" t="s">
        <v>951</v>
      </c>
      <c r="G11" s="340" t="s">
        <v>952</v>
      </c>
    </row>
    <row r="12" spans="2:7" ht="20.100000000000001" customHeight="1" x14ac:dyDescent="0.25">
      <c r="B12" s="342">
        <v>9</v>
      </c>
      <c r="C12" s="341" t="s">
        <v>953</v>
      </c>
      <c r="D12" s="340" t="s">
        <v>954</v>
      </c>
      <c r="E12" s="340" t="s">
        <v>955</v>
      </c>
      <c r="F12" s="340" t="s">
        <v>951</v>
      </c>
      <c r="G12" s="340" t="s">
        <v>956</v>
      </c>
    </row>
    <row r="13" spans="2:7" ht="20.100000000000001" customHeight="1" x14ac:dyDescent="0.25">
      <c r="B13" s="342">
        <v>10</v>
      </c>
      <c r="C13" s="341" t="s">
        <v>957</v>
      </c>
      <c r="D13" s="340" t="s">
        <v>958</v>
      </c>
      <c r="E13" s="340" t="s">
        <v>959</v>
      </c>
      <c r="F13" s="340" t="s">
        <v>951</v>
      </c>
      <c r="G13" s="340" t="s">
        <v>960</v>
      </c>
    </row>
    <row r="14" spans="2:7" ht="20.100000000000001" customHeight="1" x14ac:dyDescent="0.25">
      <c r="B14" s="339">
        <v>11</v>
      </c>
      <c r="C14" s="338" t="s">
        <v>961</v>
      </c>
      <c r="D14" s="337" t="s">
        <v>962</v>
      </c>
      <c r="E14" s="337" t="s">
        <v>963</v>
      </c>
      <c r="F14" s="337" t="s">
        <v>964</v>
      </c>
      <c r="G14" s="337" t="s">
        <v>965</v>
      </c>
    </row>
    <row r="15" spans="2:7" ht="20.100000000000001" customHeight="1" x14ac:dyDescent="0.25">
      <c r="B15" s="339">
        <v>12</v>
      </c>
      <c r="C15" s="338" t="s">
        <v>966</v>
      </c>
      <c r="D15" s="337" t="s">
        <v>967</v>
      </c>
      <c r="E15" s="337" t="s">
        <v>968</v>
      </c>
      <c r="F15" s="337" t="s">
        <v>969</v>
      </c>
      <c r="G15" s="337" t="s">
        <v>970</v>
      </c>
    </row>
    <row r="16" spans="2:7" ht="20.100000000000001" customHeight="1" x14ac:dyDescent="0.25">
      <c r="B16" s="339">
        <v>13</v>
      </c>
      <c r="C16" s="338" t="s">
        <v>971</v>
      </c>
      <c r="D16" s="337" t="s">
        <v>972</v>
      </c>
      <c r="E16" s="337" t="s">
        <v>973</v>
      </c>
      <c r="F16" s="337" t="s">
        <v>974</v>
      </c>
      <c r="G16" s="337" t="s">
        <v>975</v>
      </c>
    </row>
    <row r="17" spans="2:7" ht="20.100000000000001" customHeight="1" x14ac:dyDescent="0.25">
      <c r="B17" s="336">
        <v>14</v>
      </c>
      <c r="C17" s="335" t="s">
        <v>976</v>
      </c>
      <c r="D17" s="334" t="s">
        <v>977</v>
      </c>
      <c r="E17" s="334" t="s">
        <v>978</v>
      </c>
      <c r="F17" s="334" t="s">
        <v>979</v>
      </c>
      <c r="G17" s="334" t="s">
        <v>980</v>
      </c>
    </row>
    <row r="18" spans="2:7" ht="20.100000000000001" customHeight="1" x14ac:dyDescent="0.25">
      <c r="B18" s="336">
        <v>15</v>
      </c>
      <c r="C18" s="335" t="s">
        <v>981</v>
      </c>
      <c r="D18" s="334" t="s">
        <v>982</v>
      </c>
      <c r="E18" s="334" t="s">
        <v>983</v>
      </c>
      <c r="F18" s="334" t="s">
        <v>984</v>
      </c>
      <c r="G18" s="334" t="s">
        <v>985</v>
      </c>
    </row>
    <row r="19" spans="2:7" ht="20.100000000000001" customHeight="1" x14ac:dyDescent="0.25">
      <c r="B19" s="324">
        <v>16</v>
      </c>
      <c r="C19" s="323" t="s">
        <v>986</v>
      </c>
      <c r="D19" s="322" t="s">
        <v>987</v>
      </c>
      <c r="E19" s="322" t="s">
        <v>988</v>
      </c>
      <c r="F19" s="322" t="s">
        <v>989</v>
      </c>
      <c r="G19" s="322" t="s">
        <v>990</v>
      </c>
    </row>
    <row r="20" spans="2:7" ht="20.100000000000001" customHeight="1" x14ac:dyDescent="0.25">
      <c r="B20" s="333">
        <v>17</v>
      </c>
      <c r="C20" s="332" t="s">
        <v>991</v>
      </c>
      <c r="D20" s="331" t="s">
        <v>992</v>
      </c>
      <c r="E20" s="331" t="s">
        <v>993</v>
      </c>
      <c r="F20" s="331" t="s">
        <v>994</v>
      </c>
      <c r="G20" s="331" t="s">
        <v>995</v>
      </c>
    </row>
    <row r="21" spans="2:7" ht="20.100000000000001" customHeight="1" x14ac:dyDescent="0.25">
      <c r="B21" s="333">
        <v>18</v>
      </c>
      <c r="C21" s="332" t="s">
        <v>996</v>
      </c>
      <c r="D21" s="331" t="s">
        <v>997</v>
      </c>
      <c r="E21" s="331" t="s">
        <v>998</v>
      </c>
      <c r="F21" s="331" t="s">
        <v>134</v>
      </c>
      <c r="G21" s="331" t="s">
        <v>999</v>
      </c>
    </row>
    <row r="22" spans="2:7" ht="20.100000000000001" customHeight="1" x14ac:dyDescent="0.25">
      <c r="B22" s="330">
        <v>19</v>
      </c>
      <c r="C22" s="329" t="s">
        <v>1000</v>
      </c>
      <c r="D22" s="328" t="s">
        <v>1001</v>
      </c>
      <c r="E22" s="328" t="s">
        <v>1002</v>
      </c>
      <c r="F22" s="328" t="s">
        <v>1003</v>
      </c>
      <c r="G22" s="328" t="s">
        <v>1004</v>
      </c>
    </row>
    <row r="23" spans="2:7" ht="20.100000000000001" customHeight="1" x14ac:dyDescent="0.25">
      <c r="B23" s="330">
        <v>20</v>
      </c>
      <c r="C23" s="329" t="s">
        <v>1005</v>
      </c>
      <c r="D23" s="328" t="s">
        <v>1006</v>
      </c>
      <c r="E23" s="328" t="s">
        <v>1007</v>
      </c>
      <c r="F23" s="328" t="s">
        <v>1008</v>
      </c>
      <c r="G23" s="328" t="s">
        <v>1009</v>
      </c>
    </row>
    <row r="24" spans="2:7" ht="20.100000000000001" customHeight="1" x14ac:dyDescent="0.25">
      <c r="B24" s="327">
        <v>21</v>
      </c>
      <c r="C24" s="326" t="s">
        <v>1010</v>
      </c>
      <c r="D24" s="325" t="s">
        <v>1011</v>
      </c>
      <c r="E24" s="325" t="s">
        <v>1012</v>
      </c>
      <c r="F24" s="325" t="s">
        <v>1013</v>
      </c>
      <c r="G24" s="325" t="s">
        <v>1014</v>
      </c>
    </row>
    <row r="25" spans="2:7" ht="20.100000000000001" customHeight="1" x14ac:dyDescent="0.25">
      <c r="B25" s="327">
        <v>22</v>
      </c>
      <c r="C25" s="326" t="s">
        <v>1015</v>
      </c>
      <c r="D25" s="325" t="s">
        <v>1016</v>
      </c>
      <c r="E25" s="325" t="s">
        <v>1017</v>
      </c>
      <c r="F25" s="325" t="s">
        <v>1018</v>
      </c>
      <c r="G25" s="325" t="s">
        <v>1019</v>
      </c>
    </row>
    <row r="26" spans="2:7" ht="20.100000000000001" customHeight="1" x14ac:dyDescent="0.25">
      <c r="B26" s="324">
        <v>23</v>
      </c>
      <c r="C26" s="323" t="s">
        <v>1020</v>
      </c>
      <c r="D26" s="322" t="s">
        <v>1021</v>
      </c>
      <c r="E26" s="322" t="s">
        <v>1022</v>
      </c>
      <c r="F26" s="322" t="s">
        <v>1023</v>
      </c>
      <c r="G26" s="322" t="s">
        <v>1024</v>
      </c>
    </row>
    <row r="27" spans="2:7" ht="20.100000000000001" customHeight="1" x14ac:dyDescent="0.25">
      <c r="B27" s="321">
        <v>24</v>
      </c>
      <c r="C27" s="320" t="s">
        <v>628</v>
      </c>
      <c r="D27" s="319" t="s">
        <v>1025</v>
      </c>
      <c r="E27" s="319" t="s">
        <v>1026</v>
      </c>
      <c r="F27" s="319" t="s">
        <v>1027</v>
      </c>
      <c r="G27" s="319" t="s">
        <v>1028</v>
      </c>
    </row>
    <row r="28" spans="2:7" ht="20.100000000000001" customHeight="1" x14ac:dyDescent="0.25">
      <c r="B28" s="318">
        <v>25</v>
      </c>
      <c r="C28" s="317" t="s">
        <v>1029</v>
      </c>
      <c r="D28" s="316" t="s">
        <v>1030</v>
      </c>
      <c r="E28" s="316" t="s">
        <v>1031</v>
      </c>
      <c r="F28" s="316" t="s">
        <v>1032</v>
      </c>
      <c r="G28" s="316" t="s">
        <v>1033</v>
      </c>
    </row>
    <row r="29" spans="2:7" ht="20.100000000000001" customHeight="1" x14ac:dyDescent="0.25">
      <c r="B29" s="318">
        <v>26</v>
      </c>
      <c r="C29" s="317" t="s">
        <v>1034</v>
      </c>
      <c r="D29" s="316" t="s">
        <v>1035</v>
      </c>
      <c r="E29" s="316" t="s">
        <v>1036</v>
      </c>
      <c r="F29" s="316" t="s">
        <v>1037</v>
      </c>
      <c r="G29" s="316" t="s">
        <v>1038</v>
      </c>
    </row>
    <row r="30" spans="2:7" ht="20.100000000000001" customHeight="1" x14ac:dyDescent="0.25">
      <c r="B30" s="315">
        <v>27</v>
      </c>
      <c r="C30" s="314" t="s">
        <v>1039</v>
      </c>
      <c r="D30" s="313" t="s">
        <v>1039</v>
      </c>
      <c r="E30" s="313" t="s">
        <v>1040</v>
      </c>
      <c r="F30" s="313" t="s">
        <v>1041</v>
      </c>
      <c r="G30" s="313" t="s">
        <v>1042</v>
      </c>
    </row>
    <row r="31" spans="2:7" ht="20.100000000000001" customHeight="1" x14ac:dyDescent="0.25">
      <c r="B31" s="315">
        <v>28</v>
      </c>
      <c r="C31" s="314" t="s">
        <v>1043</v>
      </c>
      <c r="D31" s="313" t="s">
        <v>1043</v>
      </c>
      <c r="E31" s="313" t="s">
        <v>1044</v>
      </c>
      <c r="F31" s="313" t="s">
        <v>1045</v>
      </c>
      <c r="G31" s="313" t="s">
        <v>1046</v>
      </c>
    </row>
    <row r="32" spans="2:7" ht="20.100000000000001" customHeight="1" x14ac:dyDescent="0.25">
      <c r="B32" s="312" t="s">
        <v>1047</v>
      </c>
      <c r="C32" s="311"/>
      <c r="D32" s="311"/>
      <c r="E32" s="311"/>
      <c r="F32" s="311"/>
      <c r="G32" s="310"/>
    </row>
    <row r="38" spans="2:2" x14ac:dyDescent="0.25">
      <c r="B38" s="115"/>
    </row>
  </sheetData>
  <mergeCells count="1">
    <mergeCell ref="B32:G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DD25-74B6-4FFE-807A-ADA4F284CBF3}">
  <sheetPr codeName="Sheet20"/>
  <dimension ref="A3:I120"/>
  <sheetViews>
    <sheetView zoomScale="115" zoomScaleNormal="115" workbookViewId="0">
      <selection activeCell="I17" sqref="I17"/>
    </sheetView>
  </sheetViews>
  <sheetFormatPr defaultRowHeight="15" x14ac:dyDescent="0.25"/>
  <cols>
    <col min="1" max="1" width="16.85546875" customWidth="1"/>
    <col min="2" max="2" width="12.5703125" bestFit="1" customWidth="1"/>
    <col min="3" max="3" width="17.5703125" bestFit="1" customWidth="1"/>
    <col min="4" max="4" width="15.85546875" bestFit="1" customWidth="1"/>
    <col min="5" max="5" width="25.28515625" customWidth="1"/>
    <col min="6" max="6" width="27.140625" customWidth="1"/>
    <col min="7" max="7" width="29.7109375" bestFit="1" customWidth="1"/>
    <col min="8" max="8" width="21.5703125" customWidth="1"/>
    <col min="9" max="9" width="29.7109375" bestFit="1" customWidth="1"/>
  </cols>
  <sheetData>
    <row r="3" spans="2:7" x14ac:dyDescent="0.25">
      <c r="B3" s="116" t="s">
        <v>1055</v>
      </c>
      <c r="C3" s="116" t="s">
        <v>1056</v>
      </c>
      <c r="D3" s="116" t="s">
        <v>1057</v>
      </c>
    </row>
    <row r="4" spans="2:7" x14ac:dyDescent="0.25">
      <c r="B4" s="117" t="s">
        <v>1053</v>
      </c>
      <c r="C4" s="126">
        <v>46313</v>
      </c>
      <c r="D4" s="127" t="str">
        <f ca="1">TEXT(TODAY(), "mm-dd-yyyy")</f>
        <v>10-21-2026</v>
      </c>
    </row>
    <row r="5" spans="2:7" x14ac:dyDescent="0.25">
      <c r="B5" s="117" t="s">
        <v>1054</v>
      </c>
      <c r="C5" s="128">
        <v>0.68472222222222223</v>
      </c>
      <c r="D5" s="127" t="str">
        <f ca="1">TEXT(NOW()+7, "h:mm:ss AM/PM")</f>
        <v>1:50:03 AM</v>
      </c>
    </row>
    <row r="6" spans="2:7" x14ac:dyDescent="0.25">
      <c r="B6" s="117" t="s">
        <v>1054</v>
      </c>
      <c r="C6" s="128"/>
      <c r="D6" s="127" t="str">
        <f ca="1">TEXT(NOW() + (7/24), "h:mm:ss AM/PM")</f>
        <v>8:50:03 AM</v>
      </c>
    </row>
    <row r="8" spans="2:7" ht="15.75" thickBot="1" x14ac:dyDescent="0.3"/>
    <row r="9" spans="2:7" x14ac:dyDescent="0.25">
      <c r="B9" s="78" t="s">
        <v>469</v>
      </c>
      <c r="C9" s="79" t="s">
        <v>1052</v>
      </c>
      <c r="D9" s="79" t="s">
        <v>1048</v>
      </c>
      <c r="E9" s="79" t="s">
        <v>745</v>
      </c>
      <c r="F9" s="79" t="s">
        <v>1049</v>
      </c>
      <c r="G9" s="80" t="s">
        <v>469</v>
      </c>
    </row>
    <row r="10" spans="2:7" x14ac:dyDescent="0.25">
      <c r="B10" s="118">
        <v>46313</v>
      </c>
      <c r="C10" s="129" t="str">
        <f>TEXT(B10,"DDD")</f>
        <v>Sun</v>
      </c>
      <c r="D10" s="129">
        <f>DAY(B10)</f>
        <v>18</v>
      </c>
      <c r="E10" s="129">
        <f>MONTH(B10)</f>
        <v>10</v>
      </c>
      <c r="F10" s="129">
        <f>YEAR(B10)</f>
        <v>2026</v>
      </c>
      <c r="G10" s="130">
        <f>DATE(F10,E10,D10)</f>
        <v>46313</v>
      </c>
    </row>
    <row r="11" spans="2:7" x14ac:dyDescent="0.25">
      <c r="B11" s="118">
        <v>46314</v>
      </c>
      <c r="C11" s="129" t="str">
        <f>TEXT(B11,"DDD")</f>
        <v>Mon</v>
      </c>
      <c r="D11" s="129">
        <f>DAY(B11)</f>
        <v>19</v>
      </c>
      <c r="E11" s="129">
        <f>MONTH(B11)</f>
        <v>10</v>
      </c>
      <c r="F11" s="129">
        <f>YEAR(B11)</f>
        <v>2026</v>
      </c>
      <c r="G11" s="130">
        <f>DATE(F11,E11,D11)</f>
        <v>46314</v>
      </c>
    </row>
    <row r="12" spans="2:7" x14ac:dyDescent="0.25">
      <c r="B12" s="118">
        <v>46315</v>
      </c>
      <c r="C12" s="129" t="str">
        <f>TEXT(B12,"DDD")</f>
        <v>Tue</v>
      </c>
      <c r="D12" s="129">
        <f>DAY(B12)</f>
        <v>20</v>
      </c>
      <c r="E12" s="129">
        <f>MONTH(B12)</f>
        <v>10</v>
      </c>
      <c r="F12" s="129">
        <f>YEAR(B12)</f>
        <v>2026</v>
      </c>
      <c r="G12" s="130">
        <f>DATE(F12,E12,D12)</f>
        <v>46315</v>
      </c>
    </row>
    <row r="13" spans="2:7" x14ac:dyDescent="0.25">
      <c r="B13" s="118">
        <v>46316</v>
      </c>
      <c r="C13" s="129" t="str">
        <f>TEXT(B13,"DDD")</f>
        <v>Wed</v>
      </c>
      <c r="D13" s="129">
        <f>DAY(B13)</f>
        <v>21</v>
      </c>
      <c r="E13" s="129">
        <f>MONTH(B13)</f>
        <v>10</v>
      </c>
      <c r="F13" s="129">
        <f>YEAR(B13)</f>
        <v>2026</v>
      </c>
      <c r="G13" s="130">
        <f>DATE(F13,E13,D13)</f>
        <v>46316</v>
      </c>
    </row>
    <row r="14" spans="2:7" x14ac:dyDescent="0.25">
      <c r="B14" s="118">
        <v>46317</v>
      </c>
      <c r="C14" s="129" t="str">
        <f>TEXT(B14,"DDD")</f>
        <v>Thu</v>
      </c>
      <c r="D14" s="129">
        <f>DAY(B14)</f>
        <v>22</v>
      </c>
      <c r="E14" s="129">
        <f>MONTH(B14)</f>
        <v>10</v>
      </c>
      <c r="F14" s="129">
        <f>YEAR(B14)</f>
        <v>2026</v>
      </c>
      <c r="G14" s="130">
        <f>DATE(F14,E14,D14)</f>
        <v>46317</v>
      </c>
    </row>
    <row r="15" spans="2:7" x14ac:dyDescent="0.25">
      <c r="B15" s="118">
        <v>46318</v>
      </c>
      <c r="C15" s="129" t="str">
        <f>TEXT(B15,"DDD")</f>
        <v>Fri</v>
      </c>
      <c r="D15" s="129">
        <f>DAY(B15)</f>
        <v>23</v>
      </c>
      <c r="E15" s="129">
        <f>MONTH(B15)</f>
        <v>10</v>
      </c>
      <c r="F15" s="129">
        <f>YEAR(B15)</f>
        <v>2026</v>
      </c>
      <c r="G15" s="130">
        <f>DATE(F15,E15,D15)</f>
        <v>46318</v>
      </c>
    </row>
    <row r="16" spans="2:7" x14ac:dyDescent="0.25">
      <c r="B16" s="118">
        <v>46319</v>
      </c>
      <c r="C16" s="129" t="str">
        <f>TEXT(B16,"DDD")</f>
        <v>Sat</v>
      </c>
      <c r="D16" s="129">
        <f>DAY(B16)</f>
        <v>24</v>
      </c>
      <c r="E16" s="129">
        <f>MONTH(B16)</f>
        <v>10</v>
      </c>
      <c r="F16" s="129">
        <f>YEAR(B16)</f>
        <v>2026</v>
      </c>
      <c r="G16" s="130">
        <f>DATE(F16,E16,D16)</f>
        <v>46319</v>
      </c>
    </row>
    <row r="17" spans="2:7" x14ac:dyDescent="0.25">
      <c r="B17" s="118">
        <v>46320</v>
      </c>
      <c r="C17" s="129" t="str">
        <f>TEXT(B17,"DDD")</f>
        <v>Sun</v>
      </c>
      <c r="D17" s="129">
        <f>DAY(B17)</f>
        <v>25</v>
      </c>
      <c r="E17" s="129">
        <f>MONTH(B17)</f>
        <v>10</v>
      </c>
      <c r="F17" s="129">
        <f>YEAR(B17)</f>
        <v>2026</v>
      </c>
      <c r="G17" s="130">
        <f>DATE(F17,E17,D17)</f>
        <v>46320</v>
      </c>
    </row>
    <row r="18" spans="2:7" x14ac:dyDescent="0.25">
      <c r="B18" s="118">
        <v>46321</v>
      </c>
      <c r="C18" s="129" t="str">
        <f>TEXT(B18,"DDD")</f>
        <v>Mon</v>
      </c>
      <c r="D18" s="129">
        <f>DAY(B18)</f>
        <v>26</v>
      </c>
      <c r="E18" s="129">
        <f>MONTH(B18)</f>
        <v>10</v>
      </c>
      <c r="F18" s="129">
        <f>YEAR(B18)</f>
        <v>2026</v>
      </c>
      <c r="G18" s="130">
        <f>DATE(F18,E18,D18)</f>
        <v>46321</v>
      </c>
    </row>
    <row r="19" spans="2:7" x14ac:dyDescent="0.25">
      <c r="B19" s="118">
        <v>46322</v>
      </c>
      <c r="C19" s="129" t="str">
        <f>TEXT(B19,"DDD")</f>
        <v>Tue</v>
      </c>
      <c r="D19" s="129">
        <f>DAY(B19)</f>
        <v>27</v>
      </c>
      <c r="E19" s="129">
        <f>MONTH(B19)</f>
        <v>10</v>
      </c>
      <c r="F19" s="129">
        <f>YEAR(B19)</f>
        <v>2026</v>
      </c>
      <c r="G19" s="130">
        <f>DATE(F19,E19,D19)</f>
        <v>46322</v>
      </c>
    </row>
    <row r="20" spans="2:7" x14ac:dyDescent="0.25">
      <c r="B20" s="118">
        <v>46323</v>
      </c>
      <c r="C20" s="129" t="str">
        <f>TEXT(B20,"DDD")</f>
        <v>Wed</v>
      </c>
      <c r="D20" s="129">
        <f>DAY(B20)</f>
        <v>28</v>
      </c>
      <c r="E20" s="129">
        <f>MONTH(B20)</f>
        <v>10</v>
      </c>
      <c r="F20" s="129">
        <f>YEAR(B20)</f>
        <v>2026</v>
      </c>
      <c r="G20" s="130">
        <f>DATE(F20,E20,D20)</f>
        <v>46323</v>
      </c>
    </row>
    <row r="21" spans="2:7" x14ac:dyDescent="0.25">
      <c r="B21" s="118">
        <v>46324</v>
      </c>
      <c r="C21" s="129" t="str">
        <f>TEXT(B21,"DDD")</f>
        <v>Thu</v>
      </c>
      <c r="D21" s="129">
        <f>DAY(B21)</f>
        <v>29</v>
      </c>
      <c r="E21" s="129">
        <f>MONTH(B21)</f>
        <v>10</v>
      </c>
      <c r="F21" s="129">
        <f>YEAR(B21)</f>
        <v>2026</v>
      </c>
      <c r="G21" s="130">
        <f>DATE(F21,E21,D21)</f>
        <v>46324</v>
      </c>
    </row>
    <row r="22" spans="2:7" x14ac:dyDescent="0.25">
      <c r="B22" s="118">
        <v>46325</v>
      </c>
      <c r="C22" s="129" t="str">
        <f>TEXT(B22,"DDD")</f>
        <v>Fri</v>
      </c>
      <c r="D22" s="129">
        <f>DAY(B22)</f>
        <v>30</v>
      </c>
      <c r="E22" s="129">
        <f>MONTH(B22)</f>
        <v>10</v>
      </c>
      <c r="F22" s="129">
        <f>YEAR(B22)</f>
        <v>2026</v>
      </c>
      <c r="G22" s="130">
        <f>DATE(F22,E22,D22)</f>
        <v>46325</v>
      </c>
    </row>
    <row r="23" spans="2:7" x14ac:dyDescent="0.25">
      <c r="B23" s="118">
        <v>46326</v>
      </c>
      <c r="C23" s="129" t="str">
        <f>TEXT(B23,"DDD")</f>
        <v>Sat</v>
      </c>
      <c r="D23" s="129">
        <f>DAY(B23)</f>
        <v>31</v>
      </c>
      <c r="E23" s="129">
        <f>MONTH(B23)</f>
        <v>10</v>
      </c>
      <c r="F23" s="129">
        <f>YEAR(B23)</f>
        <v>2026</v>
      </c>
      <c r="G23" s="130">
        <f>DATE(F23,E23,D23)</f>
        <v>46326</v>
      </c>
    </row>
    <row r="24" spans="2:7" x14ac:dyDescent="0.25">
      <c r="B24" s="118">
        <v>46327</v>
      </c>
      <c r="C24" s="129" t="str">
        <f>TEXT(B24,"DDD")</f>
        <v>Sun</v>
      </c>
      <c r="D24" s="129">
        <f>DAY(B24)</f>
        <v>1</v>
      </c>
      <c r="E24" s="129">
        <f>MONTH(B24)</f>
        <v>11</v>
      </c>
      <c r="F24" s="129">
        <f>YEAR(B24)</f>
        <v>2026</v>
      </c>
      <c r="G24" s="130">
        <f>DATE(F24,E24,D24)</f>
        <v>46327</v>
      </c>
    </row>
    <row r="25" spans="2:7" x14ac:dyDescent="0.25">
      <c r="B25" s="118">
        <v>46328</v>
      </c>
      <c r="C25" s="129" t="str">
        <f>TEXT(B25,"DDD")</f>
        <v>Mon</v>
      </c>
      <c r="D25" s="129">
        <f>DAY(B25)</f>
        <v>2</v>
      </c>
      <c r="E25" s="129">
        <f>MONTH(B25)</f>
        <v>11</v>
      </c>
      <c r="F25" s="129">
        <f>YEAR(B25)</f>
        <v>2026</v>
      </c>
      <c r="G25" s="130">
        <f>DATE(F25,E25,D25)</f>
        <v>46328</v>
      </c>
    </row>
    <row r="26" spans="2:7" x14ac:dyDescent="0.25">
      <c r="B26" s="118">
        <v>46329</v>
      </c>
      <c r="C26" s="129" t="str">
        <f>TEXT(B26,"DDD")</f>
        <v>Tue</v>
      </c>
      <c r="D26" s="129">
        <f>DAY(B26)</f>
        <v>3</v>
      </c>
      <c r="E26" s="129">
        <f>MONTH(B26)</f>
        <v>11</v>
      </c>
      <c r="F26" s="129">
        <f>YEAR(B26)</f>
        <v>2026</v>
      </c>
      <c r="G26" s="130">
        <f>DATE(F26,E26,D26)</f>
        <v>46329</v>
      </c>
    </row>
    <row r="27" spans="2:7" ht="15.75" thickBot="1" x14ac:dyDescent="0.3">
      <c r="B27" s="119">
        <v>46330</v>
      </c>
      <c r="C27" s="129" t="str">
        <f>TEXT(B27,"DDD")</f>
        <v>Wed</v>
      </c>
      <c r="D27" s="129">
        <f>DAY(B27)</f>
        <v>4</v>
      </c>
      <c r="E27" s="129">
        <f>MONTH(B27)</f>
        <v>11</v>
      </c>
      <c r="F27" s="129">
        <f>YEAR(B27)</f>
        <v>2026</v>
      </c>
      <c r="G27" s="130">
        <f>DATE(F27,E27,D27)</f>
        <v>46330</v>
      </c>
    </row>
    <row r="30" spans="2:7" ht="15.75" thickBot="1" x14ac:dyDescent="0.3"/>
    <row r="31" spans="2:7" x14ac:dyDescent="0.25">
      <c r="B31" s="78" t="s">
        <v>928</v>
      </c>
      <c r="C31" s="79" t="s">
        <v>1050</v>
      </c>
      <c r="D31" s="79" t="s">
        <v>1058</v>
      </c>
      <c r="E31" s="79" t="s">
        <v>1059</v>
      </c>
      <c r="F31" s="79" t="s">
        <v>1060</v>
      </c>
      <c r="G31" s="79" t="s">
        <v>928</v>
      </c>
    </row>
    <row r="32" spans="2:7" x14ac:dyDescent="0.25">
      <c r="B32" s="120" t="str">
        <f ca="1">TEXT(NOW(), "h:mm:ss AM/PM")</f>
        <v>1:50:03 AM</v>
      </c>
      <c r="C32" s="129">
        <f ca="1">HOUR(B32)</f>
        <v>1</v>
      </c>
      <c r="D32" s="129">
        <f ca="1">MINUTE(B32)</f>
        <v>50</v>
      </c>
      <c r="E32" s="129">
        <f ca="1">SECOND(B32)</f>
        <v>3</v>
      </c>
      <c r="F32" s="129" t="str">
        <f>TEXT(A1,"AM/PM")</f>
        <v>AM</v>
      </c>
      <c r="G32" s="131">
        <f ca="1">TIME(C32,D32,E32)</f>
        <v>7.6423611111111109E-2</v>
      </c>
    </row>
    <row r="33" spans="2:7" x14ac:dyDescent="0.25">
      <c r="B33" s="120" t="str">
        <f ca="1">TEXT(NOW(), "h:mm:ss AM/PM")</f>
        <v>1:50:03 AM</v>
      </c>
      <c r="C33" s="129">
        <f ca="1">HOUR(B33)</f>
        <v>1</v>
      </c>
      <c r="D33" s="129">
        <f ca="1">MINUTE(B33)</f>
        <v>50</v>
      </c>
      <c r="E33" s="129">
        <f ca="1">SECOND(B33)</f>
        <v>3</v>
      </c>
      <c r="F33" s="129" t="str">
        <f>TEXT(A2,"AM/PM")</f>
        <v>AM</v>
      </c>
      <c r="G33" s="131">
        <f ca="1">TIME(C33,D33,E33)</f>
        <v>7.6423611111111109E-2</v>
      </c>
    </row>
    <row r="34" spans="2:7" x14ac:dyDescent="0.25">
      <c r="B34" s="120" t="str">
        <f ca="1">TEXT(NOW(), "h:mm:ss AM/PM")</f>
        <v>1:50:03 AM</v>
      </c>
      <c r="C34" s="129">
        <f ca="1">HOUR(B34)</f>
        <v>1</v>
      </c>
      <c r="D34" s="129">
        <f ca="1">MINUTE(B34)</f>
        <v>50</v>
      </c>
      <c r="E34" s="129">
        <f ca="1">SECOND(B34)</f>
        <v>3</v>
      </c>
      <c r="F34" s="129" t="str">
        <f>TEXT(A3,"AM/PM")</f>
        <v>AM</v>
      </c>
      <c r="G34" s="131">
        <f ca="1">TIME(C34,D34,E34)</f>
        <v>7.6423611111111109E-2</v>
      </c>
    </row>
    <row r="35" spans="2:7" x14ac:dyDescent="0.25">
      <c r="B35" s="120" t="str">
        <f ca="1">TEXT(NOW(), "h:mm:ss AM/PM")</f>
        <v>1:50:03 AM</v>
      </c>
      <c r="C35" s="129">
        <f ca="1">HOUR(B35)</f>
        <v>1</v>
      </c>
      <c r="D35" s="129">
        <f ca="1">MINUTE(B35)</f>
        <v>50</v>
      </c>
      <c r="E35" s="129">
        <f ca="1">SECOND(B35)</f>
        <v>3</v>
      </c>
      <c r="F35" s="129" t="str">
        <f>TEXT(A4,"AM/PM")</f>
        <v>AM</v>
      </c>
      <c r="G35" s="131">
        <f ca="1">TIME(C35,D35,E35)</f>
        <v>7.6423611111111109E-2</v>
      </c>
    </row>
    <row r="36" spans="2:7" x14ac:dyDescent="0.25">
      <c r="B36" s="120" t="str">
        <f ca="1">TEXT(NOW(), "h:mm:ss AM/PM")</f>
        <v>1:50:03 AM</v>
      </c>
      <c r="C36" s="129">
        <f ca="1">HOUR(B36)</f>
        <v>1</v>
      </c>
      <c r="D36" s="129">
        <f ca="1">MINUTE(B36)</f>
        <v>50</v>
      </c>
      <c r="E36" s="129">
        <f ca="1">SECOND(B36)</f>
        <v>3</v>
      </c>
      <c r="F36" s="129" t="str">
        <f>TEXT(A5,"AM/PM")</f>
        <v>AM</v>
      </c>
      <c r="G36" s="131">
        <f ca="1">TIME(C36,D36,E36)</f>
        <v>7.6423611111111109E-2</v>
      </c>
    </row>
    <row r="37" spans="2:7" x14ac:dyDescent="0.25">
      <c r="B37" s="120" t="str">
        <f ca="1">TEXT(NOW(), "h:mm:ss AM/PM")</f>
        <v>1:50:03 AM</v>
      </c>
      <c r="C37" s="129">
        <f ca="1">HOUR(B37)</f>
        <v>1</v>
      </c>
      <c r="D37" s="129">
        <f ca="1">MINUTE(B37)</f>
        <v>50</v>
      </c>
      <c r="E37" s="129">
        <f ca="1">SECOND(B37)</f>
        <v>3</v>
      </c>
      <c r="F37" s="129" t="str">
        <f>TEXT(A6,"AM/PM")</f>
        <v>AM</v>
      </c>
      <c r="G37" s="131">
        <f ca="1">TIME(C37,D37,E37)</f>
        <v>7.6423611111111109E-2</v>
      </c>
    </row>
    <row r="38" spans="2:7" x14ac:dyDescent="0.25">
      <c r="B38" s="120" t="str">
        <f ca="1">TEXT(NOW(), "h:mm:ss AM/PM")</f>
        <v>1:50:03 AM</v>
      </c>
      <c r="C38" s="129">
        <f ca="1">HOUR(B38)</f>
        <v>1</v>
      </c>
      <c r="D38" s="129">
        <f ca="1">MINUTE(B38)</f>
        <v>50</v>
      </c>
      <c r="E38" s="129">
        <f ca="1">SECOND(B38)</f>
        <v>3</v>
      </c>
      <c r="F38" s="129" t="str">
        <f>TEXT(A7,"AM/PM")</f>
        <v>AM</v>
      </c>
      <c r="G38" s="131">
        <f ca="1">TIME(C38,D38,E38)</f>
        <v>7.6423611111111109E-2</v>
      </c>
    </row>
    <row r="39" spans="2:7" x14ac:dyDescent="0.25">
      <c r="B39" s="120" t="str">
        <f ca="1">TEXT(NOW(), "h:mm:ss AM/PM")</f>
        <v>1:50:03 AM</v>
      </c>
      <c r="C39" s="129">
        <f ca="1">HOUR(B39)</f>
        <v>1</v>
      </c>
      <c r="D39" s="129">
        <f ca="1">MINUTE(B39)</f>
        <v>50</v>
      </c>
      <c r="E39" s="129">
        <f ca="1">SECOND(B39)</f>
        <v>3</v>
      </c>
      <c r="F39" s="129" t="str">
        <f>TEXT(A8,"AM/PM")</f>
        <v>AM</v>
      </c>
      <c r="G39" s="131">
        <f ca="1">TIME(C39,D39,E39)</f>
        <v>7.6423611111111109E-2</v>
      </c>
    </row>
    <row r="40" spans="2:7" x14ac:dyDescent="0.25">
      <c r="B40" s="120" t="str">
        <f ca="1">TEXT(NOW(), "h:mm:ss AM/PM")</f>
        <v>1:50:03 AM</v>
      </c>
      <c r="C40" s="129">
        <f ca="1">HOUR(B40)</f>
        <v>1</v>
      </c>
      <c r="D40" s="129">
        <f ca="1">MINUTE(B40)</f>
        <v>50</v>
      </c>
      <c r="E40" s="129">
        <f ca="1">SECOND(B40)</f>
        <v>3</v>
      </c>
      <c r="F40" s="129" t="str">
        <f>TEXT(A9,"AM/PM")</f>
        <v>AM</v>
      </c>
      <c r="G40" s="131">
        <f ca="1">TIME(C40,D40,E40)</f>
        <v>7.6423611111111109E-2</v>
      </c>
    </row>
    <row r="41" spans="2:7" x14ac:dyDescent="0.25">
      <c r="B41" s="120" t="str">
        <f ca="1">TEXT(NOW(), "h:mm:ss AM/PM")</f>
        <v>1:50:03 AM</v>
      </c>
      <c r="C41" s="129">
        <f ca="1">HOUR(B41)</f>
        <v>1</v>
      </c>
      <c r="D41" s="129">
        <f ca="1">MINUTE(B41)</f>
        <v>50</v>
      </c>
      <c r="E41" s="129">
        <f ca="1">SECOND(B41)</f>
        <v>3</v>
      </c>
      <c r="F41" s="129" t="str">
        <f>TEXT(A10,"AM/PM")</f>
        <v>AM</v>
      </c>
      <c r="G41" s="131">
        <f ca="1">TIME(C41,D41,E41)</f>
        <v>7.6423611111111109E-2</v>
      </c>
    </row>
    <row r="42" spans="2:7" x14ac:dyDescent="0.25">
      <c r="B42" s="120" t="str">
        <f ca="1">TEXT(NOW(), "h:mm:ss AM/PM")</f>
        <v>1:50:03 AM</v>
      </c>
      <c r="C42" s="129">
        <f ca="1">HOUR(B42)</f>
        <v>1</v>
      </c>
      <c r="D42" s="129">
        <f ca="1">MINUTE(B42)</f>
        <v>50</v>
      </c>
      <c r="E42" s="129">
        <f ca="1">SECOND(B42)</f>
        <v>3</v>
      </c>
      <c r="F42" s="129" t="str">
        <f>TEXT(A11,"AM/PM")</f>
        <v>AM</v>
      </c>
      <c r="G42" s="131">
        <f ca="1">TIME(C42,D42,E42)</f>
        <v>7.6423611111111109E-2</v>
      </c>
    </row>
    <row r="43" spans="2:7" x14ac:dyDescent="0.25">
      <c r="B43" s="120" t="str">
        <f ca="1">TEXT(NOW(), "h:mm:ss AM/PM")</f>
        <v>1:50:03 AM</v>
      </c>
      <c r="C43" s="129">
        <f ca="1">HOUR(B43)</f>
        <v>1</v>
      </c>
      <c r="D43" s="129">
        <f ca="1">MINUTE(B43)</f>
        <v>50</v>
      </c>
      <c r="E43" s="129">
        <f ca="1">SECOND(B43)</f>
        <v>3</v>
      </c>
      <c r="F43" s="129" t="str">
        <f>TEXT(A12,"AM/PM")</f>
        <v>AM</v>
      </c>
      <c r="G43" s="131">
        <f ca="1">TIME(C43,D43,E43)</f>
        <v>7.6423611111111109E-2</v>
      </c>
    </row>
    <row r="44" spans="2:7" x14ac:dyDescent="0.25">
      <c r="B44" s="120" t="str">
        <f ca="1">TEXT(NOW(), "h:mm:ss AM/PM")</f>
        <v>1:50:03 AM</v>
      </c>
      <c r="C44" s="129">
        <f ca="1">HOUR(B44)</f>
        <v>1</v>
      </c>
      <c r="D44" s="129">
        <f ca="1">MINUTE(B44)</f>
        <v>50</v>
      </c>
      <c r="E44" s="129">
        <f ca="1">SECOND(B44)</f>
        <v>3</v>
      </c>
      <c r="F44" s="129" t="str">
        <f>TEXT(A13,"AM/PM")</f>
        <v>AM</v>
      </c>
      <c r="G44" s="131">
        <f ca="1">TIME(C44,D44,E44)</f>
        <v>7.6423611111111109E-2</v>
      </c>
    </row>
    <row r="45" spans="2:7" x14ac:dyDescent="0.25">
      <c r="B45" s="120" t="str">
        <f ca="1">TEXT(NOW(), "h:mm:ss AM/PM")</f>
        <v>1:50:03 AM</v>
      </c>
      <c r="C45" s="129">
        <f ca="1">HOUR(B45)</f>
        <v>1</v>
      </c>
      <c r="D45" s="129">
        <f ca="1">MINUTE(B45)</f>
        <v>50</v>
      </c>
      <c r="E45" s="129">
        <f ca="1">SECOND(B45)</f>
        <v>3</v>
      </c>
      <c r="F45" s="129" t="str">
        <f>TEXT(A14,"AM/PM")</f>
        <v>AM</v>
      </c>
      <c r="G45" s="131">
        <f ca="1">TIME(C45,D45,E45)</f>
        <v>7.6423611111111109E-2</v>
      </c>
    </row>
    <row r="46" spans="2:7" x14ac:dyDescent="0.25">
      <c r="B46" s="120" t="str">
        <f ca="1">TEXT(NOW(), "h:mm:ss AM/PM")</f>
        <v>1:50:03 AM</v>
      </c>
      <c r="C46" s="129">
        <f ca="1">HOUR(B46)</f>
        <v>1</v>
      </c>
      <c r="D46" s="129">
        <f ca="1">MINUTE(B46)</f>
        <v>50</v>
      </c>
      <c r="E46" s="129">
        <f ca="1">SECOND(B46)</f>
        <v>3</v>
      </c>
      <c r="F46" s="129" t="str">
        <f>TEXT(A15,"AM/PM")</f>
        <v>AM</v>
      </c>
      <c r="G46" s="131">
        <f ca="1">TIME(C46,D46,E46)</f>
        <v>7.6423611111111109E-2</v>
      </c>
    </row>
    <row r="47" spans="2:7" x14ac:dyDescent="0.25">
      <c r="B47" s="120" t="str">
        <f ca="1">TEXT(NOW(), "h:mm:ss AM/PM")</f>
        <v>1:50:03 AM</v>
      </c>
      <c r="C47" s="129">
        <f ca="1">HOUR(B47)</f>
        <v>1</v>
      </c>
      <c r="D47" s="129">
        <f ca="1">MINUTE(B47)</f>
        <v>50</v>
      </c>
      <c r="E47" s="129">
        <f ca="1">SECOND(B47)</f>
        <v>3</v>
      </c>
      <c r="F47" s="129" t="str">
        <f>TEXT(A16,"AM/PM")</f>
        <v>AM</v>
      </c>
      <c r="G47" s="131">
        <f ca="1">TIME(C47,D47,E47)</f>
        <v>7.6423611111111109E-2</v>
      </c>
    </row>
    <row r="48" spans="2:7" x14ac:dyDescent="0.25">
      <c r="B48" s="120" t="str">
        <f ca="1">TEXT(NOW(), "h:mm:ss AM/PM")</f>
        <v>1:50:03 AM</v>
      </c>
      <c r="C48" s="129">
        <f ca="1">HOUR(B48)</f>
        <v>1</v>
      </c>
      <c r="D48" s="129">
        <f ca="1">MINUTE(B48)</f>
        <v>50</v>
      </c>
      <c r="E48" s="129">
        <f ca="1">SECOND(B48)</f>
        <v>3</v>
      </c>
      <c r="F48" s="129" t="str">
        <f>TEXT(A17,"AM/PM")</f>
        <v>AM</v>
      </c>
      <c r="G48" s="131">
        <f ca="1">TIME(C48,D48,E48)</f>
        <v>7.6423611111111109E-2</v>
      </c>
    </row>
    <row r="49" spans="1:9" x14ac:dyDescent="0.25">
      <c r="B49" s="120" t="str">
        <f ca="1">TEXT(NOW(), "h:mm:ss AM/PM")</f>
        <v>1:50:03 AM</v>
      </c>
      <c r="C49" s="129">
        <f ca="1">HOUR(B49)</f>
        <v>1</v>
      </c>
      <c r="D49" s="129">
        <f ca="1">MINUTE(B49)</f>
        <v>50</v>
      </c>
      <c r="E49" s="129">
        <f ca="1">SECOND(B49)</f>
        <v>3</v>
      </c>
      <c r="F49" s="129" t="str">
        <f>TEXT(A18,"AM/PM")</f>
        <v>AM</v>
      </c>
      <c r="G49" s="131">
        <f ca="1">TIME(C49,D49,E49)</f>
        <v>7.6423611111111109E-2</v>
      </c>
    </row>
    <row r="52" spans="1:9" ht="15.75" thickBot="1" x14ac:dyDescent="0.3"/>
    <row r="53" spans="1:9" x14ac:dyDescent="0.25">
      <c r="A53" s="78" t="s">
        <v>1065</v>
      </c>
      <c r="B53" s="78" t="s">
        <v>1061</v>
      </c>
      <c r="C53" s="78" t="s">
        <v>1062</v>
      </c>
      <c r="D53" s="78" t="s">
        <v>744</v>
      </c>
      <c r="E53" s="78" t="s">
        <v>1068</v>
      </c>
      <c r="F53" s="78" t="s">
        <v>1063</v>
      </c>
      <c r="G53" s="78" t="s">
        <v>1064</v>
      </c>
      <c r="H53" s="78" t="s">
        <v>1066</v>
      </c>
      <c r="I53" s="78" t="s">
        <v>1067</v>
      </c>
    </row>
    <row r="54" spans="1:9" ht="15.75" thickBot="1" x14ac:dyDescent="0.3">
      <c r="A54" s="121">
        <v>46335</v>
      </c>
      <c r="B54" s="121">
        <v>46313</v>
      </c>
      <c r="C54" s="122">
        <v>46331</v>
      </c>
      <c r="D54" s="124">
        <f>_xlfn.DAYS(C54,B54)</f>
        <v>18</v>
      </c>
      <c r="E54" s="124">
        <f>DAYS360(B54,C54,)</f>
        <v>17</v>
      </c>
      <c r="F54" s="124">
        <f>NETWORKDAYS(B54,C54)</f>
        <v>14</v>
      </c>
      <c r="G54" s="124">
        <f>NETWORKDAYS(B54, C54, $A54:$A55)</f>
        <v>14</v>
      </c>
      <c r="H54" s="124">
        <f>NETWORKDAYS.INTL(B54, C54, "1010000")</f>
        <v>13</v>
      </c>
      <c r="I54" s="124">
        <f>NETWORKDAYS.INTL(B54,C54,"1010000",$A$54:$A$55)</f>
        <v>13</v>
      </c>
    </row>
    <row r="55" spans="1:9" ht="15.75" thickBot="1" x14ac:dyDescent="0.3">
      <c r="A55" s="121">
        <v>46381</v>
      </c>
      <c r="B55" s="121">
        <v>46314</v>
      </c>
      <c r="C55" s="122">
        <v>46332</v>
      </c>
      <c r="D55" s="124">
        <f>_xlfn.DAYS(C55,B55)</f>
        <v>18</v>
      </c>
      <c r="E55" s="124">
        <f>DAYS360(B55,C55,)</f>
        <v>17</v>
      </c>
      <c r="F55" s="124">
        <f>NETWORKDAYS(B55,C55)</f>
        <v>15</v>
      </c>
      <c r="G55" s="124">
        <f>NETWORKDAYS(B55, C55, $A$54:$A$55)</f>
        <v>15</v>
      </c>
      <c r="H55" s="124">
        <f>NETWORKDAYS.INTL(B55, C55, "1010000")</f>
        <v>13</v>
      </c>
      <c r="I55" s="124">
        <f>NETWORKDAYS.INTL(B55,C55,"1010000",$A$54:$A$55)</f>
        <v>13</v>
      </c>
    </row>
    <row r="56" spans="1:9" ht="15.75" thickBot="1" x14ac:dyDescent="0.3">
      <c r="A56" s="121"/>
      <c r="B56" s="121">
        <v>46315</v>
      </c>
      <c r="C56" s="122">
        <v>46333</v>
      </c>
      <c r="D56" s="124">
        <f>_xlfn.DAYS(C56,B56)</f>
        <v>18</v>
      </c>
      <c r="E56" s="124">
        <f>DAYS360(B56,C56,)</f>
        <v>17</v>
      </c>
      <c r="F56" s="124">
        <f>NETWORKDAYS(B56,C56)</f>
        <v>14</v>
      </c>
      <c r="G56" s="124">
        <f>NETWORKDAYS(B56, C56, $A$54:$A$55)</f>
        <v>14</v>
      </c>
      <c r="H56" s="124">
        <f>NETWORKDAYS.INTL(B56, C56, "1010000")</f>
        <v>14</v>
      </c>
      <c r="I56" s="124">
        <f>NETWORKDAYS.INTL(B56,C56,"1010000",$A$54:$A$55)</f>
        <v>14</v>
      </c>
    </row>
    <row r="57" spans="1:9" ht="15.75" thickBot="1" x14ac:dyDescent="0.3">
      <c r="A57" s="121"/>
      <c r="B57" s="121">
        <v>46316</v>
      </c>
      <c r="C57" s="122">
        <v>46334</v>
      </c>
      <c r="D57" s="124">
        <f>_xlfn.DAYS(C57,B57)</f>
        <v>18</v>
      </c>
      <c r="E57" s="124">
        <f>DAYS360(B57,C57,)</f>
        <v>17</v>
      </c>
      <c r="F57" s="124">
        <f>NETWORKDAYS(B57,C57)</f>
        <v>13</v>
      </c>
      <c r="G57" s="124">
        <f>NETWORKDAYS(B57, C57, $A$54:$A$55)</f>
        <v>13</v>
      </c>
      <c r="H57" s="124">
        <f>NETWORKDAYS.INTL(B57, C57, "1010000")</f>
        <v>14</v>
      </c>
      <c r="I57" s="124">
        <f>NETWORKDAYS.INTL(B57,C57,"1010000",$A$54:$A$55)</f>
        <v>14</v>
      </c>
    </row>
    <row r="58" spans="1:9" ht="15.75" thickBot="1" x14ac:dyDescent="0.3">
      <c r="A58" s="121"/>
      <c r="B58" s="121">
        <v>46317</v>
      </c>
      <c r="C58" s="122">
        <v>46335</v>
      </c>
      <c r="D58" s="124">
        <f>_xlfn.DAYS(C58,B58)</f>
        <v>18</v>
      </c>
      <c r="E58" s="124">
        <f>DAYS360(B58,C58,)</f>
        <v>17</v>
      </c>
      <c r="F58" s="124">
        <f>NETWORKDAYS(B58,C58)</f>
        <v>13</v>
      </c>
      <c r="G58" s="124">
        <f>NETWORKDAYS(B58, C58, $A$54:$A$55)</f>
        <v>12</v>
      </c>
      <c r="H58" s="124">
        <f>NETWORKDAYS.INTL(B58, C58, "1010000")</f>
        <v>14</v>
      </c>
      <c r="I58" s="124">
        <f>NETWORKDAYS.INTL(B58,C58,"1010000",$A$54:$A$55)</f>
        <v>14</v>
      </c>
    </row>
    <row r="59" spans="1:9" ht="15.75" thickBot="1" x14ac:dyDescent="0.3">
      <c r="A59" s="121"/>
      <c r="B59" s="121">
        <v>46318</v>
      </c>
      <c r="C59" s="122">
        <v>46336</v>
      </c>
      <c r="D59" s="124">
        <f>_xlfn.DAYS(C59,B59)</f>
        <v>18</v>
      </c>
      <c r="E59" s="124">
        <f>DAYS360(B59,C59,)</f>
        <v>17</v>
      </c>
      <c r="F59" s="124">
        <f>NETWORKDAYS(B59,C59)</f>
        <v>13</v>
      </c>
      <c r="G59" s="124">
        <f>NETWORKDAYS(B59, C59, $A$54:$A$55)</f>
        <v>12</v>
      </c>
      <c r="H59" s="124">
        <f>NETWORKDAYS.INTL(B59, C59, "1010000")</f>
        <v>14</v>
      </c>
      <c r="I59" s="124">
        <f>NETWORKDAYS.INTL(B59,C59,"1010000",$A$54:$A$55)</f>
        <v>14</v>
      </c>
    </row>
    <row r="60" spans="1:9" ht="15.75" thickBot="1" x14ac:dyDescent="0.3">
      <c r="A60" s="121"/>
      <c r="B60" s="121">
        <v>46319</v>
      </c>
      <c r="C60" s="122">
        <v>46337</v>
      </c>
      <c r="D60" s="124">
        <f>_xlfn.DAYS(C60,B60)</f>
        <v>18</v>
      </c>
      <c r="E60" s="124">
        <f>DAYS360(B60,C60,)</f>
        <v>17</v>
      </c>
      <c r="F60" s="124">
        <f>NETWORKDAYS(B60,C60)</f>
        <v>13</v>
      </c>
      <c r="G60" s="124">
        <f>NETWORKDAYS(B60, C60, $A$54:$A$55)</f>
        <v>12</v>
      </c>
      <c r="H60" s="124">
        <f>NETWORKDAYS.INTL(B60, C60, "1010000")</f>
        <v>13</v>
      </c>
      <c r="I60" s="124">
        <f>NETWORKDAYS.INTL(B60,C60,"1010000",$A$54:$A$55)</f>
        <v>13</v>
      </c>
    </row>
    <row r="61" spans="1:9" ht="15.75" thickBot="1" x14ac:dyDescent="0.3">
      <c r="A61" s="121"/>
      <c r="B61" s="121">
        <v>46320</v>
      </c>
      <c r="C61" s="122">
        <v>46338</v>
      </c>
      <c r="D61" s="124">
        <f>_xlfn.DAYS(C61,B61)</f>
        <v>18</v>
      </c>
      <c r="E61" s="124">
        <f>DAYS360(B61,C61,)</f>
        <v>17</v>
      </c>
      <c r="F61" s="124">
        <f>NETWORKDAYS(B61,C61)</f>
        <v>14</v>
      </c>
      <c r="G61" s="124">
        <f>NETWORKDAYS(B61, C61, $A$54:$A$55)</f>
        <v>13</v>
      </c>
      <c r="H61" s="124">
        <f>NETWORKDAYS.INTL(B61, C61, "1010000")</f>
        <v>13</v>
      </c>
      <c r="I61" s="124">
        <f>NETWORKDAYS.INTL(B61,C61,"1010000",$A$54:$A$55)</f>
        <v>13</v>
      </c>
    </row>
    <row r="62" spans="1:9" ht="15.75" thickBot="1" x14ac:dyDescent="0.3">
      <c r="A62" s="121"/>
      <c r="B62" s="121">
        <v>46321</v>
      </c>
      <c r="C62" s="122">
        <v>46339</v>
      </c>
      <c r="D62" s="124">
        <f>_xlfn.DAYS(C62,B62)</f>
        <v>18</v>
      </c>
      <c r="E62" s="124">
        <f>DAYS360(B62,C62,)</f>
        <v>17</v>
      </c>
      <c r="F62" s="124">
        <f>NETWORKDAYS(B62,C62)</f>
        <v>15</v>
      </c>
      <c r="G62" s="124">
        <f>NETWORKDAYS(B62, C62, $A$54:$A$55)</f>
        <v>14</v>
      </c>
      <c r="H62" s="124">
        <f>NETWORKDAYS.INTL(B62, C62, "1010000")</f>
        <v>13</v>
      </c>
      <c r="I62" s="124">
        <f>NETWORKDAYS.INTL(B62,C62,"1010000",$A$54:$A$55)</f>
        <v>13</v>
      </c>
    </row>
    <row r="63" spans="1:9" ht="15.75" thickBot="1" x14ac:dyDescent="0.3">
      <c r="A63" s="121"/>
      <c r="B63" s="121">
        <v>46322</v>
      </c>
      <c r="C63" s="122">
        <v>46340</v>
      </c>
      <c r="D63" s="124">
        <f>_xlfn.DAYS(C63,B63)</f>
        <v>18</v>
      </c>
      <c r="E63" s="124">
        <f>DAYS360(B63,C63,)</f>
        <v>17</v>
      </c>
      <c r="F63" s="124">
        <f>NETWORKDAYS(B63,C63)</f>
        <v>14</v>
      </c>
      <c r="G63" s="124">
        <f>NETWORKDAYS(B63, C63, $A$54:$A$55)</f>
        <v>13</v>
      </c>
      <c r="H63" s="124">
        <f>NETWORKDAYS.INTL(B63, C63, "1010000")</f>
        <v>14</v>
      </c>
      <c r="I63" s="124">
        <f>NETWORKDAYS.INTL(B63,C63,"1010000",$A$54:$A$55)</f>
        <v>14</v>
      </c>
    </row>
    <row r="64" spans="1:9" ht="15.75" thickBot="1" x14ac:dyDescent="0.3">
      <c r="A64" s="121"/>
      <c r="B64" s="121">
        <v>46323</v>
      </c>
      <c r="C64" s="122">
        <v>46341</v>
      </c>
      <c r="D64" s="124">
        <f>_xlfn.DAYS(C64,B64)</f>
        <v>18</v>
      </c>
      <c r="E64" s="124">
        <f>DAYS360(B64,C64,)</f>
        <v>17</v>
      </c>
      <c r="F64" s="124">
        <f>NETWORKDAYS(B64,C64)</f>
        <v>13</v>
      </c>
      <c r="G64" s="124">
        <f>NETWORKDAYS(B64, C64, $A$54:$A$55)</f>
        <v>12</v>
      </c>
      <c r="H64" s="124">
        <f>NETWORKDAYS.INTL(B64, C64, "1010000")</f>
        <v>14</v>
      </c>
      <c r="I64" s="124">
        <f>NETWORKDAYS.INTL(B64,C64,"1010000",$A$54:$A$55)</f>
        <v>14</v>
      </c>
    </row>
    <row r="65" spans="1:9" ht="15.75" thickBot="1" x14ac:dyDescent="0.3">
      <c r="A65" s="121"/>
      <c r="B65" s="121">
        <v>46324</v>
      </c>
      <c r="C65" s="122">
        <v>46342</v>
      </c>
      <c r="D65" s="124">
        <f>_xlfn.DAYS(C65,B65)</f>
        <v>18</v>
      </c>
      <c r="E65" s="124">
        <f>DAYS360(B65,C65,)</f>
        <v>17</v>
      </c>
      <c r="F65" s="124">
        <f>NETWORKDAYS(B65,C65)</f>
        <v>13</v>
      </c>
      <c r="G65" s="124">
        <f>NETWORKDAYS(B65, C65, $A$54:$A$55)</f>
        <v>12</v>
      </c>
      <c r="H65" s="124">
        <f>NETWORKDAYS.INTL(B65, C65, "1010000")</f>
        <v>14</v>
      </c>
      <c r="I65" s="124">
        <f>NETWORKDAYS.INTL(B65,C65,"1010000",$A$54:$A$55)</f>
        <v>14</v>
      </c>
    </row>
    <row r="66" spans="1:9" ht="15.75" thickBot="1" x14ac:dyDescent="0.3">
      <c r="A66" s="121"/>
      <c r="B66" s="121">
        <v>46325</v>
      </c>
      <c r="C66" s="122">
        <v>46343</v>
      </c>
      <c r="D66" s="124">
        <f>_xlfn.DAYS(C66,B66)</f>
        <v>18</v>
      </c>
      <c r="E66" s="124">
        <f>DAYS360(B66,C66,)</f>
        <v>17</v>
      </c>
      <c r="F66" s="124">
        <f>NETWORKDAYS(B66,C66)</f>
        <v>13</v>
      </c>
      <c r="G66" s="124">
        <f>NETWORKDAYS(B66, C66, $A$54:$A$55)</f>
        <v>12</v>
      </c>
      <c r="H66" s="124">
        <f>NETWORKDAYS.INTL(B66, C66, "1010000")</f>
        <v>14</v>
      </c>
      <c r="I66" s="124">
        <f>NETWORKDAYS.INTL(B66,C66,"1010000",$A$54:$A$55)</f>
        <v>14</v>
      </c>
    </row>
    <row r="67" spans="1:9" ht="15.75" thickBot="1" x14ac:dyDescent="0.3">
      <c r="A67" s="121"/>
      <c r="B67" s="121">
        <v>46326</v>
      </c>
      <c r="C67" s="122">
        <v>46344</v>
      </c>
      <c r="D67" s="124">
        <f>_xlfn.DAYS(C67,B67)</f>
        <v>18</v>
      </c>
      <c r="E67" s="124">
        <f>DAYS360(B67,C67,)</f>
        <v>18</v>
      </c>
      <c r="F67" s="124">
        <f>NETWORKDAYS(B67,C67)</f>
        <v>13</v>
      </c>
      <c r="G67" s="124">
        <f>NETWORKDAYS(B67, C67, $A$54:$A$55)</f>
        <v>12</v>
      </c>
      <c r="H67" s="124">
        <f>NETWORKDAYS.INTL(B67, C67, "1010000")</f>
        <v>13</v>
      </c>
      <c r="I67" s="124">
        <f>NETWORKDAYS.INTL(B67,C67,"1010000",$A$54:$A$55)</f>
        <v>13</v>
      </c>
    </row>
    <row r="68" spans="1:9" ht="15.75" thickBot="1" x14ac:dyDescent="0.3">
      <c r="A68" s="121"/>
      <c r="B68" s="121">
        <v>46327</v>
      </c>
      <c r="C68" s="122">
        <v>46345</v>
      </c>
      <c r="D68" s="124">
        <f>_xlfn.DAYS(C68,B68)</f>
        <v>18</v>
      </c>
      <c r="E68" s="124">
        <f>DAYS360(B68,C68,)</f>
        <v>18</v>
      </c>
      <c r="F68" s="124">
        <f>NETWORKDAYS(B68,C68)</f>
        <v>14</v>
      </c>
      <c r="G68" s="124">
        <f>NETWORKDAYS(B68, C68, $A$54:$A$55)</f>
        <v>13</v>
      </c>
      <c r="H68" s="124">
        <f>NETWORKDAYS.INTL(B68, C68, "1010000")</f>
        <v>13</v>
      </c>
      <c r="I68" s="124">
        <f>NETWORKDAYS.INTL(B68,C68,"1010000",$A$54:$A$55)</f>
        <v>13</v>
      </c>
    </row>
    <row r="69" spans="1:9" ht="15.75" thickBot="1" x14ac:dyDescent="0.3">
      <c r="A69" s="121"/>
      <c r="B69" s="121">
        <v>46328</v>
      </c>
      <c r="C69" s="122">
        <v>46346</v>
      </c>
      <c r="D69" s="124">
        <f>_xlfn.DAYS(C69,B69)</f>
        <v>18</v>
      </c>
      <c r="E69" s="124">
        <f>DAYS360(B69,C69,)</f>
        <v>18</v>
      </c>
      <c r="F69" s="124">
        <f>NETWORKDAYS(B69,C69)</f>
        <v>15</v>
      </c>
      <c r="G69" s="124">
        <f>NETWORKDAYS(B69, C69, $A$54:$A$55)</f>
        <v>14</v>
      </c>
      <c r="H69" s="124">
        <f>NETWORKDAYS.INTL(B69, C69, "1010000")</f>
        <v>13</v>
      </c>
      <c r="I69" s="124">
        <f>NETWORKDAYS.INTL(B69,C69,"1010000",$A$54:$A$55)</f>
        <v>13</v>
      </c>
    </row>
    <row r="70" spans="1:9" ht="15.75" thickBot="1" x14ac:dyDescent="0.3">
      <c r="A70" s="121"/>
      <c r="B70" s="121">
        <v>46329</v>
      </c>
      <c r="C70" s="122">
        <v>46347</v>
      </c>
      <c r="D70" s="124">
        <f>_xlfn.DAYS(C70,B70)</f>
        <v>18</v>
      </c>
      <c r="E70" s="124">
        <f>DAYS360(B70,C70,)</f>
        <v>18</v>
      </c>
      <c r="F70" s="124">
        <f>NETWORKDAYS(B70,C70)</f>
        <v>14</v>
      </c>
      <c r="G70" s="124">
        <f>NETWORKDAYS(B70, C70, $A$54:$A$55)</f>
        <v>13</v>
      </c>
      <c r="H70" s="124">
        <f>NETWORKDAYS.INTL(B70, C70, "1010000")</f>
        <v>14</v>
      </c>
      <c r="I70" s="124">
        <f>NETWORKDAYS.INTL(B70,C70,"1010000",$A$54:$A$55)</f>
        <v>14</v>
      </c>
    </row>
    <row r="71" spans="1:9" ht="15.75" thickBot="1" x14ac:dyDescent="0.3">
      <c r="A71" s="121"/>
      <c r="B71" s="121">
        <v>46330</v>
      </c>
      <c r="C71" s="122">
        <v>46348</v>
      </c>
      <c r="D71" s="124">
        <f>_xlfn.DAYS(C71,B71)</f>
        <v>18</v>
      </c>
      <c r="E71" s="124">
        <f>DAYS360(B71,C71,)</f>
        <v>18</v>
      </c>
      <c r="F71" s="124">
        <f>NETWORKDAYS(B71,C71)</f>
        <v>13</v>
      </c>
      <c r="G71" s="124">
        <f>NETWORKDAYS(B71, C71, $A$54:$A$55)</f>
        <v>12</v>
      </c>
      <c r="H71" s="124">
        <f>NETWORKDAYS.INTL(B71, C71, "1010000")</f>
        <v>14</v>
      </c>
      <c r="I71" s="124">
        <f>NETWORKDAYS.INTL(B71,C71,"1010000",$A$54:$A$55)</f>
        <v>14</v>
      </c>
    </row>
    <row r="75" spans="1:9" ht="15.75" thickBot="1" x14ac:dyDescent="0.3"/>
    <row r="76" spans="1:9" x14ac:dyDescent="0.25">
      <c r="A76" s="78" t="s">
        <v>1065</v>
      </c>
      <c r="B76" s="78" t="s">
        <v>1061</v>
      </c>
      <c r="C76" s="78" t="s">
        <v>744</v>
      </c>
      <c r="D76" s="78" t="s">
        <v>1069</v>
      </c>
      <c r="E76" s="78" t="s">
        <v>1070</v>
      </c>
      <c r="F76" s="78" t="s">
        <v>1071</v>
      </c>
      <c r="G76" s="78" t="s">
        <v>1072</v>
      </c>
    </row>
    <row r="77" spans="1:9" ht="15.75" thickBot="1" x14ac:dyDescent="0.3">
      <c r="A77" s="121">
        <v>46335</v>
      </c>
      <c r="B77" s="121">
        <v>46313</v>
      </c>
      <c r="C77" s="123">
        <v>5</v>
      </c>
      <c r="D77" s="125">
        <f>WORKDAY(B77,C77)</f>
        <v>46318</v>
      </c>
      <c r="E77" s="125">
        <f>WORKDAY(B77,C77,$A$77:$A$78)</f>
        <v>46318</v>
      </c>
      <c r="F77" s="124">
        <f>WORKDAY.INTL(B77,C77,"1000001")</f>
        <v>46319</v>
      </c>
      <c r="G77" s="124">
        <f>WORKDAY.INTL(B77,C77,2,A77:A78)</f>
        <v>46319</v>
      </c>
    </row>
    <row r="78" spans="1:9" ht="15.75" thickBot="1" x14ac:dyDescent="0.3">
      <c r="A78" s="121">
        <v>46381</v>
      </c>
      <c r="B78" s="121">
        <v>46314</v>
      </c>
      <c r="C78" s="123">
        <v>19</v>
      </c>
      <c r="D78" s="125">
        <f>WORKDAY(B78,C78)</f>
        <v>46339</v>
      </c>
      <c r="E78" s="125">
        <f>WORKDAY(B78,C78,$A$77:$A$78)</f>
        <v>46342</v>
      </c>
      <c r="F78" s="124">
        <f>WORKDAY.INTL(B78,C78,"1000001")</f>
        <v>46339</v>
      </c>
      <c r="G78" s="124">
        <f>WORKDAY.INTL(B78,C78,2,A77:A79)</f>
        <v>46339</v>
      </c>
    </row>
    <row r="79" spans="1:9" ht="15.75" thickBot="1" x14ac:dyDescent="0.3">
      <c r="A79" s="121"/>
      <c r="B79" s="121">
        <v>46315</v>
      </c>
      <c r="C79" s="123">
        <v>15</v>
      </c>
      <c r="D79" s="125">
        <f>WORKDAY(B79,C79)</f>
        <v>46336</v>
      </c>
      <c r="E79" s="125">
        <f>WORKDAY(B79,C79,$A$77:$A$78)</f>
        <v>46337</v>
      </c>
      <c r="F79" s="124">
        <f>WORKDAY.INTL(B79,C79,"1000001")</f>
        <v>46336</v>
      </c>
      <c r="G79" s="124">
        <f>WORKDAY.INTL(B79,C79,2,A79:A80)</f>
        <v>46336</v>
      </c>
    </row>
    <row r="80" spans="1:9" ht="15.75" thickBot="1" x14ac:dyDescent="0.3">
      <c r="A80" s="121"/>
      <c r="B80" s="121">
        <v>46316</v>
      </c>
      <c r="C80" s="123">
        <v>18</v>
      </c>
      <c r="D80" s="125">
        <f>WORKDAY(B80,C80)</f>
        <v>46342</v>
      </c>
      <c r="E80" s="125">
        <f>WORKDAY(B80,C80,$A$77:$A$78)</f>
        <v>46343</v>
      </c>
      <c r="F80" s="124">
        <f>WORKDAY.INTL(B80,C80,"1000001")</f>
        <v>46340</v>
      </c>
      <c r="G80" s="124">
        <f>WORKDAY.INTL(B80,C80,2,A80:A81)</f>
        <v>46340</v>
      </c>
    </row>
    <row r="81" spans="1:7" ht="15.75" thickBot="1" x14ac:dyDescent="0.3">
      <c r="A81" s="121"/>
      <c r="B81" s="121">
        <v>46317</v>
      </c>
      <c r="C81" s="123">
        <v>19</v>
      </c>
      <c r="D81" s="125">
        <f>WORKDAY(B81,C81)</f>
        <v>46344</v>
      </c>
      <c r="E81" s="125">
        <f>WORKDAY(B81,C81,$A$77:$A$78)</f>
        <v>46345</v>
      </c>
      <c r="F81" s="124">
        <f>WORKDAY.INTL(B81,C81,"1000001")</f>
        <v>46344</v>
      </c>
      <c r="G81" s="124">
        <f>WORKDAY.INTL(B81,C81,2,A81:A82)</f>
        <v>46344</v>
      </c>
    </row>
    <row r="82" spans="1:7" ht="15.75" thickBot="1" x14ac:dyDescent="0.3">
      <c r="A82" s="121"/>
      <c r="B82" s="121">
        <v>46318</v>
      </c>
      <c r="C82" s="123">
        <v>8</v>
      </c>
      <c r="D82" s="125">
        <f>WORKDAY(B82,C82)</f>
        <v>46330</v>
      </c>
      <c r="E82" s="125">
        <f>WORKDAY(B82,C82,$A$77:$A$78)</f>
        <v>46330</v>
      </c>
      <c r="F82" s="124">
        <f>WORKDAY.INTL(B82,C82,"1000001")</f>
        <v>46330</v>
      </c>
      <c r="G82" s="124">
        <f>WORKDAY.INTL(B82,C82,2,A82:A83)</f>
        <v>46330</v>
      </c>
    </row>
    <row r="83" spans="1:7" ht="15.75" thickBot="1" x14ac:dyDescent="0.3">
      <c r="A83" s="121"/>
      <c r="B83" s="121">
        <v>46319</v>
      </c>
      <c r="C83" s="123">
        <v>8</v>
      </c>
      <c r="D83" s="125">
        <f>WORKDAY(B83,C83)</f>
        <v>46330</v>
      </c>
      <c r="E83" s="125">
        <f>WORKDAY(B83,C83,$A$77:$A$78)</f>
        <v>46330</v>
      </c>
      <c r="F83" s="124">
        <f>WORKDAY.INTL(B83,C83,"1000001")</f>
        <v>46331</v>
      </c>
      <c r="G83" s="124">
        <f>WORKDAY.INTL(B83,C83,2,A83:A84)</f>
        <v>46331</v>
      </c>
    </row>
    <row r="84" spans="1:7" ht="15.75" thickBot="1" x14ac:dyDescent="0.3">
      <c r="A84" s="121"/>
      <c r="B84" s="121">
        <v>46320</v>
      </c>
      <c r="C84" s="123">
        <v>19</v>
      </c>
      <c r="D84" s="125">
        <f>WORKDAY(B84,C84)</f>
        <v>46345</v>
      </c>
      <c r="E84" s="125">
        <f>WORKDAY(B84,C84,$A$77:$A$78)</f>
        <v>46346</v>
      </c>
      <c r="F84" s="124">
        <f>WORKDAY.INTL(B84,C84,"1000001")</f>
        <v>46346</v>
      </c>
      <c r="G84" s="124">
        <f>WORKDAY.INTL(B84,C84,2,A84:A85)</f>
        <v>46346</v>
      </c>
    </row>
    <row r="85" spans="1:7" ht="15.75" thickBot="1" x14ac:dyDescent="0.3">
      <c r="A85" s="121"/>
      <c r="B85" s="121">
        <v>46321</v>
      </c>
      <c r="C85" s="123">
        <v>18</v>
      </c>
      <c r="D85" s="125">
        <f>WORKDAY(B85,C85)</f>
        <v>46345</v>
      </c>
      <c r="E85" s="125">
        <f>WORKDAY(B85,C85,$A$77:$A$78)</f>
        <v>46346</v>
      </c>
      <c r="F85" s="124">
        <f>WORKDAY.INTL(B85,C85,"1000001")</f>
        <v>46345</v>
      </c>
      <c r="G85" s="124">
        <f>WORKDAY.INTL(B85,C85,2,A85:A86)</f>
        <v>46345</v>
      </c>
    </row>
    <row r="86" spans="1:7" ht="15.75" thickBot="1" x14ac:dyDescent="0.3">
      <c r="A86" s="121"/>
      <c r="B86" s="121">
        <v>46322</v>
      </c>
      <c r="C86" s="123">
        <v>9</v>
      </c>
      <c r="D86" s="125">
        <f>WORKDAY(B86,C86)</f>
        <v>46335</v>
      </c>
      <c r="E86" s="125">
        <f>WORKDAY(B86,C86,$A$77:$A$78)</f>
        <v>46336</v>
      </c>
      <c r="F86" s="124">
        <f>WORKDAY.INTL(B86,C86,"1000001")</f>
        <v>46333</v>
      </c>
      <c r="G86" s="124">
        <f>WORKDAY.INTL(B86,C86,2,A86:A87)</f>
        <v>46333</v>
      </c>
    </row>
    <row r="87" spans="1:7" ht="15.75" thickBot="1" x14ac:dyDescent="0.3">
      <c r="A87" s="121"/>
      <c r="B87" s="121">
        <v>46323</v>
      </c>
      <c r="C87" s="123">
        <v>8</v>
      </c>
      <c r="D87" s="125">
        <f>WORKDAY(B87,C87)</f>
        <v>46335</v>
      </c>
      <c r="E87" s="125">
        <f>WORKDAY(B87,C87,$A$77:$A$78)</f>
        <v>46336</v>
      </c>
      <c r="F87" s="124">
        <f>WORKDAY.INTL(B87,C87,"1000001")</f>
        <v>46333</v>
      </c>
      <c r="G87" s="124">
        <f>WORKDAY.INTL(B87,C87,2,A87:A88)</f>
        <v>46333</v>
      </c>
    </row>
    <row r="88" spans="1:7" ht="15.75" thickBot="1" x14ac:dyDescent="0.3">
      <c r="A88" s="121"/>
      <c r="B88" s="121">
        <v>46324</v>
      </c>
      <c r="C88" s="123">
        <v>10</v>
      </c>
      <c r="D88" s="125">
        <f>WORKDAY(B88,C88)</f>
        <v>46338</v>
      </c>
      <c r="E88" s="125">
        <f>WORKDAY(B88,C88,$A$77:$A$78)</f>
        <v>46339</v>
      </c>
      <c r="F88" s="124">
        <f>WORKDAY.INTL(B88,C88,"1000001")</f>
        <v>46338</v>
      </c>
      <c r="G88" s="124">
        <f>WORKDAY.INTL(B88,C88,2,A88:A89)</f>
        <v>46338</v>
      </c>
    </row>
    <row r="89" spans="1:7" ht="15.75" thickBot="1" x14ac:dyDescent="0.3">
      <c r="A89" s="121"/>
      <c r="B89" s="121">
        <v>46325</v>
      </c>
      <c r="C89" s="123">
        <v>11</v>
      </c>
      <c r="D89" s="125">
        <f>WORKDAY(B89,C89)</f>
        <v>46342</v>
      </c>
      <c r="E89" s="125">
        <f>WORKDAY(B89,C89,$A$77:$A$78)</f>
        <v>46343</v>
      </c>
      <c r="F89" s="124">
        <f>WORKDAY.INTL(B89,C89,"1000001")</f>
        <v>46340</v>
      </c>
      <c r="G89" s="124">
        <f>WORKDAY.INTL(B89,C89,2,A89:A90)</f>
        <v>46340</v>
      </c>
    </row>
    <row r="90" spans="1:7" ht="15.75" thickBot="1" x14ac:dyDescent="0.3">
      <c r="A90" s="121"/>
      <c r="B90" s="121">
        <v>46326</v>
      </c>
      <c r="C90" s="123">
        <v>7</v>
      </c>
      <c r="D90" s="125">
        <f>WORKDAY(B90,C90)</f>
        <v>46336</v>
      </c>
      <c r="E90" s="125">
        <f>WORKDAY(B90,C90,$A$77:$A$78)</f>
        <v>46337</v>
      </c>
      <c r="F90" s="124">
        <f>WORKDAY.INTL(B90,C90,"1000001")</f>
        <v>46337</v>
      </c>
      <c r="G90" s="124">
        <f>WORKDAY.INTL(B90,C90,2,A90:A91)</f>
        <v>46337</v>
      </c>
    </row>
    <row r="91" spans="1:7" ht="15.75" thickBot="1" x14ac:dyDescent="0.3">
      <c r="A91" s="121"/>
      <c r="B91" s="121">
        <v>46327</v>
      </c>
      <c r="C91" s="123">
        <v>15</v>
      </c>
      <c r="D91" s="125">
        <f>WORKDAY(B91,C91)</f>
        <v>46346</v>
      </c>
      <c r="E91" s="125">
        <f>WORKDAY(B91,C91,$A$77:$A$78)</f>
        <v>46349</v>
      </c>
      <c r="F91" s="124">
        <f>WORKDAY.INTL(B91,C91,"1000001")</f>
        <v>46347</v>
      </c>
      <c r="G91" s="124">
        <f>WORKDAY.INTL(B91,C91,2,A91:A92)</f>
        <v>46347</v>
      </c>
    </row>
    <row r="92" spans="1:7" ht="15.75" thickBot="1" x14ac:dyDescent="0.3">
      <c r="A92" s="121"/>
      <c r="B92" s="121">
        <v>46328</v>
      </c>
      <c r="C92" s="123">
        <v>7</v>
      </c>
      <c r="D92" s="125">
        <f>WORKDAY(B92,C92)</f>
        <v>46337</v>
      </c>
      <c r="E92" s="125">
        <f>WORKDAY(B92,C92,$A$77:$A$78)</f>
        <v>46338</v>
      </c>
      <c r="F92" s="124">
        <f>WORKDAY.INTL(B92,C92,"1000001")</f>
        <v>46337</v>
      </c>
      <c r="G92" s="124">
        <f>WORKDAY.INTL(B92,C92,2,A92:A93)</f>
        <v>46337</v>
      </c>
    </row>
    <row r="93" spans="1:7" ht="15.75" thickBot="1" x14ac:dyDescent="0.3">
      <c r="A93" s="121"/>
      <c r="B93" s="121">
        <v>46329</v>
      </c>
      <c r="C93" s="123">
        <v>7</v>
      </c>
      <c r="D93" s="125">
        <f>WORKDAY(B93,C93)</f>
        <v>46338</v>
      </c>
      <c r="E93" s="125">
        <f>WORKDAY(B93,C93,$A$77:$A$78)</f>
        <v>46339</v>
      </c>
      <c r="F93" s="124">
        <f>WORKDAY.INTL(B93,C93,"1000001")</f>
        <v>46338</v>
      </c>
      <c r="G93" s="124">
        <f>WORKDAY.INTL(B93,C93,2,A93:A94)</f>
        <v>46338</v>
      </c>
    </row>
    <row r="94" spans="1:7" ht="15.75" thickBot="1" x14ac:dyDescent="0.3">
      <c r="A94" s="121"/>
      <c r="B94" s="121">
        <v>46330</v>
      </c>
      <c r="C94" s="123">
        <v>11</v>
      </c>
      <c r="D94" s="125">
        <f>WORKDAY(B94,C94)</f>
        <v>46345</v>
      </c>
      <c r="E94" s="125">
        <f>WORKDAY(B94,C94,$A$77:$A$78)</f>
        <v>46346</v>
      </c>
      <c r="F94" s="124">
        <f>WORKDAY.INTL(B94,C94,"1000001")</f>
        <v>46345</v>
      </c>
      <c r="G94" s="124">
        <f>WORKDAY.INTL(B94,C94,2,A94:A95)</f>
        <v>46345</v>
      </c>
    </row>
    <row r="96" spans="1:7" ht="15.75" thickBot="1" x14ac:dyDescent="0.3"/>
    <row r="97" spans="2:6" x14ac:dyDescent="0.25">
      <c r="B97" s="78" t="s">
        <v>1061</v>
      </c>
      <c r="C97" s="78" t="s">
        <v>1051</v>
      </c>
      <c r="D97" s="78" t="s">
        <v>744</v>
      </c>
      <c r="E97" s="78" t="s">
        <v>976</v>
      </c>
      <c r="F97" s="78" t="s">
        <v>981</v>
      </c>
    </row>
    <row r="98" spans="2:6" ht="15.75" thickBot="1" x14ac:dyDescent="0.3">
      <c r="B98" s="122">
        <v>46318</v>
      </c>
      <c r="C98" s="58">
        <v>2</v>
      </c>
      <c r="D98" s="58">
        <f>C98 * 30</f>
        <v>60</v>
      </c>
      <c r="E98" s="125">
        <f>EDATE(B98,C98)</f>
        <v>46379</v>
      </c>
      <c r="F98" s="125">
        <f>EOMONTH(B98,C98)</f>
        <v>46387</v>
      </c>
    </row>
    <row r="99" spans="2:6" ht="15.75" thickBot="1" x14ac:dyDescent="0.3">
      <c r="B99" s="122">
        <v>46342</v>
      </c>
      <c r="C99" s="58">
        <v>3</v>
      </c>
      <c r="D99" s="58">
        <f>C99 * 30</f>
        <v>90</v>
      </c>
      <c r="E99" s="125">
        <f>EDATE(B99,C99)</f>
        <v>46434</v>
      </c>
      <c r="F99" s="125">
        <f>EOMONTH(B99,C99)</f>
        <v>46446</v>
      </c>
    </row>
    <row r="100" spans="2:6" ht="15.75" thickBot="1" x14ac:dyDescent="0.3">
      <c r="B100" s="122">
        <v>46337</v>
      </c>
      <c r="C100" s="58">
        <v>4</v>
      </c>
      <c r="D100" s="58">
        <f>C100 * 30</f>
        <v>120</v>
      </c>
      <c r="E100" s="125">
        <f>EDATE(B100,C100)</f>
        <v>46457</v>
      </c>
      <c r="F100" s="125">
        <f>EOMONTH(B100,C100)</f>
        <v>46477</v>
      </c>
    </row>
    <row r="101" spans="2:6" ht="15.75" thickBot="1" x14ac:dyDescent="0.3">
      <c r="B101" s="122">
        <v>46343</v>
      </c>
      <c r="C101" s="58">
        <v>5</v>
      </c>
      <c r="D101" s="58">
        <f>C101 * 30</f>
        <v>150</v>
      </c>
      <c r="E101" s="125">
        <f>EDATE(B101,C101)</f>
        <v>46494</v>
      </c>
      <c r="F101" s="125">
        <f>EOMONTH(B101,C101)</f>
        <v>46507</v>
      </c>
    </row>
    <row r="102" spans="2:6" ht="15.75" thickBot="1" x14ac:dyDescent="0.3">
      <c r="B102" s="122">
        <v>46345</v>
      </c>
      <c r="C102" s="58">
        <v>1</v>
      </c>
      <c r="D102" s="58">
        <f>C102 * 30</f>
        <v>30</v>
      </c>
      <c r="E102" s="125">
        <f>EDATE(B102,C102)</f>
        <v>46375</v>
      </c>
      <c r="F102" s="125">
        <f>EOMONTH(B102,C102)</f>
        <v>46387</v>
      </c>
    </row>
    <row r="103" spans="2:6" ht="15.75" thickBot="1" x14ac:dyDescent="0.3">
      <c r="B103" s="122">
        <v>46330</v>
      </c>
      <c r="C103" s="58">
        <v>2</v>
      </c>
      <c r="D103" s="58">
        <f>C103 * 30</f>
        <v>60</v>
      </c>
      <c r="E103" s="125">
        <f>EDATE(B103,C103)</f>
        <v>46391</v>
      </c>
      <c r="F103" s="125">
        <f>EOMONTH(B103,C103)</f>
        <v>46418</v>
      </c>
    </row>
    <row r="104" spans="2:6" ht="15.75" thickBot="1" x14ac:dyDescent="0.3">
      <c r="B104" s="122">
        <v>46330</v>
      </c>
      <c r="C104" s="58">
        <v>4</v>
      </c>
      <c r="D104" s="58">
        <f>C104 * 30</f>
        <v>120</v>
      </c>
      <c r="E104" s="125">
        <f>EDATE(B104,C104)</f>
        <v>46450</v>
      </c>
      <c r="F104" s="125">
        <f>EOMONTH(B104,C104)</f>
        <v>46477</v>
      </c>
    </row>
    <row r="105" spans="2:6" ht="15.75" thickBot="1" x14ac:dyDescent="0.3">
      <c r="B105" s="122">
        <v>46346</v>
      </c>
      <c r="C105" s="58">
        <v>6</v>
      </c>
      <c r="D105" s="58">
        <f>C105 * 30</f>
        <v>180</v>
      </c>
      <c r="E105" s="125">
        <f>EDATE(B105,C105)</f>
        <v>46527</v>
      </c>
      <c r="F105" s="125">
        <f>EOMONTH(B105,C105)</f>
        <v>46538</v>
      </c>
    </row>
    <row r="106" spans="2:6" ht="15.75" thickBot="1" x14ac:dyDescent="0.3">
      <c r="B106" s="122">
        <v>46346</v>
      </c>
      <c r="C106" s="58">
        <v>2</v>
      </c>
      <c r="D106" s="58">
        <f>C106 * 30</f>
        <v>60</v>
      </c>
      <c r="E106" s="125">
        <f>EDATE(B106,C106)</f>
        <v>46407</v>
      </c>
      <c r="F106" s="125">
        <f>EOMONTH(B106,C106)</f>
        <v>46418</v>
      </c>
    </row>
    <row r="107" spans="2:6" ht="15.75" thickBot="1" x14ac:dyDescent="0.3">
      <c r="B107" s="122">
        <v>46336</v>
      </c>
      <c r="C107" s="58">
        <v>3</v>
      </c>
      <c r="D107" s="58">
        <f>C107 * 30</f>
        <v>90</v>
      </c>
      <c r="E107" s="125">
        <f>EDATE(B107,C107)</f>
        <v>46428</v>
      </c>
      <c r="F107" s="125">
        <f>EOMONTH(B107,C107)</f>
        <v>46446</v>
      </c>
    </row>
    <row r="108" spans="2:6" ht="15.75" thickBot="1" x14ac:dyDescent="0.3">
      <c r="B108" s="122">
        <v>46336</v>
      </c>
      <c r="C108" s="58">
        <v>4</v>
      </c>
      <c r="D108" s="58">
        <f>C108 * 30</f>
        <v>120</v>
      </c>
      <c r="E108" s="125">
        <f>EDATE(B108,C108)</f>
        <v>46456</v>
      </c>
      <c r="F108" s="125">
        <f>EOMONTH(B108,C108)</f>
        <v>46477</v>
      </c>
    </row>
    <row r="109" spans="2:6" ht="15.75" thickBot="1" x14ac:dyDescent="0.3">
      <c r="B109" s="122">
        <v>46339</v>
      </c>
      <c r="C109" s="58">
        <v>5</v>
      </c>
      <c r="D109" s="58">
        <f>C109 * 30</f>
        <v>150</v>
      </c>
      <c r="E109" s="125">
        <f>EDATE(B109,C109)</f>
        <v>46490</v>
      </c>
      <c r="F109" s="125">
        <f>EOMONTH(B109,C109)</f>
        <v>46507</v>
      </c>
    </row>
    <row r="110" spans="2:6" ht="15.75" thickBot="1" x14ac:dyDescent="0.3">
      <c r="B110" s="122">
        <v>46343</v>
      </c>
      <c r="C110" s="58">
        <v>6</v>
      </c>
      <c r="D110" s="58">
        <f>C110 * 30</f>
        <v>180</v>
      </c>
      <c r="E110" s="125">
        <f>EDATE(B110,C110)</f>
        <v>46524</v>
      </c>
      <c r="F110" s="125">
        <f>EOMONTH(B110,C110)</f>
        <v>46538</v>
      </c>
    </row>
    <row r="111" spans="2:6" ht="15.75" thickBot="1" x14ac:dyDescent="0.3">
      <c r="B111" s="122">
        <v>46337</v>
      </c>
      <c r="C111" s="58">
        <v>8</v>
      </c>
      <c r="D111" s="58">
        <f>C111 * 30</f>
        <v>240</v>
      </c>
      <c r="E111" s="125">
        <f>EDATE(B111,C111)</f>
        <v>46579</v>
      </c>
      <c r="F111" s="125">
        <f>EOMONTH(B111,C111)</f>
        <v>46599</v>
      </c>
    </row>
    <row r="112" spans="2:6" ht="15.75" thickBot="1" x14ac:dyDescent="0.3">
      <c r="B112" s="122">
        <v>46349</v>
      </c>
      <c r="C112" s="58">
        <v>7</v>
      </c>
      <c r="D112" s="58">
        <f>C112 * 30</f>
        <v>210</v>
      </c>
      <c r="E112" s="125">
        <f>EDATE(B112,C112)</f>
        <v>46561</v>
      </c>
      <c r="F112" s="125">
        <f>EOMONTH(B112,C112)</f>
        <v>46568</v>
      </c>
    </row>
    <row r="113" spans="2:6" ht="15.75" thickBot="1" x14ac:dyDescent="0.3">
      <c r="B113" s="122">
        <v>46338</v>
      </c>
      <c r="C113" s="58">
        <v>9</v>
      </c>
      <c r="D113" s="58">
        <f>C113 * 30</f>
        <v>270</v>
      </c>
      <c r="E113" s="125">
        <f>EDATE(B113,C113)</f>
        <v>46611</v>
      </c>
      <c r="F113" s="125">
        <f>EOMONTH(B113,C113)</f>
        <v>46630</v>
      </c>
    </row>
    <row r="114" spans="2:6" ht="15.75" thickBot="1" x14ac:dyDescent="0.3">
      <c r="B114" s="122">
        <v>46339</v>
      </c>
      <c r="C114" s="58">
        <v>10</v>
      </c>
      <c r="D114" s="58">
        <f>C114 * 30</f>
        <v>300</v>
      </c>
      <c r="E114" s="125">
        <f>EDATE(B114,C114)</f>
        <v>46643</v>
      </c>
      <c r="F114" s="125">
        <f>EOMONTH(B114,C114)</f>
        <v>46660</v>
      </c>
    </row>
    <row r="115" spans="2:6" ht="15.75" thickBot="1" x14ac:dyDescent="0.3">
      <c r="B115" s="122">
        <v>46346</v>
      </c>
      <c r="C115" s="58">
        <v>11</v>
      </c>
      <c r="D115" s="58">
        <f>C115 * 30</f>
        <v>330</v>
      </c>
      <c r="E115" s="125">
        <f>EDATE(B115,C115)</f>
        <v>46680</v>
      </c>
      <c r="F115" s="125">
        <f>EOMONTH(B115,C115)</f>
        <v>46691</v>
      </c>
    </row>
    <row r="117" spans="2:6" ht="15.75" thickBot="1" x14ac:dyDescent="0.3"/>
    <row r="118" spans="2:6" x14ac:dyDescent="0.25">
      <c r="B118" s="78" t="s">
        <v>1073</v>
      </c>
      <c r="C118" s="78" t="s">
        <v>915</v>
      </c>
      <c r="D118" s="78" t="s">
        <v>1074</v>
      </c>
      <c r="E118" s="78" t="s">
        <v>1020</v>
      </c>
    </row>
    <row r="119" spans="2:6" ht="15.75" thickBot="1" x14ac:dyDescent="0.3">
      <c r="B119" s="133">
        <v>38295</v>
      </c>
      <c r="C119" s="132" t="str">
        <f ca="1">TEXT(NOW(),"MM-DD-YYYY")</f>
        <v>10-21-2026</v>
      </c>
      <c r="D119" s="347">
        <f ca="1">DATEDIF(B119,C119,"Y")</f>
        <v>21</v>
      </c>
      <c r="E119" s="347">
        <f ca="1">YEARFRAC(B119,C119)</f>
        <v>21.963888888888889</v>
      </c>
    </row>
    <row r="120" spans="2:6" ht="15.75" thickBot="1" x14ac:dyDescent="0.3">
      <c r="B120" s="119">
        <v>38671</v>
      </c>
      <c r="C120" s="132" t="str">
        <f ca="1">TEXT(NOW(),"MM-DD-YYYY")</f>
        <v>10-21-2026</v>
      </c>
      <c r="D120" s="347">
        <f ca="1">DATEDIF(B120,C120,"Y")</f>
        <v>20</v>
      </c>
      <c r="E120" s="347">
        <f ca="1">YEARFRAC(B120,C120)</f>
        <v>20.933333333333334</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2CF9-53D4-4652-9249-F3FBD0DDFB4B}">
  <sheetPr codeName="Sheet21"/>
  <dimension ref="C6:H40"/>
  <sheetViews>
    <sheetView workbookViewId="0">
      <selection activeCell="H45" sqref="H45"/>
    </sheetView>
  </sheetViews>
  <sheetFormatPr defaultRowHeight="15" x14ac:dyDescent="0.25"/>
  <cols>
    <col min="3" max="3" width="5" bestFit="1" customWidth="1"/>
    <col min="4" max="4" width="11.28515625" bestFit="1" customWidth="1"/>
    <col min="5" max="5" width="40.5703125" bestFit="1" customWidth="1"/>
    <col min="6" max="6" width="35.5703125" bestFit="1" customWidth="1"/>
    <col min="7" max="7" width="20.5703125" bestFit="1" customWidth="1"/>
    <col min="8" max="8" width="31.7109375" bestFit="1" customWidth="1"/>
  </cols>
  <sheetData>
    <row r="6" spans="3:8" x14ac:dyDescent="0.25">
      <c r="C6" s="346" t="s">
        <v>559</v>
      </c>
      <c r="D6" s="346" t="s">
        <v>560</v>
      </c>
      <c r="E6" s="346" t="s">
        <v>561</v>
      </c>
      <c r="F6" s="346" t="s">
        <v>645</v>
      </c>
      <c r="G6" s="346" t="s">
        <v>562</v>
      </c>
      <c r="H6" s="346" t="s">
        <v>563</v>
      </c>
    </row>
    <row r="7" spans="3:8" x14ac:dyDescent="0.25">
      <c r="C7" s="345">
        <v>1</v>
      </c>
      <c r="D7" s="354" t="s">
        <v>1075</v>
      </c>
      <c r="E7" s="345" t="s">
        <v>1076</v>
      </c>
      <c r="F7" s="345" t="s">
        <v>1077</v>
      </c>
      <c r="G7" s="345" t="s">
        <v>1078</v>
      </c>
      <c r="H7" s="345" t="s">
        <v>1079</v>
      </c>
    </row>
    <row r="8" spans="3:8" x14ac:dyDescent="0.25">
      <c r="C8" s="345">
        <v>2</v>
      </c>
      <c r="D8" s="354" t="s">
        <v>1080</v>
      </c>
      <c r="E8" s="345" t="s">
        <v>1081</v>
      </c>
      <c r="F8" s="345" t="s">
        <v>1082</v>
      </c>
      <c r="G8" s="345" t="s">
        <v>1083</v>
      </c>
      <c r="H8" s="345" t="s">
        <v>1084</v>
      </c>
    </row>
    <row r="9" spans="3:8" x14ac:dyDescent="0.25">
      <c r="C9" s="342">
        <v>3</v>
      </c>
      <c r="D9" s="348" t="s">
        <v>1085</v>
      </c>
      <c r="E9" s="342" t="s">
        <v>1086</v>
      </c>
      <c r="F9" s="342" t="s">
        <v>1087</v>
      </c>
      <c r="G9" s="342" t="s">
        <v>1088</v>
      </c>
      <c r="H9" s="342" t="b">
        <v>0</v>
      </c>
    </row>
    <row r="10" spans="3:8" x14ac:dyDescent="0.25">
      <c r="C10" s="342">
        <v>4</v>
      </c>
      <c r="D10" s="348" t="s">
        <v>1089</v>
      </c>
      <c r="E10" s="342" t="s">
        <v>1090</v>
      </c>
      <c r="F10" s="342" t="s">
        <v>1091</v>
      </c>
      <c r="G10" s="342" t="s">
        <v>1092</v>
      </c>
      <c r="H10" s="342" t="b">
        <v>1</v>
      </c>
    </row>
    <row r="11" spans="3:8" x14ac:dyDescent="0.25">
      <c r="C11" s="342">
        <v>5</v>
      </c>
      <c r="D11" s="348" t="s">
        <v>1093</v>
      </c>
      <c r="E11" s="342" t="s">
        <v>1094</v>
      </c>
      <c r="F11" s="342" t="s">
        <v>1095</v>
      </c>
      <c r="G11" s="342" t="s">
        <v>1096</v>
      </c>
      <c r="H11" s="342" t="b">
        <v>0</v>
      </c>
    </row>
    <row r="12" spans="3:8" x14ac:dyDescent="0.25">
      <c r="C12" s="342">
        <v>6</v>
      </c>
      <c r="D12" s="348" t="s">
        <v>1097</v>
      </c>
      <c r="E12" s="342" t="s">
        <v>1098</v>
      </c>
      <c r="F12" s="342" t="s">
        <v>1099</v>
      </c>
      <c r="G12" s="342" t="s">
        <v>1100</v>
      </c>
      <c r="H12" s="342" t="s">
        <v>1101</v>
      </c>
    </row>
    <row r="13" spans="3:8" x14ac:dyDescent="0.25">
      <c r="C13" s="342">
        <v>7</v>
      </c>
      <c r="D13" s="348" t="s">
        <v>1102</v>
      </c>
      <c r="E13" s="342" t="s">
        <v>1103</v>
      </c>
      <c r="F13" s="342" t="s">
        <v>1104</v>
      </c>
      <c r="G13" s="342" t="s">
        <v>1105</v>
      </c>
      <c r="H13" s="342" t="s">
        <v>1106</v>
      </c>
    </row>
    <row r="14" spans="3:8" x14ac:dyDescent="0.25">
      <c r="C14" s="342">
        <v>8</v>
      </c>
      <c r="D14" s="348" t="s">
        <v>1107</v>
      </c>
      <c r="E14" s="342" t="s">
        <v>1108</v>
      </c>
      <c r="F14" s="342" t="s">
        <v>1109</v>
      </c>
      <c r="G14" s="342" t="s">
        <v>1110</v>
      </c>
      <c r="H14" s="342" t="e">
        <v>#N/A</v>
      </c>
    </row>
    <row r="15" spans="3:8" x14ac:dyDescent="0.25">
      <c r="C15" s="342">
        <v>9</v>
      </c>
      <c r="D15" s="348" t="b">
        <v>1</v>
      </c>
      <c r="E15" s="342" t="s">
        <v>1111</v>
      </c>
      <c r="F15" s="342" t="s">
        <v>1112</v>
      </c>
      <c r="G15" s="342" t="s">
        <v>1113</v>
      </c>
      <c r="H15" s="342" t="b">
        <v>1</v>
      </c>
    </row>
    <row r="16" spans="3:8" x14ac:dyDescent="0.25">
      <c r="C16" s="342">
        <v>10</v>
      </c>
      <c r="D16" s="348" t="b">
        <v>0</v>
      </c>
      <c r="E16" s="342" t="s">
        <v>1114</v>
      </c>
      <c r="F16" s="342" t="s">
        <v>1115</v>
      </c>
      <c r="G16" s="342" t="s">
        <v>1113</v>
      </c>
      <c r="H16" s="342" t="b">
        <v>0</v>
      </c>
    </row>
    <row r="17" spans="3:8" x14ac:dyDescent="0.25">
      <c r="C17" s="339">
        <v>11</v>
      </c>
      <c r="D17" s="353" t="s">
        <v>1116</v>
      </c>
      <c r="E17" s="339" t="s">
        <v>1117</v>
      </c>
      <c r="F17" s="339" t="s">
        <v>1118</v>
      </c>
      <c r="G17" s="339" t="s">
        <v>1119</v>
      </c>
      <c r="H17" s="339" t="b">
        <v>0</v>
      </c>
    </row>
    <row r="18" spans="3:8" x14ac:dyDescent="0.25">
      <c r="C18" s="339">
        <v>12</v>
      </c>
      <c r="D18" s="353" t="s">
        <v>1120</v>
      </c>
      <c r="E18" s="339" t="s">
        <v>1121</v>
      </c>
      <c r="F18" s="339" t="s">
        <v>1122</v>
      </c>
      <c r="G18" s="339" t="s">
        <v>1123</v>
      </c>
      <c r="H18" s="339" t="b">
        <v>0</v>
      </c>
    </row>
    <row r="19" spans="3:8" x14ac:dyDescent="0.25">
      <c r="C19" s="339">
        <v>13</v>
      </c>
      <c r="D19" s="353" t="s">
        <v>1124</v>
      </c>
      <c r="E19" s="339" t="s">
        <v>1125</v>
      </c>
      <c r="F19" s="339" t="s">
        <v>1126</v>
      </c>
      <c r="G19" s="339" t="s">
        <v>1127</v>
      </c>
      <c r="H19" s="339" t="b">
        <v>1</v>
      </c>
    </row>
    <row r="20" spans="3:8" x14ac:dyDescent="0.25">
      <c r="C20" s="336">
        <v>14</v>
      </c>
      <c r="D20" s="352" t="s">
        <v>1128</v>
      </c>
      <c r="E20" s="336" t="s">
        <v>1129</v>
      </c>
      <c r="F20" s="336" t="s">
        <v>1130</v>
      </c>
      <c r="G20" s="336" t="s">
        <v>1131</v>
      </c>
      <c r="H20" s="336" t="b">
        <v>0</v>
      </c>
    </row>
    <row r="21" spans="3:8" x14ac:dyDescent="0.25">
      <c r="C21" s="336">
        <v>15</v>
      </c>
      <c r="D21" s="352" t="s">
        <v>1132</v>
      </c>
      <c r="E21" s="336" t="s">
        <v>1133</v>
      </c>
      <c r="F21" s="336" t="s">
        <v>1134</v>
      </c>
      <c r="G21" s="336" t="s">
        <v>1135</v>
      </c>
      <c r="H21" s="336" t="b">
        <v>0</v>
      </c>
    </row>
    <row r="22" spans="3:8" x14ac:dyDescent="0.25">
      <c r="C22" s="324">
        <v>16</v>
      </c>
      <c r="D22" s="351" t="s">
        <v>1136</v>
      </c>
      <c r="E22" s="324" t="s">
        <v>1137</v>
      </c>
      <c r="F22" s="324" t="s">
        <v>1138</v>
      </c>
      <c r="G22" s="324" t="s">
        <v>1139</v>
      </c>
      <c r="H22" s="324" t="b">
        <v>0</v>
      </c>
    </row>
    <row r="23" spans="3:8" x14ac:dyDescent="0.25">
      <c r="C23" s="333">
        <v>17</v>
      </c>
      <c r="D23" s="350" t="s">
        <v>1140</v>
      </c>
      <c r="E23" s="333" t="s">
        <v>1141</v>
      </c>
      <c r="F23" s="333" t="s">
        <v>1142</v>
      </c>
      <c r="G23" s="333" t="s">
        <v>1143</v>
      </c>
      <c r="H23" s="333" t="b">
        <v>0</v>
      </c>
    </row>
    <row r="24" spans="3:8" x14ac:dyDescent="0.25">
      <c r="C24" s="333">
        <v>18</v>
      </c>
      <c r="D24" s="350" t="s">
        <v>1144</v>
      </c>
      <c r="E24" s="333" t="s">
        <v>1145</v>
      </c>
      <c r="F24" s="333" t="s">
        <v>1146</v>
      </c>
      <c r="G24" s="333" t="s">
        <v>1147</v>
      </c>
      <c r="H24" s="333" t="b">
        <v>0</v>
      </c>
    </row>
    <row r="25" spans="3:8" x14ac:dyDescent="0.25">
      <c r="C25" s="330">
        <v>19</v>
      </c>
      <c r="D25" s="349" t="s">
        <v>1148</v>
      </c>
      <c r="E25" s="330" t="s">
        <v>1149</v>
      </c>
      <c r="F25" s="330" t="s">
        <v>1150</v>
      </c>
      <c r="G25" s="330" t="s">
        <v>1151</v>
      </c>
      <c r="H25" s="330" t="b">
        <v>1</v>
      </c>
    </row>
    <row r="26" spans="3:8" x14ac:dyDescent="0.25">
      <c r="C26" s="330">
        <v>20</v>
      </c>
      <c r="D26" s="349" t="s">
        <v>1152</v>
      </c>
      <c r="E26" s="330" t="s">
        <v>1153</v>
      </c>
      <c r="F26" s="330" t="s">
        <v>1154</v>
      </c>
      <c r="G26" s="330" t="s">
        <v>1155</v>
      </c>
      <c r="H26" s="330" t="s">
        <v>1156</v>
      </c>
    </row>
    <row r="30" spans="3:8" x14ac:dyDescent="0.25">
      <c r="C30" s="346" t="s">
        <v>559</v>
      </c>
      <c r="D30" s="346" t="s">
        <v>560</v>
      </c>
      <c r="E30" s="346" t="s">
        <v>561</v>
      </c>
      <c r="F30" s="346" t="s">
        <v>645</v>
      </c>
      <c r="G30" s="346" t="s">
        <v>562</v>
      </c>
      <c r="H30" s="346" t="s">
        <v>563</v>
      </c>
    </row>
    <row r="31" spans="3:8" x14ac:dyDescent="0.25">
      <c r="C31" s="342">
        <v>3</v>
      </c>
      <c r="D31" s="348" t="s">
        <v>1085</v>
      </c>
      <c r="E31" s="342" t="s">
        <v>1086</v>
      </c>
      <c r="F31" s="342" t="s">
        <v>1087</v>
      </c>
      <c r="G31" s="342" t="s">
        <v>1088</v>
      </c>
      <c r="H31" s="342" t="b">
        <v>0</v>
      </c>
    </row>
    <row r="32" spans="3:8" x14ac:dyDescent="0.25">
      <c r="C32" s="342">
        <v>4</v>
      </c>
      <c r="D32" s="348" t="s">
        <v>1089</v>
      </c>
      <c r="E32" s="342" t="s">
        <v>1090</v>
      </c>
      <c r="F32" s="342" t="s">
        <v>1091</v>
      </c>
      <c r="G32" s="342" t="s">
        <v>1092</v>
      </c>
      <c r="H32" s="342" t="b">
        <v>1</v>
      </c>
    </row>
    <row r="33" spans="3:8" x14ac:dyDescent="0.25">
      <c r="C33" s="342">
        <v>5</v>
      </c>
      <c r="D33" s="348" t="s">
        <v>1093</v>
      </c>
      <c r="E33" s="342" t="s">
        <v>1094</v>
      </c>
      <c r="F33" s="342" t="s">
        <v>1095</v>
      </c>
      <c r="G33" s="342" t="s">
        <v>1096</v>
      </c>
      <c r="H33" s="342" t="b">
        <v>0</v>
      </c>
    </row>
    <row r="34" spans="3:8" x14ac:dyDescent="0.25">
      <c r="C34" s="342">
        <v>6</v>
      </c>
      <c r="D34" s="348" t="s">
        <v>1097</v>
      </c>
      <c r="E34" s="342" t="s">
        <v>1098</v>
      </c>
      <c r="F34" s="342" t="s">
        <v>1099</v>
      </c>
      <c r="G34" s="342" t="s">
        <v>1100</v>
      </c>
      <c r="H34" s="342" t="s">
        <v>1101</v>
      </c>
    </row>
    <row r="35" spans="3:8" x14ac:dyDescent="0.25">
      <c r="C35" s="342">
        <v>7</v>
      </c>
      <c r="D35" s="348" t="s">
        <v>1102</v>
      </c>
      <c r="E35" s="342" t="s">
        <v>1103</v>
      </c>
      <c r="F35" s="342" t="s">
        <v>1104</v>
      </c>
      <c r="G35" s="342" t="s">
        <v>1105</v>
      </c>
      <c r="H35" s="342" t="s">
        <v>1106</v>
      </c>
    </row>
    <row r="36" spans="3:8" x14ac:dyDescent="0.25">
      <c r="C36" s="342">
        <v>8</v>
      </c>
      <c r="D36" s="348" t="s">
        <v>1107</v>
      </c>
      <c r="E36" s="342" t="s">
        <v>1108</v>
      </c>
      <c r="F36" s="342" t="s">
        <v>1109</v>
      </c>
      <c r="G36" s="342" t="s">
        <v>1110</v>
      </c>
      <c r="H36" s="342" t="e">
        <v>#N/A</v>
      </c>
    </row>
    <row r="37" spans="3:8" x14ac:dyDescent="0.25">
      <c r="C37" s="342">
        <v>9</v>
      </c>
      <c r="D37" s="348" t="b">
        <v>1</v>
      </c>
      <c r="E37" s="342" t="s">
        <v>1111</v>
      </c>
      <c r="F37" s="342" t="s">
        <v>1112</v>
      </c>
      <c r="G37" s="342" t="s">
        <v>1113</v>
      </c>
      <c r="H37" s="342" t="b">
        <v>1</v>
      </c>
    </row>
    <row r="38" spans="3:8" x14ac:dyDescent="0.25">
      <c r="C38" s="342">
        <v>10</v>
      </c>
      <c r="D38" s="348" t="b">
        <v>0</v>
      </c>
      <c r="E38" s="342" t="s">
        <v>1114</v>
      </c>
      <c r="F38" s="342" t="s">
        <v>1115</v>
      </c>
      <c r="G38" s="342" t="s">
        <v>1113</v>
      </c>
      <c r="H38" s="342" t="b">
        <v>0</v>
      </c>
    </row>
    <row r="39" spans="3:8" x14ac:dyDescent="0.25">
      <c r="C39" s="342">
        <v>9</v>
      </c>
      <c r="D39" s="348" t="s">
        <v>1204</v>
      </c>
      <c r="E39" s="342" t="s">
        <v>1205</v>
      </c>
      <c r="F39" s="342" t="s">
        <v>1206</v>
      </c>
      <c r="G39" s="342" t="s">
        <v>1207</v>
      </c>
      <c r="H39" s="342" t="s">
        <v>1208</v>
      </c>
    </row>
    <row r="40" spans="3:8" x14ac:dyDescent="0.25">
      <c r="C40" s="342">
        <v>10</v>
      </c>
      <c r="D40" s="348" t="s">
        <v>1209</v>
      </c>
      <c r="E40" s="342" t="s">
        <v>1210</v>
      </c>
      <c r="F40" s="342" t="s">
        <v>1211</v>
      </c>
      <c r="G40" s="342" t="s">
        <v>1212</v>
      </c>
      <c r="H40" s="342" t="s">
        <v>1213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9349-7F95-40AB-ACA1-DA8C58021DEF}">
  <sheetPr codeName="Sheet22"/>
  <dimension ref="B2:V38"/>
  <sheetViews>
    <sheetView topLeftCell="H1" zoomScale="85" zoomScaleNormal="85" workbookViewId="0">
      <selection activeCell="U38" sqref="U38"/>
    </sheetView>
  </sheetViews>
  <sheetFormatPr defaultRowHeight="15" x14ac:dyDescent="0.25"/>
  <cols>
    <col min="3" max="6" width="18.7109375" bestFit="1" customWidth="1"/>
    <col min="7" max="7" width="18.7109375" customWidth="1"/>
    <col min="8" max="10" width="18.7109375" bestFit="1" customWidth="1"/>
    <col min="11" max="11" width="12.140625" customWidth="1"/>
    <col min="12" max="12" width="12.28515625" customWidth="1"/>
    <col min="13" max="14" width="19.42578125" customWidth="1"/>
    <col min="15" max="15" width="23.42578125" customWidth="1"/>
    <col min="16" max="16" width="26" customWidth="1"/>
    <col min="17" max="17" width="21.85546875" customWidth="1"/>
    <col min="18" max="18" width="12" bestFit="1" customWidth="1"/>
    <col min="19" max="19" width="14.42578125" customWidth="1"/>
    <col min="20" max="20" width="17.42578125" bestFit="1" customWidth="1"/>
    <col min="21" max="21" width="25.140625" customWidth="1"/>
    <col min="22" max="22" width="18.140625" customWidth="1"/>
  </cols>
  <sheetData>
    <row r="2" spans="2:22" x14ac:dyDescent="0.25">
      <c r="B2" s="161" t="s">
        <v>553</v>
      </c>
      <c r="C2" s="162"/>
      <c r="D2" s="162"/>
      <c r="E2" s="163"/>
      <c r="F2" s="153">
        <v>500</v>
      </c>
      <c r="G2" s="154"/>
      <c r="H2" s="154"/>
      <c r="I2" s="154"/>
      <c r="J2" s="154"/>
      <c r="K2" s="154"/>
    </row>
    <row r="3" spans="2:22" x14ac:dyDescent="0.25">
      <c r="B3" s="104" t="s">
        <v>901</v>
      </c>
      <c r="C3" s="94" t="s">
        <v>1157</v>
      </c>
      <c r="D3" s="94" t="s">
        <v>461</v>
      </c>
      <c r="E3" s="94" t="s">
        <v>462</v>
      </c>
      <c r="F3" s="94" t="s">
        <v>463</v>
      </c>
      <c r="G3" s="94" t="s">
        <v>1162</v>
      </c>
      <c r="H3" s="94" t="s">
        <v>464</v>
      </c>
      <c r="I3" s="94" t="s">
        <v>464</v>
      </c>
      <c r="J3" s="94" t="s">
        <v>552</v>
      </c>
      <c r="K3" s="94" t="s">
        <v>536</v>
      </c>
      <c r="L3" s="94" t="s">
        <v>533</v>
      </c>
      <c r="M3" s="95" t="s">
        <v>1161</v>
      </c>
      <c r="N3" s="95" t="s">
        <v>1203</v>
      </c>
      <c r="O3" s="95" t="s">
        <v>1200</v>
      </c>
      <c r="P3" s="95" t="s">
        <v>1202</v>
      </c>
      <c r="Q3" s="95" t="s">
        <v>1201</v>
      </c>
      <c r="S3" s="94" t="s">
        <v>1163</v>
      </c>
      <c r="T3" s="94" t="s">
        <v>1164</v>
      </c>
      <c r="U3" s="94" t="s">
        <v>1165</v>
      </c>
      <c r="V3" s="94" t="s">
        <v>1166</v>
      </c>
    </row>
    <row r="4" spans="2:22" x14ac:dyDescent="0.25">
      <c r="B4" s="106">
        <v>1</v>
      </c>
      <c r="C4" s="66" t="s">
        <v>473</v>
      </c>
      <c r="D4" s="66">
        <v>40</v>
      </c>
      <c r="E4" s="66">
        <v>46</v>
      </c>
      <c r="F4" s="66">
        <v>63</v>
      </c>
      <c r="G4" s="66">
        <v>63</v>
      </c>
      <c r="H4" s="66">
        <v>66</v>
      </c>
      <c r="I4" s="66">
        <v>66</v>
      </c>
      <c r="J4" s="66">
        <f>SUM(D4:I4)</f>
        <v>344</v>
      </c>
      <c r="K4" s="92">
        <f>J4/$F$2</f>
        <v>0.68799999999999994</v>
      </c>
      <c r="L4" s="92" t="str">
        <f>IF(K4&gt;=50%,"Pass","Fail")</f>
        <v>Pass</v>
      </c>
      <c r="M4" s="92" t="str" cm="1">
        <f t="array" ref="M4">_xlfn.IFS(K4&gt;=95%,"A+", K4&gt;=90%,"A", K4&gt;=85%,"A-", K4&gt;=80%,"B+", K4&gt;=75%,"B", K4&gt;=70%,"B-", K4&gt;=65%,"C+", K4&gt;=60%,"C", K4&gt;=55%,"C-", K4&gt;=50%,"PN", TRUE,"F")</f>
        <v>C+</v>
      </c>
      <c r="N4" s="92" t="str" cm="1">
        <f t="array" ref="N4">_xlfn.SWITCH(TRUE, K4&gt;=95%, "A+", K4&gt;=90%, "A", K4&gt;=85%, "A-", K4&gt;=80%, "B+", K4&gt;=75%, "B", K4&gt;=70%, "B-", K4&gt;=65%, "C+", K4&gt;=60%, "C", K4&gt;=55%, "C-", K4&gt;=50%, "PN", "F")</f>
        <v>C+</v>
      </c>
      <c r="O4" s="98" cm="1">
        <f t="array" ref="O4">_xlfn.IFS(K4&gt;=90%, 4, K4&gt;=85%, 3.67, K4&gt;=80%, 3.33, K4&gt;=75%, 3, K4&gt;=70%, 2.67, K4&gt;=65%, 2.33, K4&gt;=60%, 2, K4&gt;=55%, 1.67, K4&gt;=50%, "-", TRUE, 0)</f>
        <v>2.33</v>
      </c>
      <c r="P4" s="98" t="str" cm="1">
        <f t="array" ref="P4">_xlfn.SWITCH(M4, "A+", "Outstanding", "A", "Excellent", "A-", "Very Good", "B+", "Good", "B", "Fair", "B-", "Average", "C+", "Below Average", "C", "Satisfactory", "C-", "Pass", "PN", "Passed Non-credit", "Fail")</f>
        <v>Below Average</v>
      </c>
      <c r="Q4" s="92" t="str" cm="1">
        <f t="array" ref="Q4">_xlfn.IFS(K4&gt;=95%, "Outstanding", K4&gt;=90%, "Excellent", K4&gt;=85%, "Very Good", K4&gt;=80%, "Good", K4&gt;=75%, "Fair", K4&gt;=70%, "Average", K4&gt;=65%, "Below Average", K4&gt;=60%, "Satisfactory", K4&gt;=55%, "Pass", K4&gt;=50%, "Passed Non-credit", TRUE, "Fail")</f>
        <v>Below Average</v>
      </c>
      <c r="S4" s="66" t="s">
        <v>1167</v>
      </c>
      <c r="T4" s="66" t="s">
        <v>1168</v>
      </c>
      <c r="U4" s="66">
        <v>4</v>
      </c>
      <c r="V4" s="66" t="s">
        <v>1169</v>
      </c>
    </row>
    <row r="5" spans="2:22" x14ac:dyDescent="0.25">
      <c r="B5" s="106">
        <v>2</v>
      </c>
      <c r="C5" s="66" t="s">
        <v>474</v>
      </c>
      <c r="D5" s="66">
        <v>49</v>
      </c>
      <c r="E5" s="66">
        <v>73</v>
      </c>
      <c r="F5" s="66">
        <v>98</v>
      </c>
      <c r="G5" s="66">
        <v>66</v>
      </c>
      <c r="H5" s="66">
        <v>49</v>
      </c>
      <c r="I5" s="66">
        <v>49</v>
      </c>
      <c r="J5" s="66">
        <f>SUM(D5:I5)</f>
        <v>384</v>
      </c>
      <c r="K5" s="92">
        <f>J5/$F$2</f>
        <v>0.76800000000000002</v>
      </c>
      <c r="L5" s="92" t="str">
        <f>IF(K5&gt;=50%,"Pass","Fail")</f>
        <v>Pass</v>
      </c>
      <c r="M5" s="92" t="str" cm="1">
        <f t="array" ref="M5">_xlfn.IFS(K5&gt;=95%,"A+", K5&gt;=90%,"A", K5&gt;=85%,"A-", K5&gt;=80%,"B+", K5&gt;=75%,"B", K5&gt;=70%,"B-", K5&gt;=65%,"C+", K5&gt;=60%,"C", K5&gt;=55%,"C-", K5&gt;=50%,"PN", TRUE,"F")</f>
        <v>B</v>
      </c>
      <c r="N5" s="92" t="str" cm="1">
        <f t="array" ref="N5">_xlfn.SWITCH(TRUE, K5&gt;=95%, "A+", K5&gt;=90%, "A", K5&gt;=85%, "A-", K5&gt;=80%, "B+", K5&gt;=75%, "B", K5&gt;=70%, "B-", K5&gt;=65%, "C+", K5&gt;=60%, "C", K5&gt;=55%, "C-", K5&gt;=50%, "PN", "F")</f>
        <v>B</v>
      </c>
      <c r="O5" s="98" cm="1">
        <f t="array" ref="O5">_xlfn.IFS(K5&gt;=90%, 4, K5&gt;=85%, 3.67, K5&gt;=80%, 3.33, K5&gt;=75%, 3, K5&gt;=70%, 2.67, K5&gt;=65%, 2.33, K5&gt;=60%, 2, K5&gt;=55%, 1.67, K5&gt;=50%, "-", TRUE, 0)</f>
        <v>3</v>
      </c>
      <c r="P5" s="98" t="str" cm="1">
        <f t="array" ref="P5">_xlfn.SWITCH(M5, "A+", "Outstanding", "A", "Excellent", "A-", "Very Good", "B+", "Good", "B", "Fair", "B-", "Average", "C+", "Below Average", "C", "Satisfactory", "C-", "Pass", "PN", "Passed Non-credit", "Fail")</f>
        <v>Fair</v>
      </c>
      <c r="Q5" s="92" t="str" cm="1">
        <f t="array" ref="Q5">_xlfn.IFS(K5&gt;=95%, "Outstanding", K5&gt;=90%, "Excellent", K5&gt;=85%, "Very Good", K5&gt;=80%, "Good", K5&gt;=75%, "Fair", K5&gt;=70%, "Average", K5&gt;=65%, "Below Average", K5&gt;=60%, "Satisfactory", K5&gt;=55%, "Pass", K5&gt;=50%, "Passed Non-credit", TRUE, "Fail")</f>
        <v>Fair</v>
      </c>
      <c r="S5" s="66" t="s">
        <v>1170</v>
      </c>
      <c r="T5" s="66" t="s">
        <v>1084</v>
      </c>
      <c r="U5" s="66">
        <v>4</v>
      </c>
      <c r="V5" s="66" t="s">
        <v>1171</v>
      </c>
    </row>
    <row r="6" spans="2:22" x14ac:dyDescent="0.25">
      <c r="B6" s="106">
        <v>3</v>
      </c>
      <c r="C6" s="66" t="s">
        <v>475</v>
      </c>
      <c r="D6" s="66">
        <v>82</v>
      </c>
      <c r="E6" s="66">
        <v>43</v>
      </c>
      <c r="F6" s="66">
        <v>63</v>
      </c>
      <c r="G6" s="66">
        <v>76</v>
      </c>
      <c r="H6" s="66">
        <v>84</v>
      </c>
      <c r="I6" s="66">
        <v>84</v>
      </c>
      <c r="J6" s="66">
        <f>SUM(D6:I6)</f>
        <v>432</v>
      </c>
      <c r="K6" s="92">
        <f>J6/$F$2</f>
        <v>0.86399999999999999</v>
      </c>
      <c r="L6" s="92" t="str">
        <f>IF(K6&gt;=50%,"Pass","Fail")</f>
        <v>Pass</v>
      </c>
      <c r="M6" s="92" t="str" cm="1">
        <f t="array" ref="M6">_xlfn.IFS(K6&gt;=95%,"A+", K6&gt;=90%,"A", K6&gt;=85%,"A-", K6&gt;=80%,"B+", K6&gt;=75%,"B", K6&gt;=70%,"B-", K6&gt;=65%,"C+", K6&gt;=60%,"C", K6&gt;=55%,"C-", K6&gt;=50%,"PN", TRUE,"F")</f>
        <v>A-</v>
      </c>
      <c r="N6" s="92" t="str" cm="1">
        <f t="array" ref="N6">_xlfn.SWITCH(TRUE, K6&gt;=95%, "A+", K6&gt;=90%, "A", K6&gt;=85%, "A-", K6&gt;=80%, "B+", K6&gt;=75%, "B", K6&gt;=70%, "B-", K6&gt;=65%, "C+", K6&gt;=60%, "C", K6&gt;=55%, "C-", K6&gt;=50%, "PN", "F")</f>
        <v>A-</v>
      </c>
      <c r="O6" s="98" cm="1">
        <f t="array" ref="O6">_xlfn.IFS(K6&gt;=90%, 4, K6&gt;=85%, 3.67, K6&gt;=80%, 3.33, K6&gt;=75%, 3, K6&gt;=70%, 2.67, K6&gt;=65%, 2.33, K6&gt;=60%, 2, K6&gt;=55%, 1.67, K6&gt;=50%, "-", TRUE, 0)</f>
        <v>3.67</v>
      </c>
      <c r="P6" s="98" t="str" cm="1">
        <f t="array" ref="P6">_xlfn.SWITCH(M6, "A+", "Outstanding", "A", "Excellent", "A-", "Very Good", "B+", "Good", "B", "Fair", "B-", "Average", "C+", "Below Average", "C", "Satisfactory", "C-", "Pass", "PN", "Passed Non-credit", "Fail")</f>
        <v>Very Good</v>
      </c>
      <c r="Q6" s="92" t="str" cm="1">
        <f t="array" ref="Q6">_xlfn.IFS(K6&gt;=95%, "Outstanding", K6&gt;=90%, "Excellent", K6&gt;=85%, "Very Good", K6&gt;=80%, "Good", K6&gt;=75%, "Fair", K6&gt;=70%, "Average", K6&gt;=65%, "Below Average", K6&gt;=60%, "Satisfactory", K6&gt;=55%, "Pass", K6&gt;=50%, "Passed Non-credit", TRUE, "Fail")</f>
        <v>Very Good</v>
      </c>
      <c r="S6" s="66" t="s">
        <v>1172</v>
      </c>
      <c r="T6" s="66" t="s">
        <v>1173</v>
      </c>
      <c r="U6" s="66">
        <v>3.67</v>
      </c>
      <c r="V6" s="66" t="s">
        <v>1174</v>
      </c>
    </row>
    <row r="7" spans="2:22" x14ac:dyDescent="0.25">
      <c r="B7" s="106">
        <v>4</v>
      </c>
      <c r="C7" s="66" t="s">
        <v>476</v>
      </c>
      <c r="D7" s="66">
        <v>32</v>
      </c>
      <c r="E7" s="66">
        <v>48</v>
      </c>
      <c r="F7" s="66">
        <v>26</v>
      </c>
      <c r="G7" s="66">
        <v>56</v>
      </c>
      <c r="H7" s="66">
        <v>51</v>
      </c>
      <c r="I7" s="66">
        <v>61</v>
      </c>
      <c r="J7" s="66">
        <f>SUM(D7:I7)</f>
        <v>274</v>
      </c>
      <c r="K7" s="92">
        <f>J7/$F$2</f>
        <v>0.54800000000000004</v>
      </c>
      <c r="L7" s="92" t="str">
        <f>IF(K7&gt;=50%,"Pass","Fail")</f>
        <v>Pass</v>
      </c>
      <c r="M7" s="92" t="str" cm="1">
        <f t="array" ref="M7">_xlfn.IFS(K7&gt;=95%,"A+", K7&gt;=90%,"A", K7&gt;=85%,"A-", K7&gt;=80%,"B+", K7&gt;=75%,"B", K7&gt;=70%,"B-", K7&gt;=65%,"C+", K7&gt;=60%,"C", K7&gt;=55%,"C-", K7&gt;=50%,"PN", TRUE,"F")</f>
        <v>PN</v>
      </c>
      <c r="N7" s="92" t="str" cm="1">
        <f t="array" ref="N7">_xlfn.SWITCH(TRUE, K7&gt;=95%, "A+", K7&gt;=90%, "A", K7&gt;=85%, "A-", K7&gt;=80%, "B+", K7&gt;=75%, "B", K7&gt;=70%, "B-", K7&gt;=65%, "C+", K7&gt;=60%, "C", K7&gt;=55%, "C-", K7&gt;=50%, "PN", "F")</f>
        <v>PN</v>
      </c>
      <c r="O7" s="98" t="str" cm="1">
        <f t="array" ref="O7">_xlfn.IFS(K7&gt;=90%, 4, K7&gt;=85%, 3.67, K7&gt;=80%, 3.33, K7&gt;=75%, 3, K7&gt;=70%, 2.67, K7&gt;=65%, 2.33, K7&gt;=60%, 2, K7&gt;=55%, 1.67, K7&gt;=50%, "-", TRUE, 0)</f>
        <v>-</v>
      </c>
      <c r="P7" s="98" t="str" cm="1">
        <f t="array" ref="P7">_xlfn.SWITCH(M7, "A+", "Outstanding", "A", "Excellent", "A-", "Very Good", "B+", "Good", "B", "Fair", "B-", "Average", "C+", "Below Average", "C", "Satisfactory", "C-", "Pass", "PN", "Passed Non-credit", "Fail")</f>
        <v>Passed Non-credit</v>
      </c>
      <c r="Q7" s="92" t="str" cm="1">
        <f t="array" ref="Q7">_xlfn.IFS(K7&gt;=95%, "Outstanding", K7&gt;=90%, "Excellent", K7&gt;=85%, "Very Good", K7&gt;=80%, "Good", K7&gt;=75%, "Fair", K7&gt;=70%, "Average", K7&gt;=65%, "Below Average", K7&gt;=60%, "Satisfactory", K7&gt;=55%, "Pass", K7&gt;=50%, "Passed Non-credit", TRUE, "Fail")</f>
        <v>Passed Non-credit</v>
      </c>
      <c r="S7" s="66" t="s">
        <v>1175</v>
      </c>
      <c r="T7" s="66" t="s">
        <v>1176</v>
      </c>
      <c r="U7" s="66">
        <v>3.33</v>
      </c>
      <c r="V7" s="66" t="s">
        <v>1177</v>
      </c>
    </row>
    <row r="8" spans="2:22" x14ac:dyDescent="0.25">
      <c r="B8" s="106">
        <v>5</v>
      </c>
      <c r="C8" s="66" t="s">
        <v>477</v>
      </c>
      <c r="D8" s="66">
        <v>60</v>
      </c>
      <c r="E8" s="66">
        <v>39</v>
      </c>
      <c r="F8" s="66">
        <v>66</v>
      </c>
      <c r="G8" s="66">
        <v>57</v>
      </c>
      <c r="H8" s="66">
        <v>78</v>
      </c>
      <c r="I8" s="66">
        <v>78</v>
      </c>
      <c r="J8" s="66">
        <f>SUM(D8:I8)</f>
        <v>378</v>
      </c>
      <c r="K8" s="92">
        <f>J8/$F$2</f>
        <v>0.75600000000000001</v>
      </c>
      <c r="L8" s="92" t="str">
        <f>IF(K8&gt;=50%,"Pass","Fail")</f>
        <v>Pass</v>
      </c>
      <c r="M8" s="92" t="str" cm="1">
        <f t="array" ref="M8">_xlfn.IFS(K8&gt;=95%,"A+", K8&gt;=90%,"A", K8&gt;=85%,"A-", K8&gt;=80%,"B+", K8&gt;=75%,"B", K8&gt;=70%,"B-", K8&gt;=65%,"C+", K8&gt;=60%,"C", K8&gt;=55%,"C-", K8&gt;=50%,"PN", TRUE,"F")</f>
        <v>B</v>
      </c>
      <c r="N8" s="92" t="str" cm="1">
        <f t="array" ref="N8">_xlfn.SWITCH(TRUE, K8&gt;=95%, "A+", K8&gt;=90%, "A", K8&gt;=85%, "A-", K8&gt;=80%, "B+", K8&gt;=75%, "B", K8&gt;=70%, "B-", K8&gt;=65%, "C+", K8&gt;=60%, "C", K8&gt;=55%, "C-", K8&gt;=50%, "PN", "F")</f>
        <v>B</v>
      </c>
      <c r="O8" s="98" cm="1">
        <f t="array" ref="O8">_xlfn.IFS(K8&gt;=90%, 4, K8&gt;=85%, 3.67, K8&gt;=80%, 3.33, K8&gt;=75%, 3, K8&gt;=70%, 2.67, K8&gt;=65%, 2.33, K8&gt;=60%, 2, K8&gt;=55%, 1.67, K8&gt;=50%, "-", TRUE, 0)</f>
        <v>3</v>
      </c>
      <c r="P8" s="98" t="str" cm="1">
        <f t="array" ref="P8">_xlfn.SWITCH(M8, "A+", "Outstanding", "A", "Excellent", "A-", "Very Good", "B+", "Good", "B", "Fair", "B-", "Average", "C+", "Below Average", "C", "Satisfactory", "C-", "Pass", "PN", "Passed Non-credit", "Fail")</f>
        <v>Fair</v>
      </c>
      <c r="Q8" s="92" t="str" cm="1">
        <f t="array" ref="Q8">_xlfn.IFS(K8&gt;=95%, "Outstanding", K8&gt;=90%, "Excellent", K8&gt;=85%, "Very Good", K8&gt;=80%, "Good", K8&gt;=75%, "Fair", K8&gt;=70%, "Average", K8&gt;=65%, "Below Average", K8&gt;=60%, "Satisfactory", K8&gt;=55%, "Pass", K8&gt;=50%, "Passed Non-credit", TRUE, "Fail")</f>
        <v>Fair</v>
      </c>
      <c r="S8" s="66" t="s">
        <v>1178</v>
      </c>
      <c r="T8" s="66" t="s">
        <v>1179</v>
      </c>
      <c r="U8" s="66">
        <v>3</v>
      </c>
      <c r="V8" s="66" t="s">
        <v>1180</v>
      </c>
    </row>
    <row r="9" spans="2:22" x14ac:dyDescent="0.25">
      <c r="B9" s="106">
        <v>6</v>
      </c>
      <c r="C9" s="66" t="s">
        <v>478</v>
      </c>
      <c r="D9" s="66">
        <v>80</v>
      </c>
      <c r="E9" s="66">
        <v>46</v>
      </c>
      <c r="F9" s="66">
        <v>50</v>
      </c>
      <c r="G9" s="66">
        <v>71</v>
      </c>
      <c r="H9" s="66">
        <v>76</v>
      </c>
      <c r="I9" s="66">
        <v>76</v>
      </c>
      <c r="J9" s="66">
        <f>SUM(D9:I9)</f>
        <v>399</v>
      </c>
      <c r="K9" s="92">
        <f>J9/$F$2</f>
        <v>0.79800000000000004</v>
      </c>
      <c r="L9" s="92" t="str">
        <f>IF(K9&gt;=50%,"Pass","Fail")</f>
        <v>Pass</v>
      </c>
      <c r="M9" s="92" t="str" cm="1">
        <f t="array" ref="M9">_xlfn.IFS(K9&gt;=95%,"A+", K9&gt;=90%,"A", K9&gt;=85%,"A-", K9&gt;=80%,"B+", K9&gt;=75%,"B", K9&gt;=70%,"B-", K9&gt;=65%,"C+", K9&gt;=60%,"C", K9&gt;=55%,"C-", K9&gt;=50%,"PN", TRUE,"F")</f>
        <v>B</v>
      </c>
      <c r="N9" s="92" t="str" cm="1">
        <f t="array" ref="N9">_xlfn.SWITCH(TRUE, K9&gt;=95%, "A+", K9&gt;=90%, "A", K9&gt;=85%, "A-", K9&gt;=80%, "B+", K9&gt;=75%, "B", K9&gt;=70%, "B-", K9&gt;=65%, "C+", K9&gt;=60%, "C", K9&gt;=55%, "C-", K9&gt;=50%, "PN", "F")</f>
        <v>B</v>
      </c>
      <c r="O9" s="98" cm="1">
        <f t="array" ref="O9">_xlfn.IFS(K9&gt;=90%, 4, K9&gt;=85%, 3.67, K9&gt;=80%, 3.33, K9&gt;=75%, 3, K9&gt;=70%, 2.67, K9&gt;=65%, 2.33, K9&gt;=60%, 2, K9&gt;=55%, 1.67, K9&gt;=50%, "-", TRUE, 0)</f>
        <v>3</v>
      </c>
      <c r="P9" s="98" t="str" cm="1">
        <f t="array" ref="P9">_xlfn.SWITCH(M9, "A+", "Outstanding", "A", "Excellent", "A-", "Very Good", "B+", "Good", "B", "Fair", "B-", "Average", "C+", "Below Average", "C", "Satisfactory", "C-", "Pass", "PN", "Passed Non-credit", "Fail")</f>
        <v>Fair</v>
      </c>
      <c r="Q9" s="92" t="str" cm="1">
        <f t="array" ref="Q9">_xlfn.IFS(K9&gt;=95%, "Outstanding", K9&gt;=90%, "Excellent", K9&gt;=85%, "Very Good", K9&gt;=80%, "Good", K9&gt;=75%, "Fair", K9&gt;=70%, "Average", K9&gt;=65%, "Below Average", K9&gt;=60%, "Satisfactory", K9&gt;=55%, "Pass", K9&gt;=50%, "Passed Non-credit", TRUE, "Fail")</f>
        <v>Fair</v>
      </c>
      <c r="S9" s="66" t="s">
        <v>1181</v>
      </c>
      <c r="T9" s="66" t="s">
        <v>1182</v>
      </c>
      <c r="U9" s="66">
        <v>2.67</v>
      </c>
      <c r="V9" s="66" t="s">
        <v>1183</v>
      </c>
    </row>
    <row r="10" spans="2:22" x14ac:dyDescent="0.25">
      <c r="B10" s="106">
        <v>7</v>
      </c>
      <c r="C10" s="66" t="s">
        <v>479</v>
      </c>
      <c r="D10" s="66">
        <v>62</v>
      </c>
      <c r="E10" s="66">
        <v>40</v>
      </c>
      <c r="F10" s="66">
        <v>40</v>
      </c>
      <c r="G10" s="66">
        <v>56</v>
      </c>
      <c r="H10" s="66">
        <v>76</v>
      </c>
      <c r="I10" s="66">
        <v>76</v>
      </c>
      <c r="J10" s="66">
        <f>SUM(D10:I10)</f>
        <v>350</v>
      </c>
      <c r="K10" s="92">
        <f>J10/$F$2</f>
        <v>0.7</v>
      </c>
      <c r="L10" s="92" t="str">
        <f>IF(K10&gt;=50%,"Pass","Fail")</f>
        <v>Pass</v>
      </c>
      <c r="M10" s="92" t="str" cm="1">
        <f t="array" ref="M10">_xlfn.IFS(K10&gt;=95%,"A+", K10&gt;=90%,"A", K10&gt;=85%,"A-", K10&gt;=80%,"B+", K10&gt;=75%,"B", K10&gt;=70%,"B-", K10&gt;=65%,"C+", K10&gt;=60%,"C", K10&gt;=55%,"C-", K10&gt;=50%,"PN", TRUE,"F")</f>
        <v>B-</v>
      </c>
      <c r="N10" s="92" t="str" cm="1">
        <f t="array" ref="N10">_xlfn.SWITCH(TRUE, K10&gt;=95%, "A+", K10&gt;=90%, "A", K10&gt;=85%, "A-", K10&gt;=80%, "B+", K10&gt;=75%, "B", K10&gt;=70%, "B-", K10&gt;=65%, "C+", K10&gt;=60%, "C", K10&gt;=55%, "C-", K10&gt;=50%, "PN", "F")</f>
        <v>B-</v>
      </c>
      <c r="O10" s="98" cm="1">
        <f t="array" ref="O10">_xlfn.IFS(K10&gt;=90%, 4, K10&gt;=85%, 3.67, K10&gt;=80%, 3.33, K10&gt;=75%, 3, K10&gt;=70%, 2.67, K10&gt;=65%, 2.33, K10&gt;=60%, 2, K10&gt;=55%, 1.67, K10&gt;=50%, "-", TRUE, 0)</f>
        <v>2.67</v>
      </c>
      <c r="P10" s="98" t="str" cm="1">
        <f t="array" ref="P10">_xlfn.SWITCH(M10, "A+", "Outstanding", "A", "Excellent", "A-", "Very Good", "B+", "Good", "B", "Fair", "B-", "Average", "C+", "Below Average", "C", "Satisfactory", "C-", "Pass", "PN", "Passed Non-credit", "Fail")</f>
        <v>Average</v>
      </c>
      <c r="Q10" s="92" t="str" cm="1">
        <f t="array" ref="Q10">_xlfn.IFS(K10&gt;=95%, "Outstanding", K10&gt;=90%, "Excellent", K10&gt;=85%, "Very Good", K10&gt;=80%, "Good", K10&gt;=75%, "Fair", K10&gt;=70%, "Average", K10&gt;=65%, "Below Average", K10&gt;=60%, "Satisfactory", K10&gt;=55%, "Pass", K10&gt;=50%, "Passed Non-credit", TRUE, "Fail")</f>
        <v>Average</v>
      </c>
      <c r="S10" s="66" t="s">
        <v>1184</v>
      </c>
      <c r="T10" s="66" t="s">
        <v>1185</v>
      </c>
      <c r="U10" s="66">
        <v>2.33</v>
      </c>
      <c r="V10" s="66" t="s">
        <v>1186</v>
      </c>
    </row>
    <row r="11" spans="2:22" x14ac:dyDescent="0.25">
      <c r="B11" s="106">
        <v>8</v>
      </c>
      <c r="C11" s="66" t="s">
        <v>549</v>
      </c>
      <c r="D11" s="66">
        <v>51</v>
      </c>
      <c r="E11" s="66">
        <v>88</v>
      </c>
      <c r="F11" s="66">
        <v>23</v>
      </c>
      <c r="G11" s="66">
        <v>53</v>
      </c>
      <c r="H11" s="66">
        <v>97</v>
      </c>
      <c r="I11" s="66">
        <v>97</v>
      </c>
      <c r="J11" s="66">
        <f>SUM(D11:I11)</f>
        <v>409</v>
      </c>
      <c r="K11" s="92">
        <f>J11/$F$2</f>
        <v>0.81799999999999995</v>
      </c>
      <c r="L11" s="92" t="str">
        <f>IF(K11&gt;=50%,"Pass","Fail")</f>
        <v>Pass</v>
      </c>
      <c r="M11" s="92" t="str" cm="1">
        <f t="array" ref="M11">_xlfn.IFS(K11&gt;=95%,"A+", K11&gt;=90%,"A", K11&gt;=85%,"A-", K11&gt;=80%,"B+", K11&gt;=75%,"B", K11&gt;=70%,"B-", K11&gt;=65%,"C+", K11&gt;=60%,"C", K11&gt;=55%,"C-", K11&gt;=50%,"PN", TRUE,"F")</f>
        <v>B+</v>
      </c>
      <c r="N11" s="92" t="str" cm="1">
        <f t="array" ref="N11">_xlfn.SWITCH(TRUE, K11&gt;=95%, "A+", K11&gt;=90%, "A", K11&gt;=85%, "A-", K11&gt;=80%, "B+", K11&gt;=75%, "B", K11&gt;=70%, "B-", K11&gt;=65%, "C+", K11&gt;=60%, "C", K11&gt;=55%, "C-", K11&gt;=50%, "PN", "F")</f>
        <v>B+</v>
      </c>
      <c r="O11" s="98" cm="1">
        <f t="array" ref="O11">_xlfn.IFS(K11&gt;=90%, 4, K11&gt;=85%, 3.67, K11&gt;=80%, 3.33, K11&gt;=75%, 3, K11&gt;=70%, 2.67, K11&gt;=65%, 2.33, K11&gt;=60%, 2, K11&gt;=55%, 1.67, K11&gt;=50%, "-", TRUE, 0)</f>
        <v>3.33</v>
      </c>
      <c r="P11" s="98" t="str" cm="1">
        <f t="array" ref="P11">_xlfn.SWITCH(M11, "A+", "Outstanding", "A", "Excellent", "A-", "Very Good", "B+", "Good", "B", "Fair", "B-", "Average", "C+", "Below Average", "C", "Satisfactory", "C-", "Pass", "PN", "Passed Non-credit", "Fail")</f>
        <v>Good</v>
      </c>
      <c r="Q11" s="92" t="str" cm="1">
        <f t="array" ref="Q11">_xlfn.IFS(K11&gt;=95%, "Outstanding", K11&gt;=90%, "Excellent", K11&gt;=85%, "Very Good", K11&gt;=80%, "Good", K11&gt;=75%, "Fair", K11&gt;=70%, "Average", K11&gt;=65%, "Below Average", K11&gt;=60%, "Satisfactory", K11&gt;=55%, "Pass", K11&gt;=50%, "Passed Non-credit", TRUE, "Fail")</f>
        <v>Good</v>
      </c>
      <c r="S11" s="66" t="s">
        <v>1187</v>
      </c>
      <c r="T11" s="66" t="s">
        <v>1188</v>
      </c>
      <c r="U11" s="66">
        <v>2</v>
      </c>
      <c r="V11" s="66" t="s">
        <v>1189</v>
      </c>
    </row>
    <row r="12" spans="2:22" x14ac:dyDescent="0.25">
      <c r="B12" s="106">
        <v>9</v>
      </c>
      <c r="C12" s="66" t="s">
        <v>481</v>
      </c>
      <c r="D12" s="66">
        <v>62</v>
      </c>
      <c r="E12" s="66">
        <v>61</v>
      </c>
      <c r="F12" s="66">
        <v>93</v>
      </c>
      <c r="G12" s="66">
        <v>61</v>
      </c>
      <c r="H12" s="66">
        <v>95</v>
      </c>
      <c r="I12" s="66">
        <v>95</v>
      </c>
      <c r="J12" s="66">
        <f>SUM(D12:I12)</f>
        <v>467</v>
      </c>
      <c r="K12" s="92">
        <f>J12/$F$2</f>
        <v>0.93400000000000005</v>
      </c>
      <c r="L12" s="92" t="str">
        <f>IF(K12&gt;=50%,"Pass","Fail")</f>
        <v>Pass</v>
      </c>
      <c r="M12" s="92" t="str" cm="1">
        <f t="array" ref="M12">_xlfn.IFS(K12&gt;=95%,"A+", K12&gt;=90%,"A", K12&gt;=85%,"A-", K12&gt;=80%,"B+", K12&gt;=75%,"B", K12&gt;=70%,"B-", K12&gt;=65%,"C+", K12&gt;=60%,"C", K12&gt;=55%,"C-", K12&gt;=50%,"PN", TRUE,"F")</f>
        <v>A</v>
      </c>
      <c r="N12" s="92" t="str" cm="1">
        <f t="array" ref="N12">_xlfn.SWITCH(TRUE, K12&gt;=95%, "A+", K12&gt;=90%, "A", K12&gt;=85%, "A-", K12&gt;=80%, "B+", K12&gt;=75%, "B", K12&gt;=70%, "B-", K12&gt;=65%, "C+", K12&gt;=60%, "C", K12&gt;=55%, "C-", K12&gt;=50%, "PN", "F")</f>
        <v>A</v>
      </c>
      <c r="O12" s="98" cm="1">
        <f t="array" ref="O12">_xlfn.IFS(K12&gt;=90%, 4, K12&gt;=85%, 3.67, K12&gt;=80%, 3.33, K12&gt;=75%, 3, K12&gt;=70%, 2.67, K12&gt;=65%, 2.33, K12&gt;=60%, 2, K12&gt;=55%, 1.67, K12&gt;=50%, "-", TRUE, 0)</f>
        <v>4</v>
      </c>
      <c r="P12" s="98" t="str" cm="1">
        <f t="array" ref="P12">_xlfn.SWITCH(M12, "A+", "Outstanding", "A", "Excellent", "A-", "Very Good", "B+", "Good", "B", "Fair", "B-", "Average", "C+", "Below Average", "C", "Satisfactory", "C-", "Pass", "PN", "Passed Non-credit", "Fail")</f>
        <v>Excellent</v>
      </c>
      <c r="Q12" s="92" t="str" cm="1">
        <f t="array" ref="Q12">_xlfn.IFS(K12&gt;=95%, "Outstanding", K12&gt;=90%, "Excellent", K12&gt;=85%, "Very Good", K12&gt;=80%, "Good", K12&gt;=75%, "Fair", K12&gt;=70%, "Average", K12&gt;=65%, "Below Average", K12&gt;=60%, "Satisfactory", K12&gt;=55%, "Pass", K12&gt;=50%, "Passed Non-credit", TRUE, "Fail")</f>
        <v>Excellent</v>
      </c>
      <c r="S12" s="66" t="s">
        <v>1190</v>
      </c>
      <c r="T12" s="66" t="s">
        <v>1191</v>
      </c>
      <c r="U12" s="66">
        <v>1.67</v>
      </c>
      <c r="V12" s="66" t="s">
        <v>1079</v>
      </c>
    </row>
    <row r="13" spans="2:22" x14ac:dyDescent="0.25">
      <c r="B13" s="106">
        <v>10</v>
      </c>
      <c r="C13" s="66" t="s">
        <v>482</v>
      </c>
      <c r="D13" s="66">
        <v>67</v>
      </c>
      <c r="E13" s="66">
        <v>63</v>
      </c>
      <c r="F13" s="66">
        <v>47</v>
      </c>
      <c r="G13" s="66">
        <v>76</v>
      </c>
      <c r="H13" s="66">
        <v>80</v>
      </c>
      <c r="I13" s="66">
        <v>80</v>
      </c>
      <c r="J13" s="66">
        <f>SUM(D13:I13)</f>
        <v>413</v>
      </c>
      <c r="K13" s="92">
        <f>J13/$F$2</f>
        <v>0.82599999999999996</v>
      </c>
      <c r="L13" s="92" t="str">
        <f>IF(K13&gt;=50%,"Pass","Fail")</f>
        <v>Pass</v>
      </c>
      <c r="M13" s="92" t="str" cm="1">
        <f t="array" ref="M13">_xlfn.IFS(K13&gt;=95%,"A+", K13&gt;=90%,"A", K13&gt;=85%,"A-", K13&gt;=80%,"B+", K13&gt;=75%,"B", K13&gt;=70%,"B-", K13&gt;=65%,"C+", K13&gt;=60%,"C", K13&gt;=55%,"C-", K13&gt;=50%,"PN", TRUE,"F")</f>
        <v>B+</v>
      </c>
      <c r="N13" s="92" t="str" cm="1">
        <f t="array" ref="N13">_xlfn.SWITCH(TRUE, K13&gt;=95%, "A+", K13&gt;=90%, "A", K13&gt;=85%, "A-", K13&gt;=80%, "B+", K13&gt;=75%, "B", K13&gt;=70%, "B-", K13&gt;=65%, "C+", K13&gt;=60%, "C", K13&gt;=55%, "C-", K13&gt;=50%, "PN", "F")</f>
        <v>B+</v>
      </c>
      <c r="O13" s="98" cm="1">
        <f t="array" ref="O13">_xlfn.IFS(K13&gt;=90%, 4, K13&gt;=85%, 3.67, K13&gt;=80%, 3.33, K13&gt;=75%, 3, K13&gt;=70%, 2.67, K13&gt;=65%, 2.33, K13&gt;=60%, 2, K13&gt;=55%, 1.67, K13&gt;=50%, "-", TRUE, 0)</f>
        <v>3.33</v>
      </c>
      <c r="P13" s="98" t="str" cm="1">
        <f t="array" ref="P13">_xlfn.SWITCH(M13, "A+", "Outstanding", "A", "Excellent", "A-", "Very Good", "B+", "Good", "B", "Fair", "B-", "Average", "C+", "Below Average", "C", "Satisfactory", "C-", "Pass", "PN", "Passed Non-credit", "Fail")</f>
        <v>Good</v>
      </c>
      <c r="Q13" s="92" t="str" cm="1">
        <f t="array" ref="Q13">_xlfn.IFS(K13&gt;=95%, "Outstanding", K13&gt;=90%, "Excellent", K13&gt;=85%, "Very Good", K13&gt;=80%, "Good", K13&gt;=75%, "Fair", K13&gt;=70%, "Average", K13&gt;=65%, "Below Average", K13&gt;=60%, "Satisfactory", K13&gt;=55%, "Pass", K13&gt;=50%, "Passed Non-credit", TRUE, "Fail")</f>
        <v>Good</v>
      </c>
      <c r="S13" s="66" t="s">
        <v>1192</v>
      </c>
      <c r="T13" s="66" t="s">
        <v>1193</v>
      </c>
      <c r="U13" s="66" t="s">
        <v>1194</v>
      </c>
      <c r="V13" s="66" t="s">
        <v>1195</v>
      </c>
    </row>
    <row r="14" spans="2:22" x14ac:dyDescent="0.25">
      <c r="B14" s="106">
        <v>11</v>
      </c>
      <c r="C14" s="66" t="s">
        <v>550</v>
      </c>
      <c r="D14" s="66">
        <v>57</v>
      </c>
      <c r="E14" s="66">
        <v>17</v>
      </c>
      <c r="F14" s="66">
        <v>26</v>
      </c>
      <c r="G14" s="66">
        <v>77</v>
      </c>
      <c r="H14" s="66">
        <v>99</v>
      </c>
      <c r="I14" s="66">
        <v>99</v>
      </c>
      <c r="J14" s="66">
        <f>SUM(D14:I14)</f>
        <v>375</v>
      </c>
      <c r="K14" s="92">
        <f>J14/$F$2</f>
        <v>0.75</v>
      </c>
      <c r="L14" s="92" t="str">
        <f>IF(K14&gt;=50%,"Pass","Fail")</f>
        <v>Pass</v>
      </c>
      <c r="M14" s="92" t="str" cm="1">
        <f t="array" ref="M14">_xlfn.IFS(K14&gt;=95%,"A+", K14&gt;=90%,"A", K14&gt;=85%,"A-", K14&gt;=80%,"B+", K14&gt;=75%,"B", K14&gt;=70%,"B-", K14&gt;=65%,"C+", K14&gt;=60%,"C", K14&gt;=55%,"C-", K14&gt;=50%,"PN", TRUE,"F")</f>
        <v>B</v>
      </c>
      <c r="N14" s="92" t="str" cm="1">
        <f t="array" ref="N14">_xlfn.SWITCH(TRUE, K14&gt;=95%, "A+", K14&gt;=90%, "A", K14&gt;=85%, "A-", K14&gt;=80%, "B+", K14&gt;=75%, "B", K14&gt;=70%, "B-", K14&gt;=65%, "C+", K14&gt;=60%, "C", K14&gt;=55%, "C-", K14&gt;=50%, "PN", "F")</f>
        <v>B</v>
      </c>
      <c r="O14" s="98" cm="1">
        <f t="array" ref="O14">_xlfn.IFS(K14&gt;=90%, 4, K14&gt;=85%, 3.67, K14&gt;=80%, 3.33, K14&gt;=75%, 3, K14&gt;=70%, 2.67, K14&gt;=65%, 2.33, K14&gt;=60%, 2, K14&gt;=55%, 1.67, K14&gt;=50%, "-", TRUE, 0)</f>
        <v>3</v>
      </c>
      <c r="P14" s="98" t="str" cm="1">
        <f t="array" ref="P14">_xlfn.SWITCH(M14, "A+", "Outstanding", "A", "Excellent", "A-", "Very Good", "B+", "Good", "B", "Fair", "B-", "Average", "C+", "Below Average", "C", "Satisfactory", "C-", "Pass", "PN", "Passed Non-credit", "Fail")</f>
        <v>Fair</v>
      </c>
      <c r="Q14" s="92" t="str" cm="1">
        <f t="array" ref="Q14">_xlfn.IFS(K14&gt;=95%, "Outstanding", K14&gt;=90%, "Excellent", K14&gt;=85%, "Very Good", K14&gt;=80%, "Good", K14&gt;=75%, "Fair", K14&gt;=70%, "Average", K14&gt;=65%, "Below Average", K14&gt;=60%, "Satisfactory", K14&gt;=55%, "Pass", K14&gt;=50%, "Passed Non-credit", TRUE, "Fail")</f>
        <v>Fair</v>
      </c>
      <c r="S14" s="66" t="s">
        <v>1196</v>
      </c>
      <c r="T14" s="66" t="s">
        <v>1197</v>
      </c>
      <c r="U14" s="66">
        <v>0</v>
      </c>
      <c r="V14" s="66" t="s">
        <v>1198</v>
      </c>
    </row>
    <row r="15" spans="2:22" x14ac:dyDescent="0.25">
      <c r="B15" s="106">
        <v>12</v>
      </c>
      <c r="C15" s="66" t="s">
        <v>484</v>
      </c>
      <c r="D15" s="66">
        <v>56</v>
      </c>
      <c r="E15" s="66">
        <v>63</v>
      </c>
      <c r="F15" s="66">
        <v>68</v>
      </c>
      <c r="G15" s="66">
        <v>37</v>
      </c>
      <c r="H15" s="66">
        <v>20</v>
      </c>
      <c r="I15" s="66">
        <v>10</v>
      </c>
      <c r="J15" s="66">
        <f>SUM(D15:I15)</f>
        <v>254</v>
      </c>
      <c r="K15" s="92">
        <f>J15/$F$2</f>
        <v>0.50800000000000001</v>
      </c>
      <c r="L15" s="92" t="str">
        <f>IF(K15&gt;=50%,"Pass","Fail")</f>
        <v>Pass</v>
      </c>
      <c r="M15" s="92" t="str" cm="1">
        <f t="array" ref="M15">_xlfn.IFS(K15&gt;=95%,"A+", K15&gt;=90%,"A", K15&gt;=85%,"A-", K15&gt;=80%,"B+", K15&gt;=75%,"B", K15&gt;=70%,"B-", K15&gt;=65%,"C+", K15&gt;=60%,"C", K15&gt;=55%,"C-", K15&gt;=50%,"PN", TRUE,"F")</f>
        <v>PN</v>
      </c>
      <c r="N15" s="92" t="str" cm="1">
        <f t="array" ref="N15">_xlfn.SWITCH(TRUE, K15&gt;=95%, "A+", K15&gt;=90%, "A", K15&gt;=85%, "A-", K15&gt;=80%, "B+", K15&gt;=75%, "B", K15&gt;=70%, "B-", K15&gt;=65%, "C+", K15&gt;=60%, "C", K15&gt;=55%, "C-", K15&gt;=50%, "PN", "F")</f>
        <v>PN</v>
      </c>
      <c r="O15" s="98" t="str" cm="1">
        <f t="array" ref="O15">_xlfn.IFS(K15&gt;=90%, 4, K15&gt;=85%, 3.67, K15&gt;=80%, 3.33, K15&gt;=75%, 3, K15&gt;=70%, 2.67, K15&gt;=65%, 2.33, K15&gt;=60%, 2, K15&gt;=55%, 1.67, K15&gt;=50%, "-", TRUE, 0)</f>
        <v>-</v>
      </c>
      <c r="P15" s="98" t="str" cm="1">
        <f t="array" ref="P15">_xlfn.SWITCH(M15, "A+", "Outstanding", "A", "Excellent", "A-", "Very Good", "B+", "Good", "B", "Fair", "B-", "Average", "C+", "Below Average", "C", "Satisfactory", "C-", "Pass", "PN", "Passed Non-credit", "Fail")</f>
        <v>Passed Non-credit</v>
      </c>
      <c r="Q15" s="92" t="str" cm="1">
        <f t="array" ref="Q15">_xlfn.IFS(K15&gt;=95%, "Outstanding", K15&gt;=90%, "Excellent", K15&gt;=85%, "Very Good", K15&gt;=80%, "Good", K15&gt;=75%, "Fair", K15&gt;=70%, "Average", K15&gt;=65%, "Below Average", K15&gt;=60%, "Satisfactory", K15&gt;=55%, "Pass", K15&gt;=50%, "Passed Non-credit", TRUE, "Fail")</f>
        <v>Passed Non-credit</v>
      </c>
    </row>
    <row r="16" spans="2:22" x14ac:dyDescent="0.25">
      <c r="B16" s="106">
        <v>13</v>
      </c>
      <c r="C16" s="66" t="s">
        <v>551</v>
      </c>
      <c r="D16" s="66">
        <v>48</v>
      </c>
      <c r="E16" s="66">
        <v>26</v>
      </c>
      <c r="F16" s="66">
        <v>40</v>
      </c>
      <c r="G16" s="66">
        <v>73</v>
      </c>
      <c r="H16" s="66">
        <v>52</v>
      </c>
      <c r="I16" s="66">
        <v>52</v>
      </c>
      <c r="J16" s="66">
        <f>SUM(D16:I16)</f>
        <v>291</v>
      </c>
      <c r="K16" s="92">
        <f>J16/$F$2</f>
        <v>0.58199999999999996</v>
      </c>
      <c r="L16" s="92" t="str">
        <f>IF(K16&gt;=50%,"Pass","Fail")</f>
        <v>Pass</v>
      </c>
      <c r="M16" s="92" t="str" cm="1">
        <f t="array" ref="M16">_xlfn.IFS(K16&gt;=95%,"A+", K16&gt;=90%,"A", K16&gt;=85%,"A-", K16&gt;=80%,"B+", K16&gt;=75%,"B", K16&gt;=70%,"B-", K16&gt;=65%,"C+", K16&gt;=60%,"C", K16&gt;=55%,"C-", K16&gt;=50%,"PN", TRUE,"F")</f>
        <v>C-</v>
      </c>
      <c r="N16" s="92" t="str" cm="1">
        <f t="array" ref="N16">_xlfn.SWITCH(TRUE, K16&gt;=95%, "A+", K16&gt;=90%, "A", K16&gt;=85%, "A-", K16&gt;=80%, "B+", K16&gt;=75%, "B", K16&gt;=70%, "B-", K16&gt;=65%, "C+", K16&gt;=60%, "C", K16&gt;=55%, "C-", K16&gt;=50%, "PN", "F")</f>
        <v>C-</v>
      </c>
      <c r="O16" s="98" cm="1">
        <f t="array" ref="O16">_xlfn.IFS(K16&gt;=90%, 4, K16&gt;=85%, 3.67, K16&gt;=80%, 3.33, K16&gt;=75%, 3, K16&gt;=70%, 2.67, K16&gt;=65%, 2.33, K16&gt;=60%, 2, K16&gt;=55%, 1.67, K16&gt;=50%, "-", TRUE, 0)</f>
        <v>1.67</v>
      </c>
      <c r="P16" s="98" t="str" cm="1">
        <f t="array" ref="P16">_xlfn.SWITCH(M16, "A+", "Outstanding", "A", "Excellent", "A-", "Very Good", "B+", "Good", "B", "Fair", "B-", "Average", "C+", "Below Average", "C", "Satisfactory", "C-", "Pass", "PN", "Passed Non-credit", "Fail")</f>
        <v>Pass</v>
      </c>
      <c r="Q16" s="92" t="str" cm="1">
        <f t="array" ref="Q16">_xlfn.IFS(K16&gt;=95%, "Outstanding", K16&gt;=90%, "Excellent", K16&gt;=85%, "Very Good", K16&gt;=80%, "Good", K16&gt;=75%, "Fair", K16&gt;=70%, "Average", K16&gt;=65%, "Below Average", K16&gt;=60%, "Satisfactory", K16&gt;=55%, "Pass", K16&gt;=50%, "Passed Non-credit", TRUE, "Fail")</f>
        <v>Pass</v>
      </c>
    </row>
    <row r="17" spans="2:17" x14ac:dyDescent="0.25">
      <c r="B17" s="106">
        <v>14</v>
      </c>
      <c r="C17" s="66" t="s">
        <v>486</v>
      </c>
      <c r="D17" s="66">
        <v>40</v>
      </c>
      <c r="E17" s="66">
        <v>77</v>
      </c>
      <c r="F17" s="66">
        <v>69</v>
      </c>
      <c r="G17" s="66">
        <v>62</v>
      </c>
      <c r="H17" s="66">
        <v>40</v>
      </c>
      <c r="I17" s="66">
        <v>40</v>
      </c>
      <c r="J17" s="66">
        <f>SUM(D17:I17)</f>
        <v>328</v>
      </c>
      <c r="K17" s="92">
        <f>J17/$F$2</f>
        <v>0.65600000000000003</v>
      </c>
      <c r="L17" s="92" t="str">
        <f>IF(K17&gt;=50%,"Pass","Fail")</f>
        <v>Pass</v>
      </c>
      <c r="M17" s="92" t="str" cm="1">
        <f t="array" ref="M17">_xlfn.IFS(K17&gt;=95%,"A+", K17&gt;=90%,"A", K17&gt;=85%,"A-", K17&gt;=80%,"B+", K17&gt;=75%,"B", K17&gt;=70%,"B-", K17&gt;=65%,"C+", K17&gt;=60%,"C", K17&gt;=55%,"C-", K17&gt;=50%,"PN", TRUE,"F")</f>
        <v>C+</v>
      </c>
      <c r="N17" s="92" t="str" cm="1">
        <f t="array" ref="N17">_xlfn.SWITCH(TRUE, K17&gt;=95%, "A+", K17&gt;=90%, "A", K17&gt;=85%, "A-", K17&gt;=80%, "B+", K17&gt;=75%, "B", K17&gt;=70%, "B-", K17&gt;=65%, "C+", K17&gt;=60%, "C", K17&gt;=55%, "C-", K17&gt;=50%, "PN", "F")</f>
        <v>C+</v>
      </c>
      <c r="O17" s="98" cm="1">
        <f t="array" ref="O17">_xlfn.IFS(K17&gt;=90%, 4, K17&gt;=85%, 3.67, K17&gt;=80%, 3.33, K17&gt;=75%, 3, K17&gt;=70%, 2.67, K17&gt;=65%, 2.33, K17&gt;=60%, 2, K17&gt;=55%, 1.67, K17&gt;=50%, "-", TRUE, 0)</f>
        <v>2.33</v>
      </c>
      <c r="P17" s="98" t="str" cm="1">
        <f t="array" ref="P17">_xlfn.SWITCH(M17, "A+", "Outstanding", "A", "Excellent", "A-", "Very Good", "B+", "Good", "B", "Fair", "B-", "Average", "C+", "Below Average", "C", "Satisfactory", "C-", "Pass", "PN", "Passed Non-credit", "Fail")</f>
        <v>Below Average</v>
      </c>
      <c r="Q17" s="92" t="str" cm="1">
        <f t="array" ref="Q17">_xlfn.IFS(K17&gt;=95%, "Outstanding", K17&gt;=90%, "Excellent", K17&gt;=85%, "Very Good", K17&gt;=80%, "Good", K17&gt;=75%, "Fair", K17&gt;=70%, "Average", K17&gt;=65%, "Below Average", K17&gt;=60%, "Satisfactory", K17&gt;=55%, "Pass", K17&gt;=50%, "Passed Non-credit", TRUE, "Fail")</f>
        <v>Below Average</v>
      </c>
    </row>
    <row r="18" spans="2:17" x14ac:dyDescent="0.25">
      <c r="B18" s="106">
        <v>15</v>
      </c>
      <c r="C18" s="66" t="s">
        <v>487</v>
      </c>
      <c r="D18" s="66">
        <v>52</v>
      </c>
      <c r="E18" s="66">
        <v>81</v>
      </c>
      <c r="F18" s="66">
        <v>29</v>
      </c>
      <c r="G18" s="66">
        <v>37</v>
      </c>
      <c r="H18" s="66">
        <v>10</v>
      </c>
      <c r="I18" s="66">
        <v>10</v>
      </c>
      <c r="J18" s="66">
        <f>SUM(D18:I18)</f>
        <v>219</v>
      </c>
      <c r="K18" s="92">
        <f>J18/$F$2</f>
        <v>0.438</v>
      </c>
      <c r="L18" s="92" t="str">
        <f>IF(K18&gt;=50%,"Pass","Fail")</f>
        <v>Fail</v>
      </c>
      <c r="M18" s="92" t="str" cm="1">
        <f t="array" ref="M18">_xlfn.IFS(K18&gt;=95%,"A+", K18&gt;=90%,"A", K18&gt;=85%,"A-", K18&gt;=80%,"B+", K18&gt;=75%,"B", K18&gt;=70%,"B-", K18&gt;=65%,"C+", K18&gt;=60%,"C", K18&gt;=55%,"C-", K18&gt;=50%,"PN", TRUE,"F")</f>
        <v>F</v>
      </c>
      <c r="N18" s="92" t="str" cm="1">
        <f t="array" ref="N18">_xlfn.SWITCH(TRUE, K18&gt;=95%, "A+", K18&gt;=90%, "A", K18&gt;=85%, "A-", K18&gt;=80%, "B+", K18&gt;=75%, "B", K18&gt;=70%, "B-", K18&gt;=65%, "C+", K18&gt;=60%, "C", K18&gt;=55%, "C-", K18&gt;=50%, "PN", "F")</f>
        <v>F</v>
      </c>
      <c r="O18" s="98" cm="1">
        <f t="array" ref="O18">_xlfn.IFS(K18&gt;=90%, 4, K18&gt;=85%, 3.67, K18&gt;=80%, 3.33, K18&gt;=75%, 3, K18&gt;=70%, 2.67, K18&gt;=65%, 2.33, K18&gt;=60%, 2, K18&gt;=55%, 1.67, K18&gt;=50%, "-", TRUE, 0)</f>
        <v>0</v>
      </c>
      <c r="P18" s="98" t="str" cm="1">
        <f t="array" ref="P18">_xlfn.SWITCH(M18, "A+", "Outstanding", "A", "Excellent", "A-", "Very Good", "B+", "Good", "B", "Fair", "B-", "Average", "C+", "Below Average", "C", "Satisfactory", "C-", "Pass", "PN", "Passed Non-credit", "Fail")</f>
        <v>Fail</v>
      </c>
      <c r="Q18" s="92" t="str" cm="1">
        <f t="array" ref="Q18">_xlfn.IFS(K18&gt;=95%, "Outstanding", K18&gt;=90%, "Excellent", K18&gt;=85%, "Very Good", K18&gt;=80%, "Good", K18&gt;=75%, "Fair", K18&gt;=70%, "Average", K18&gt;=65%, "Below Average", K18&gt;=60%, "Satisfactory", K18&gt;=55%, "Pass", K18&gt;=50%, "Passed Non-credit", TRUE, "Fail")</f>
        <v>Fail</v>
      </c>
    </row>
    <row r="23" spans="2:17" x14ac:dyDescent="0.25">
      <c r="B23" s="104" t="s">
        <v>901</v>
      </c>
      <c r="C23" s="94" t="s">
        <v>1157</v>
      </c>
      <c r="D23" s="94" t="s">
        <v>45</v>
      </c>
      <c r="E23" s="94" t="s">
        <v>1158</v>
      </c>
      <c r="F23" s="94" t="s">
        <v>1159</v>
      </c>
      <c r="G23" s="94" t="s">
        <v>1085</v>
      </c>
      <c r="H23" s="94" t="s">
        <v>1089</v>
      </c>
      <c r="I23" s="94" t="s">
        <v>1160</v>
      </c>
    </row>
    <row r="24" spans="2:17" x14ac:dyDescent="0.25">
      <c r="B24" s="106">
        <v>1</v>
      </c>
      <c r="C24" s="66" t="s">
        <v>473</v>
      </c>
      <c r="D24" s="66">
        <v>46829</v>
      </c>
      <c r="E24" s="135">
        <f>IF(D24&gt;=70000,5,IF(D24&gt;=60000,4,IF(D24&gt;=50000,3,IF(D24&gt;=40000,2,1))))</f>
        <v>2</v>
      </c>
      <c r="F24" s="66" t="str">
        <f>IF(AND(D24&gt;=50000,E24&gt;=3),"Bonus Eligible","No Bonus")</f>
        <v>No Bonus</v>
      </c>
      <c r="G24" s="66" t="b">
        <f>AND(D24&gt;=50000,E24&gt;=3)</f>
        <v>0</v>
      </c>
      <c r="H24" s="66" t="b">
        <f>OR(D24&gt;=50000,E24&gt;=3)</f>
        <v>0</v>
      </c>
      <c r="I24" s="66" t="str">
        <f>IF(OR(D24&gt;=50000,E24&gt;=3),"Bonus Eligible","No Bonus")</f>
        <v>No Bonus</v>
      </c>
      <c r="Q24" t="s">
        <v>1199</v>
      </c>
    </row>
    <row r="25" spans="2:17" x14ac:dyDescent="0.25">
      <c r="B25" s="106">
        <v>2</v>
      </c>
      <c r="C25" s="66" t="s">
        <v>474</v>
      </c>
      <c r="D25" s="66">
        <v>52917</v>
      </c>
      <c r="E25" s="135">
        <f>IF(D25&gt;=70000,5,IF(D25&gt;=60000,4,IF(D25&gt;=50000,3,IF(D25&gt;=40000,2,1))))</f>
        <v>3</v>
      </c>
      <c r="F25" s="66" t="str">
        <f>IF(AND(D25&gt;=50000,E25&gt;=3),"Bonus Eligible","No Bonus")</f>
        <v>Bonus Eligible</v>
      </c>
      <c r="G25" s="66" t="b">
        <f>AND(D25&gt;=50000,E25&gt;=3)</f>
        <v>1</v>
      </c>
      <c r="H25" s="66" t="b">
        <f>OR(D25&gt;=50000,E25&gt;=3)</f>
        <v>1</v>
      </c>
      <c r="I25" s="66" t="str">
        <f>IF(OR(D25&gt;=50000,E25&gt;=3),"Bonus Eligible","No Bonus")</f>
        <v>Bonus Eligible</v>
      </c>
    </row>
    <row r="26" spans="2:17" x14ac:dyDescent="0.25">
      <c r="B26" s="106">
        <v>3</v>
      </c>
      <c r="C26" s="66" t="s">
        <v>475</v>
      </c>
      <c r="D26" s="66">
        <v>66037</v>
      </c>
      <c r="E26" s="135">
        <f>IF(D26&gt;=70000,5,IF(D26&gt;=60000,4,IF(D26&gt;=50000,3,IF(D26&gt;=40000,2,1))))</f>
        <v>4</v>
      </c>
      <c r="F26" s="66" t="str">
        <f>IF(AND(D26&gt;=50000,E26&gt;=3),"Bonus Eligible","No Bonus")</f>
        <v>Bonus Eligible</v>
      </c>
      <c r="G26" s="66" t="b">
        <f>AND(D26&gt;=50000,E26&gt;=3)</f>
        <v>1</v>
      </c>
      <c r="H26" s="66" t="b">
        <f>OR(D26&gt;=50000,E26&gt;=3)</f>
        <v>1</v>
      </c>
      <c r="I26" s="66" t="str">
        <f>IF(OR(D26&gt;=50000,E26&gt;=3),"Bonus Eligible","No Bonus")</f>
        <v>Bonus Eligible</v>
      </c>
    </row>
    <row r="27" spans="2:17" x14ac:dyDescent="0.25">
      <c r="B27" s="106">
        <v>4</v>
      </c>
      <c r="C27" s="66" t="s">
        <v>476</v>
      </c>
      <c r="D27" s="66">
        <v>51623</v>
      </c>
      <c r="E27" s="135">
        <f>IF(D27&gt;=70000,5,IF(D27&gt;=60000,4,IF(D27&gt;=50000,3,IF(D27&gt;=40000,2,1))))</f>
        <v>3</v>
      </c>
      <c r="F27" s="66" t="str">
        <f>IF(AND(D27&gt;=50000,E27&gt;=3),"Bonus Eligible","No Bonus")</f>
        <v>Bonus Eligible</v>
      </c>
      <c r="G27" s="66" t="b">
        <f>AND(D27&gt;=50000,E27&gt;=3)</f>
        <v>1</v>
      </c>
      <c r="H27" s="66" t="b">
        <f>OR(D27&gt;=50000,E27&gt;=3)</f>
        <v>1</v>
      </c>
      <c r="I27" s="66" t="str">
        <f>IF(OR(D27&gt;=50000,E27&gt;=3),"Bonus Eligible","No Bonus")</f>
        <v>Bonus Eligible</v>
      </c>
    </row>
    <row r="28" spans="2:17" x14ac:dyDescent="0.25">
      <c r="B28" s="106">
        <v>5</v>
      </c>
      <c r="C28" s="66" t="s">
        <v>477</v>
      </c>
      <c r="D28" s="66">
        <v>58370</v>
      </c>
      <c r="E28" s="135">
        <f>IF(D28&gt;=70000,5,IF(D28&gt;=60000,4,IF(D28&gt;=50000,3,IF(D28&gt;=40000,2,1))))</f>
        <v>3</v>
      </c>
      <c r="F28" s="66" t="str">
        <f>IF(AND(D28&gt;=50000,E28&gt;=3),"Bonus Eligible","No Bonus")</f>
        <v>Bonus Eligible</v>
      </c>
      <c r="G28" s="66" t="b">
        <f>AND(D28&gt;=50000,E28&gt;=3)</f>
        <v>1</v>
      </c>
      <c r="H28" s="66" t="b">
        <f>OR(D28&gt;=50000,E28&gt;=3)</f>
        <v>1</v>
      </c>
      <c r="I28" s="66" t="str">
        <f>IF(OR(D28&gt;=50000,E28&gt;=3),"Bonus Eligible","No Bonus")</f>
        <v>Bonus Eligible</v>
      </c>
    </row>
    <row r="29" spans="2:17" x14ac:dyDescent="0.25">
      <c r="B29" s="106">
        <v>6</v>
      </c>
      <c r="C29" s="66" t="s">
        <v>478</v>
      </c>
      <c r="D29" s="66">
        <v>48375</v>
      </c>
      <c r="E29" s="135">
        <f>IF(D29&gt;=70000,5,IF(D29&gt;=60000,4,IF(D29&gt;=50000,3,IF(D29&gt;=40000,2,1))))</f>
        <v>2</v>
      </c>
      <c r="F29" s="66" t="str">
        <f>IF(AND(D29&gt;=50000,E29&gt;=3),"Bonus Eligible","No Bonus")</f>
        <v>No Bonus</v>
      </c>
      <c r="G29" s="66" t="b">
        <f>AND(D29&gt;=50000,E29&gt;=3)</f>
        <v>0</v>
      </c>
      <c r="H29" s="66" t="b">
        <f>OR(D29&gt;=50000,E29&gt;=3)</f>
        <v>0</v>
      </c>
      <c r="I29" s="66" t="str">
        <f>IF(OR(D29&gt;=50000,E29&gt;=3),"Bonus Eligible","No Bonus")</f>
        <v>No Bonus</v>
      </c>
    </row>
    <row r="30" spans="2:17" x14ac:dyDescent="0.25">
      <c r="B30" s="106">
        <v>7</v>
      </c>
      <c r="C30" s="66" t="s">
        <v>479</v>
      </c>
      <c r="D30" s="66">
        <v>65352</v>
      </c>
      <c r="E30" s="135">
        <f>IF(D30&gt;=70000,5,IF(D30&gt;=60000,4,IF(D30&gt;=50000,3,IF(D30&gt;=40000,2,1))))</f>
        <v>4</v>
      </c>
      <c r="F30" s="66" t="str">
        <f>IF(AND(D30&gt;=50000,E30&gt;=3),"Bonus Eligible","No Bonus")</f>
        <v>Bonus Eligible</v>
      </c>
      <c r="G30" s="66" t="b">
        <f>AND(D30&gt;=50000,E30&gt;=3)</f>
        <v>1</v>
      </c>
      <c r="H30" s="66" t="b">
        <f>OR(D30&gt;=50000,E30&gt;=3)</f>
        <v>1</v>
      </c>
      <c r="I30" s="66" t="str">
        <f>IF(OR(D30&gt;=50000,E30&gt;=3),"Bonus Eligible","No Bonus")</f>
        <v>Bonus Eligible</v>
      </c>
    </row>
    <row r="31" spans="2:17" x14ac:dyDescent="0.25">
      <c r="B31" s="106">
        <v>8</v>
      </c>
      <c r="C31" s="66" t="s">
        <v>549</v>
      </c>
      <c r="D31" s="66">
        <v>69904</v>
      </c>
      <c r="E31" s="135">
        <f>IF(D31&gt;=70000,5,IF(D31&gt;=60000,4,IF(D31&gt;=50000,3,IF(D31&gt;=40000,2,1))))</f>
        <v>4</v>
      </c>
      <c r="F31" s="66" t="str">
        <f>IF(AND(D31&gt;=50000,E31&gt;=3),"Bonus Eligible","No Bonus")</f>
        <v>Bonus Eligible</v>
      </c>
      <c r="G31" s="66" t="b">
        <f>AND(D31&gt;=50000,E31&gt;=3)</f>
        <v>1</v>
      </c>
      <c r="H31" s="66" t="b">
        <f>OR(D31&gt;=50000,E31&gt;=3)</f>
        <v>1</v>
      </c>
      <c r="I31" s="66" t="str">
        <f>IF(OR(D31&gt;=50000,E31&gt;=3),"Bonus Eligible","No Bonus")</f>
        <v>Bonus Eligible</v>
      </c>
    </row>
    <row r="32" spans="2:17" x14ac:dyDescent="0.25">
      <c r="B32" s="106">
        <v>9</v>
      </c>
      <c r="C32" s="66" t="s">
        <v>481</v>
      </c>
      <c r="D32" s="66">
        <v>76618</v>
      </c>
      <c r="E32" s="135">
        <f>IF(D32&gt;=70000,5,IF(D32&gt;=60000,4,IF(D32&gt;=50000,3,IF(D32&gt;=40000,2,1))))</f>
        <v>5</v>
      </c>
      <c r="F32" s="66" t="str">
        <f>IF(AND(D32&gt;=50000,E32&gt;=3),"Bonus Eligible","No Bonus")</f>
        <v>Bonus Eligible</v>
      </c>
      <c r="G32" s="66" t="b">
        <f>AND(D32&gt;=50000,E32&gt;=3)</f>
        <v>1</v>
      </c>
      <c r="H32" s="66" t="b">
        <f>OR(D32&gt;=50000,E32&gt;=3)</f>
        <v>1</v>
      </c>
      <c r="I32" s="66" t="str">
        <f>IF(OR(D32&gt;=50000,E32&gt;=3),"Bonus Eligible","No Bonus")</f>
        <v>Bonus Eligible</v>
      </c>
    </row>
    <row r="33" spans="2:9" x14ac:dyDescent="0.25">
      <c r="B33" s="106">
        <v>10</v>
      </c>
      <c r="C33" s="66" t="s">
        <v>482</v>
      </c>
      <c r="D33" s="66">
        <v>65398</v>
      </c>
      <c r="E33" s="135">
        <f>IF(D33&gt;=70000,5,IF(D33&gt;=60000,4,IF(D33&gt;=50000,3,IF(D33&gt;=40000,2,1))))</f>
        <v>4</v>
      </c>
      <c r="F33" s="66" t="str">
        <f>IF(AND(D33&gt;=50000,E33&gt;=3),"Bonus Eligible","No Bonus")</f>
        <v>Bonus Eligible</v>
      </c>
      <c r="G33" s="66" t="b">
        <f>AND(D33&gt;=50000,E33&gt;=3)</f>
        <v>1</v>
      </c>
      <c r="H33" s="66" t="b">
        <f>OR(D33&gt;=50000,E33&gt;=3)</f>
        <v>1</v>
      </c>
      <c r="I33" s="66" t="str">
        <f>IF(OR(D33&gt;=50000,E33&gt;=3),"Bonus Eligible","No Bonus")</f>
        <v>Bonus Eligible</v>
      </c>
    </row>
    <row r="34" spans="2:9" x14ac:dyDescent="0.25">
      <c r="B34" s="106">
        <v>11</v>
      </c>
      <c r="C34" s="66" t="s">
        <v>550</v>
      </c>
      <c r="D34" s="66">
        <v>73129</v>
      </c>
      <c r="E34" s="135">
        <f>IF(D34&gt;=70000,5,IF(D34&gt;=60000,4,IF(D34&gt;=50000,3,IF(D34&gt;=40000,2,1))))</f>
        <v>5</v>
      </c>
      <c r="F34" s="66" t="str">
        <f>IF(AND(D34&gt;=50000,E34&gt;=3),"Bonus Eligible","No Bonus")</f>
        <v>Bonus Eligible</v>
      </c>
      <c r="G34" s="66" t="b">
        <f>AND(D34&gt;=50000,E34&gt;=3)</f>
        <v>1</v>
      </c>
      <c r="H34" s="66" t="b">
        <f>OR(D34&gt;=50000,E34&gt;=3)</f>
        <v>1</v>
      </c>
      <c r="I34" s="66" t="str">
        <f>IF(OR(D34&gt;=50000,E34&gt;=3),"Bonus Eligible","No Bonus")</f>
        <v>Bonus Eligible</v>
      </c>
    </row>
    <row r="35" spans="2:9" x14ac:dyDescent="0.25">
      <c r="B35" s="106">
        <v>12</v>
      </c>
      <c r="C35" s="66" t="s">
        <v>484</v>
      </c>
      <c r="D35" s="66">
        <v>45692</v>
      </c>
      <c r="E35" s="135">
        <f>IF(D35&gt;=70000,5,IF(D35&gt;=60000,4,IF(D35&gt;=50000,3,IF(D35&gt;=40000,2,1))))</f>
        <v>2</v>
      </c>
      <c r="F35" s="66" t="str">
        <f>IF(AND(D35&gt;=50000,E35&gt;=3),"Bonus Eligible","No Bonus")</f>
        <v>No Bonus</v>
      </c>
      <c r="G35" s="66" t="b">
        <f>AND(D35&gt;=50000,E35&gt;=3)</f>
        <v>0</v>
      </c>
      <c r="H35" s="66" t="b">
        <f>OR(D35&gt;=50000,E35&gt;=3)</f>
        <v>0</v>
      </c>
      <c r="I35" s="66" t="str">
        <f>IF(OR(D35&gt;=50000,E35&gt;=3),"Bonus Eligible","No Bonus")</f>
        <v>No Bonus</v>
      </c>
    </row>
    <row r="36" spans="2:9" x14ac:dyDescent="0.25">
      <c r="B36" s="106">
        <v>13</v>
      </c>
      <c r="C36" s="66" t="s">
        <v>551</v>
      </c>
      <c r="D36" s="66">
        <v>64141</v>
      </c>
      <c r="E36" s="135">
        <f>IF(D36&gt;=70000,5,IF(D36&gt;=60000,4,IF(D36&gt;=50000,3,IF(D36&gt;=40000,2,1))))</f>
        <v>4</v>
      </c>
      <c r="F36" s="66" t="str">
        <f>IF(AND(D36&gt;=50000,E36&gt;=3),"Bonus Eligible","No Bonus")</f>
        <v>Bonus Eligible</v>
      </c>
      <c r="G36" s="66" t="b">
        <f>AND(D36&gt;=50000,E36&gt;=3)</f>
        <v>1</v>
      </c>
      <c r="H36" s="66" t="b">
        <f>OR(D36&gt;=50000,E36&gt;=3)</f>
        <v>1</v>
      </c>
      <c r="I36" s="66" t="str">
        <f>IF(OR(D36&gt;=50000,E36&gt;=3),"Bonus Eligible","No Bonus")</f>
        <v>Bonus Eligible</v>
      </c>
    </row>
    <row r="37" spans="2:9" x14ac:dyDescent="0.25">
      <c r="B37" s="106">
        <v>14</v>
      </c>
      <c r="C37" s="66" t="s">
        <v>486</v>
      </c>
      <c r="D37" s="66">
        <v>60639</v>
      </c>
      <c r="E37" s="135">
        <f>IF(D37&gt;=70000,5,IF(D37&gt;=60000,4,IF(D37&gt;=50000,3,IF(D37&gt;=40000,2,1))))</f>
        <v>4</v>
      </c>
      <c r="F37" s="66" t="str">
        <f>IF(AND(D37&gt;=50000,E37&gt;=3),"Bonus Eligible","No Bonus")</f>
        <v>Bonus Eligible</v>
      </c>
      <c r="G37" s="66" t="b">
        <f>AND(D37&gt;=50000,E37&gt;=3)</f>
        <v>1</v>
      </c>
      <c r="H37" s="66" t="b">
        <f>OR(D37&gt;=50000,E37&gt;=3)</f>
        <v>1</v>
      </c>
      <c r="I37" s="66" t="str">
        <f>IF(OR(D37&gt;=50000,E37&gt;=3),"Bonus Eligible","No Bonus")</f>
        <v>Bonus Eligible</v>
      </c>
    </row>
    <row r="38" spans="2:9" x14ac:dyDescent="0.25">
      <c r="B38" s="106">
        <v>15</v>
      </c>
      <c r="C38" s="66" t="s">
        <v>487</v>
      </c>
      <c r="D38" s="66">
        <v>24501</v>
      </c>
      <c r="E38" s="135">
        <f>IF(D38&gt;=70000,5,IF(D38&gt;=60000,4,IF(D38&gt;=50000,3,IF(D38&gt;=40000,2,1))))</f>
        <v>1</v>
      </c>
      <c r="F38" s="66" t="str">
        <f>IF(AND(D38&gt;=50000,E38&gt;=3),"Bonus Eligible","No Bonus")</f>
        <v>No Bonus</v>
      </c>
      <c r="G38" s="66" t="b">
        <f>AND(D38&gt;=50000,E38&gt;=3)</f>
        <v>0</v>
      </c>
      <c r="H38" s="66" t="b">
        <f>OR(D38&gt;=50000,E38&gt;=3)</f>
        <v>0</v>
      </c>
      <c r="I38" s="66" t="str">
        <f>IF(OR(D38&gt;=50000,E38&gt;=3),"Bonus Eligible","No Bonus")</f>
        <v>No Bonus</v>
      </c>
    </row>
  </sheetData>
  <mergeCells count="2">
    <mergeCell ref="B2:E2"/>
    <mergeCell ref="F2:K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538B-45BA-4134-B711-86262F8C7DBA}">
  <sheetPr codeName="Sheet17"/>
  <dimension ref="B2:M104"/>
  <sheetViews>
    <sheetView tabSelected="1" topLeftCell="A34" workbookViewId="0">
      <selection activeCell="O58" sqref="O58"/>
    </sheetView>
  </sheetViews>
  <sheetFormatPr defaultRowHeight="15" x14ac:dyDescent="0.25"/>
  <cols>
    <col min="2" max="2" width="26" bestFit="1" customWidth="1"/>
    <col min="3" max="3" width="12.140625" customWidth="1"/>
    <col min="5" max="5" width="9.85546875" customWidth="1"/>
    <col min="6" max="6" width="29.5703125" customWidth="1"/>
    <col min="7" max="11" width="11.85546875" customWidth="1"/>
    <col min="12" max="13" width="13.7109375" customWidth="1"/>
  </cols>
  <sheetData>
    <row r="2" spans="2:8" ht="15.75" thickBot="1" x14ac:dyDescent="0.3"/>
    <row r="3" spans="2:8" x14ac:dyDescent="0.25">
      <c r="B3" s="164" t="s">
        <v>1214</v>
      </c>
      <c r="C3" s="165" t="s">
        <v>45</v>
      </c>
      <c r="E3" s="169" t="s">
        <v>1214</v>
      </c>
      <c r="F3" s="170" t="s">
        <v>1215</v>
      </c>
      <c r="G3" s="170" t="s">
        <v>1216</v>
      </c>
      <c r="H3" s="171" t="s">
        <v>1217</v>
      </c>
    </row>
    <row r="4" spans="2:8" x14ac:dyDescent="0.25">
      <c r="B4" s="166" t="s">
        <v>1218</v>
      </c>
      <c r="C4" s="180">
        <v>24750</v>
      </c>
      <c r="E4" s="166" t="s">
        <v>1218</v>
      </c>
      <c r="F4" s="172">
        <f>SUMIF($B$4:$B$103,$E4,$C$4:$C$103)</f>
        <v>296726</v>
      </c>
      <c r="G4" s="179">
        <f>AVERAGEIF($B$4:$B$103,E4,$C$4:$C$103)</f>
        <v>29672.6</v>
      </c>
      <c r="H4" s="167">
        <f>COUNTIF($B$4:$B$103,E4)</f>
        <v>10</v>
      </c>
    </row>
    <row r="5" spans="2:8" x14ac:dyDescent="0.25">
      <c r="B5" s="166" t="s">
        <v>1219</v>
      </c>
      <c r="C5" s="167">
        <v>43891</v>
      </c>
      <c r="E5" s="166" t="s">
        <v>1219</v>
      </c>
      <c r="F5" s="172">
        <f>SUMIF($B$4:$B$103,$E5,$C$4:$C$103)</f>
        <v>450428</v>
      </c>
      <c r="G5" s="179">
        <f>AVERAGEIF($B$4:$B$103,E5,$C$4:$C$103)</f>
        <v>34648.307692307695</v>
      </c>
      <c r="H5" s="167">
        <f>COUNTIF($B$4:$B$103,E5)</f>
        <v>13</v>
      </c>
    </row>
    <row r="6" spans="2:8" x14ac:dyDescent="0.25">
      <c r="B6" s="166" t="s">
        <v>1220</v>
      </c>
      <c r="C6" s="167">
        <v>36623</v>
      </c>
      <c r="E6" s="166" t="s">
        <v>1220</v>
      </c>
      <c r="F6" s="172">
        <f>SUMIF($B$4:$B$103,$E6,$C$4:$C$103)</f>
        <v>288131</v>
      </c>
      <c r="G6" s="179">
        <f>AVERAGEIF($B$4:$B$103,E6,$C$4:$C$103)</f>
        <v>28813.1</v>
      </c>
      <c r="H6" s="167">
        <f>COUNTIF($B$4:$B$103,E6)</f>
        <v>10</v>
      </c>
    </row>
    <row r="7" spans="2:8" x14ac:dyDescent="0.25">
      <c r="B7" s="166" t="s">
        <v>1221</v>
      </c>
      <c r="C7" s="167">
        <v>33686</v>
      </c>
      <c r="E7" s="166" t="s">
        <v>1221</v>
      </c>
      <c r="F7" s="172">
        <f>SUMIF($B$4:$B$103,$E7,$C$4:$C$103)</f>
        <v>391584</v>
      </c>
      <c r="G7" s="179">
        <f>AVERAGEIF($B$4:$B$103,E7,$C$4:$C$103)</f>
        <v>30121.846153846152</v>
      </c>
      <c r="H7" s="167">
        <f>COUNTIF($B$4:$B$103,E7)</f>
        <v>13</v>
      </c>
    </row>
    <row r="8" spans="2:8" x14ac:dyDescent="0.25">
      <c r="B8" s="166" t="s">
        <v>1222</v>
      </c>
      <c r="C8" s="167">
        <v>37488</v>
      </c>
      <c r="E8" s="166" t="s">
        <v>1222</v>
      </c>
      <c r="F8" s="172">
        <f>SUMIF($B$4:$B$103,$E8,$C$4:$C$103)</f>
        <v>377843</v>
      </c>
      <c r="G8" s="179">
        <f>AVERAGEIF($B$4:$B$103,E8,$C$4:$C$103)</f>
        <v>29064.846153846152</v>
      </c>
      <c r="H8" s="167">
        <f>COUNTIF($B$4:$B$103,E8)</f>
        <v>13</v>
      </c>
    </row>
    <row r="9" spans="2:8" x14ac:dyDescent="0.25">
      <c r="B9" s="166" t="s">
        <v>1223</v>
      </c>
      <c r="C9" s="167">
        <v>21012</v>
      </c>
      <c r="E9" s="166" t="s">
        <v>1223</v>
      </c>
      <c r="F9" s="172">
        <f>SUMIF($B$4:$B$103,$E9,$C$4:$C$103)</f>
        <v>261848</v>
      </c>
      <c r="G9" s="179">
        <f>AVERAGEIF($B$4:$B$103,E9,$C$4:$C$103)</f>
        <v>29094.222222222223</v>
      </c>
      <c r="H9" s="167">
        <f>COUNTIF($B$4:$B$103,E9)</f>
        <v>9</v>
      </c>
    </row>
    <row r="10" spans="2:8" x14ac:dyDescent="0.25">
      <c r="B10" s="166" t="s">
        <v>1224</v>
      </c>
      <c r="C10" s="167">
        <v>34133</v>
      </c>
      <c r="E10" s="166" t="s">
        <v>1224</v>
      </c>
      <c r="F10" s="172">
        <f>SUMIF($B$4:$B$103,$E10,$C$4:$C$103)</f>
        <v>295865</v>
      </c>
      <c r="G10" s="179">
        <f>AVERAGEIF($B$4:$B$103,E10,$C$4:$C$103)</f>
        <v>36983.125</v>
      </c>
      <c r="H10" s="167">
        <f>COUNTIF($B$4:$B$103,E10)</f>
        <v>8</v>
      </c>
    </row>
    <row r="11" spans="2:8" x14ac:dyDescent="0.25">
      <c r="B11" s="166" t="s">
        <v>1225</v>
      </c>
      <c r="C11" s="167">
        <v>25015</v>
      </c>
      <c r="E11" s="166" t="s">
        <v>1225</v>
      </c>
      <c r="F11" s="172">
        <f>SUMIF($B$4:$B$103,$E11,$C$4:$C$103)</f>
        <v>190383</v>
      </c>
      <c r="G11" s="179">
        <f>AVERAGEIF($B$4:$B$103,E11,$C$4:$C$103)</f>
        <v>27197.571428571428</v>
      </c>
      <c r="H11" s="167">
        <f>COUNTIF($B$4:$B$103,E11)</f>
        <v>7</v>
      </c>
    </row>
    <row r="12" spans="2:8" x14ac:dyDescent="0.25">
      <c r="B12" s="166" t="s">
        <v>1226</v>
      </c>
      <c r="C12" s="167">
        <v>24185</v>
      </c>
      <c r="E12" s="166" t="s">
        <v>1226</v>
      </c>
      <c r="F12" s="172">
        <f>SUMIF($B$4:$B$103,$E12,$C$4:$C$103)</f>
        <v>304136</v>
      </c>
      <c r="G12" s="179">
        <f>AVERAGEIF($B$4:$B$103,E12,$C$4:$C$103)</f>
        <v>30413.599999999999</v>
      </c>
      <c r="H12" s="167">
        <f>COUNTIF($B$4:$B$103,E12)</f>
        <v>10</v>
      </c>
    </row>
    <row r="13" spans="2:8" x14ac:dyDescent="0.25">
      <c r="B13" s="166" t="s">
        <v>1227</v>
      </c>
      <c r="C13" s="167">
        <v>27419</v>
      </c>
      <c r="E13" s="166" t="s">
        <v>1227</v>
      </c>
      <c r="F13" s="172">
        <f>SUMIF($B$4:$B$103,$E13,$C$4:$C$103)</f>
        <v>184137</v>
      </c>
      <c r="G13" s="179">
        <f>AVERAGEIF($B$4:$B$103,E13,$C$4:$C$103)</f>
        <v>26305.285714285714</v>
      </c>
      <c r="H13" s="167">
        <f>COUNTIF($B$4:$B$103,E13)</f>
        <v>7</v>
      </c>
    </row>
    <row r="14" spans="2:8" ht="15.75" thickBot="1" x14ac:dyDescent="0.3">
      <c r="B14" s="166" t="s">
        <v>1218</v>
      </c>
      <c r="C14" s="180">
        <v>20989</v>
      </c>
      <c r="E14" s="173" t="s">
        <v>1228</v>
      </c>
      <c r="F14" s="174">
        <f>SUM(F4:F13)</f>
        <v>3041081</v>
      </c>
      <c r="G14" s="174"/>
      <c r="H14" s="175"/>
    </row>
    <row r="15" spans="2:8" x14ac:dyDescent="0.25">
      <c r="B15" s="166" t="s">
        <v>1219</v>
      </c>
      <c r="C15" s="167">
        <v>37327</v>
      </c>
    </row>
    <row r="16" spans="2:8" x14ac:dyDescent="0.25">
      <c r="B16" s="166" t="s">
        <v>1220</v>
      </c>
      <c r="C16" s="167">
        <v>14753</v>
      </c>
    </row>
    <row r="17" spans="2:13" x14ac:dyDescent="0.25">
      <c r="B17" s="166" t="s">
        <v>1221</v>
      </c>
      <c r="C17" s="167">
        <v>16689</v>
      </c>
    </row>
    <row r="18" spans="2:13" x14ac:dyDescent="0.25">
      <c r="B18" s="166" t="s">
        <v>1222</v>
      </c>
      <c r="C18" s="167">
        <v>38507</v>
      </c>
    </row>
    <row r="19" spans="2:13" x14ac:dyDescent="0.25">
      <c r="B19" s="166" t="s">
        <v>1220</v>
      </c>
      <c r="C19" s="167">
        <v>14720</v>
      </c>
    </row>
    <row r="20" spans="2:13" x14ac:dyDescent="0.25">
      <c r="B20" s="166" t="s">
        <v>1221</v>
      </c>
      <c r="C20" s="167">
        <v>38768</v>
      </c>
    </row>
    <row r="21" spans="2:13" x14ac:dyDescent="0.25">
      <c r="B21" s="166" t="s">
        <v>1222</v>
      </c>
      <c r="C21" s="167">
        <v>45280</v>
      </c>
    </row>
    <row r="22" spans="2:13" x14ac:dyDescent="0.25">
      <c r="B22" s="166" t="s">
        <v>1219</v>
      </c>
      <c r="C22" s="167">
        <v>13639</v>
      </c>
    </row>
    <row r="23" spans="2:13" x14ac:dyDescent="0.25">
      <c r="B23" s="166" t="s">
        <v>1222</v>
      </c>
      <c r="C23" s="167">
        <v>28049</v>
      </c>
    </row>
    <row r="24" spans="2:13" x14ac:dyDescent="0.25">
      <c r="B24" s="166" t="s">
        <v>1221</v>
      </c>
      <c r="C24" s="167">
        <v>21144</v>
      </c>
    </row>
    <row r="25" spans="2:13" x14ac:dyDescent="0.25">
      <c r="B25" s="166" t="s">
        <v>1219</v>
      </c>
      <c r="C25" s="167">
        <v>47741</v>
      </c>
    </row>
    <row r="26" spans="2:13" x14ac:dyDescent="0.25">
      <c r="B26" s="166" t="s">
        <v>1219</v>
      </c>
      <c r="C26" s="167">
        <v>39651</v>
      </c>
    </row>
    <row r="27" spans="2:13" ht="15.75" thickBot="1" x14ac:dyDescent="0.3">
      <c r="B27" s="166" t="s">
        <v>1227</v>
      </c>
      <c r="C27" s="167">
        <v>20562</v>
      </c>
    </row>
    <row r="28" spans="2:13" ht="26.1" customHeight="1" x14ac:dyDescent="0.25">
      <c r="B28" s="166" t="s">
        <v>1223</v>
      </c>
      <c r="C28" s="167">
        <v>13753</v>
      </c>
      <c r="E28" s="355" t="s">
        <v>1230</v>
      </c>
      <c r="F28" s="356"/>
      <c r="G28" s="356"/>
      <c r="H28" s="356"/>
      <c r="I28" s="356"/>
      <c r="J28" s="356"/>
      <c r="K28" s="356"/>
      <c r="L28" s="356"/>
      <c r="M28" s="357"/>
    </row>
    <row r="29" spans="2:13" ht="30" customHeight="1" x14ac:dyDescent="0.25">
      <c r="B29" s="166" t="s">
        <v>1222</v>
      </c>
      <c r="C29" s="167">
        <v>18043</v>
      </c>
      <c r="E29" s="358" t="s">
        <v>1231</v>
      </c>
      <c r="F29" s="359" t="s">
        <v>1232</v>
      </c>
      <c r="G29" s="359" t="s">
        <v>1233</v>
      </c>
      <c r="H29" s="359" t="s">
        <v>1234</v>
      </c>
      <c r="I29" s="359" t="s">
        <v>1235</v>
      </c>
      <c r="J29" s="359" t="s">
        <v>1236</v>
      </c>
      <c r="K29" s="359" t="s">
        <v>1237</v>
      </c>
      <c r="L29" s="360" t="s">
        <v>1238</v>
      </c>
      <c r="M29" s="361" t="s">
        <v>1239</v>
      </c>
    </row>
    <row r="30" spans="2:13" ht="21.95" customHeight="1" x14ac:dyDescent="0.25">
      <c r="B30" s="166" t="s">
        <v>1225</v>
      </c>
      <c r="C30" s="167">
        <v>33166</v>
      </c>
      <c r="E30" s="181">
        <v>1</v>
      </c>
      <c r="F30" s="182" t="s">
        <v>1240</v>
      </c>
      <c r="G30" s="362" t="s">
        <v>1249</v>
      </c>
      <c r="H30" s="362" t="s">
        <v>1249</v>
      </c>
      <c r="I30" s="362" t="s">
        <v>1249</v>
      </c>
      <c r="J30" s="362" t="s">
        <v>1249</v>
      </c>
      <c r="K30" s="362" t="s">
        <v>1249</v>
      </c>
      <c r="L30" s="183"/>
      <c r="M30" s="184"/>
    </row>
    <row r="31" spans="2:13" ht="21.95" customHeight="1" x14ac:dyDescent="0.25">
      <c r="B31" s="166" t="s">
        <v>1222</v>
      </c>
      <c r="C31" s="167">
        <v>22240</v>
      </c>
      <c r="E31" s="181">
        <v>2</v>
      </c>
      <c r="F31" s="182" t="s">
        <v>474</v>
      </c>
      <c r="G31" s="362" t="s">
        <v>1249</v>
      </c>
      <c r="H31" s="362" t="s">
        <v>1249</v>
      </c>
      <c r="I31" s="362" t="s">
        <v>1249</v>
      </c>
      <c r="J31" s="362" t="s">
        <v>1249</v>
      </c>
      <c r="K31" s="362" t="s">
        <v>1249</v>
      </c>
      <c r="L31" s="183"/>
      <c r="M31" s="184"/>
    </row>
    <row r="32" spans="2:13" ht="21.95" customHeight="1" x14ac:dyDescent="0.25">
      <c r="B32" s="166" t="s">
        <v>1219</v>
      </c>
      <c r="C32" s="167">
        <v>44876</v>
      </c>
      <c r="E32" s="181">
        <v>3</v>
      </c>
      <c r="F32" s="182" t="s">
        <v>1241</v>
      </c>
      <c r="G32" s="362" t="s">
        <v>1249</v>
      </c>
      <c r="H32" s="362" t="s">
        <v>1249</v>
      </c>
      <c r="I32" s="362" t="s">
        <v>1249</v>
      </c>
      <c r="J32" s="362" t="s">
        <v>1249</v>
      </c>
      <c r="K32" s="362" t="s">
        <v>1249</v>
      </c>
      <c r="L32" s="183"/>
      <c r="M32" s="184"/>
    </row>
    <row r="33" spans="2:13" ht="21.95" customHeight="1" x14ac:dyDescent="0.25">
      <c r="B33" s="166" t="s">
        <v>1218</v>
      </c>
      <c r="C33" s="180">
        <v>14352</v>
      </c>
      <c r="E33" s="181">
        <v>4</v>
      </c>
      <c r="F33" s="182" t="s">
        <v>1242</v>
      </c>
      <c r="G33" s="362" t="s">
        <v>1249</v>
      </c>
      <c r="H33" s="362" t="s">
        <v>1249</v>
      </c>
      <c r="I33" s="362" t="s">
        <v>1249</v>
      </c>
      <c r="J33" s="362" t="s">
        <v>1249</v>
      </c>
      <c r="K33" s="362" t="s">
        <v>1249</v>
      </c>
      <c r="L33" s="183"/>
      <c r="M33" s="184"/>
    </row>
    <row r="34" spans="2:13" ht="21.95" customHeight="1" x14ac:dyDescent="0.25">
      <c r="B34" s="166" t="s">
        <v>1226</v>
      </c>
      <c r="C34" s="167">
        <v>31976</v>
      </c>
      <c r="E34" s="181">
        <v>5</v>
      </c>
      <c r="F34" s="182" t="s">
        <v>1243</v>
      </c>
      <c r="G34" s="362" t="s">
        <v>1249</v>
      </c>
      <c r="H34" s="362" t="s">
        <v>1249</v>
      </c>
      <c r="I34" s="362" t="s">
        <v>1249</v>
      </c>
      <c r="J34" s="362" t="s">
        <v>1249</v>
      </c>
      <c r="K34" s="362" t="s">
        <v>1249</v>
      </c>
      <c r="L34" s="183"/>
      <c r="M34" s="184"/>
    </row>
    <row r="35" spans="2:13" ht="21.95" customHeight="1" x14ac:dyDescent="0.25">
      <c r="B35" s="166" t="s">
        <v>1224</v>
      </c>
      <c r="C35" s="167">
        <v>20937</v>
      </c>
      <c r="E35" s="181">
        <v>6</v>
      </c>
      <c r="F35" s="182" t="s">
        <v>1244</v>
      </c>
      <c r="G35" s="362" t="s">
        <v>1249</v>
      </c>
      <c r="H35" s="362" t="s">
        <v>1249</v>
      </c>
      <c r="I35" s="362" t="s">
        <v>1249</v>
      </c>
      <c r="J35" s="362" t="s">
        <v>1249</v>
      </c>
      <c r="K35" s="362" t="s">
        <v>1249</v>
      </c>
      <c r="L35" s="183"/>
      <c r="M35" s="184"/>
    </row>
    <row r="36" spans="2:13" ht="21.95" customHeight="1" x14ac:dyDescent="0.25">
      <c r="B36" s="166" t="s">
        <v>1224</v>
      </c>
      <c r="C36" s="167">
        <v>30689</v>
      </c>
      <c r="E36" s="181">
        <v>7</v>
      </c>
      <c r="F36" s="182" t="s">
        <v>729</v>
      </c>
      <c r="G36" s="362" t="s">
        <v>1249</v>
      </c>
      <c r="H36" s="362" t="s">
        <v>1249</v>
      </c>
      <c r="I36" s="362" t="s">
        <v>1249</v>
      </c>
      <c r="J36" s="362" t="s">
        <v>1249</v>
      </c>
      <c r="K36" s="362" t="s">
        <v>1249</v>
      </c>
      <c r="L36" s="183"/>
      <c r="M36" s="184"/>
    </row>
    <row r="37" spans="2:13" ht="21.95" customHeight="1" x14ac:dyDescent="0.25">
      <c r="B37" s="166" t="s">
        <v>1222</v>
      </c>
      <c r="C37" s="167">
        <v>14926</v>
      </c>
      <c r="E37" s="181">
        <v>8</v>
      </c>
      <c r="F37" s="182" t="s">
        <v>1245</v>
      </c>
      <c r="G37" s="362" t="s">
        <v>1249</v>
      </c>
      <c r="H37" s="362" t="s">
        <v>1249</v>
      </c>
      <c r="I37" s="362" t="s">
        <v>1249</v>
      </c>
      <c r="J37" s="362" t="s">
        <v>1249</v>
      </c>
      <c r="K37" s="362" t="s">
        <v>1249</v>
      </c>
      <c r="L37" s="183"/>
      <c r="M37" s="184"/>
    </row>
    <row r="38" spans="2:13" ht="21.95" customHeight="1" x14ac:dyDescent="0.25">
      <c r="B38" s="166" t="s">
        <v>1224</v>
      </c>
      <c r="C38" s="167">
        <v>35368</v>
      </c>
      <c r="E38" s="181">
        <v>9</v>
      </c>
      <c r="F38" s="182" t="s">
        <v>481</v>
      </c>
      <c r="G38" s="362" t="s">
        <v>1249</v>
      </c>
      <c r="H38" s="362" t="s">
        <v>1249</v>
      </c>
      <c r="I38" s="362" t="s">
        <v>1249</v>
      </c>
      <c r="J38" s="362" t="s">
        <v>1249</v>
      </c>
      <c r="K38" s="362" t="s">
        <v>1249</v>
      </c>
      <c r="L38" s="183"/>
      <c r="M38" s="184"/>
    </row>
    <row r="39" spans="2:13" ht="21.95" customHeight="1" thickBot="1" x14ac:dyDescent="0.3">
      <c r="B39" s="166" t="s">
        <v>1227</v>
      </c>
      <c r="C39" s="167">
        <v>14175</v>
      </c>
      <c r="E39" s="185">
        <v>10</v>
      </c>
      <c r="F39" s="186" t="s">
        <v>1246</v>
      </c>
      <c r="G39" s="363" t="s">
        <v>1249</v>
      </c>
      <c r="H39" s="363" t="s">
        <v>1249</v>
      </c>
      <c r="I39" s="363" t="s">
        <v>1249</v>
      </c>
      <c r="J39" s="363" t="s">
        <v>1249</v>
      </c>
      <c r="K39" s="363" t="s">
        <v>1249</v>
      </c>
      <c r="L39" s="187"/>
      <c r="M39" s="188"/>
    </row>
    <row r="40" spans="2:13" ht="21.95" customHeight="1" x14ac:dyDescent="0.25">
      <c r="B40" s="166" t="s">
        <v>1221</v>
      </c>
      <c r="C40" s="167">
        <v>37728</v>
      </c>
      <c r="E40" s="107"/>
      <c r="F40" s="107"/>
      <c r="G40" s="107"/>
      <c r="H40" s="107"/>
      <c r="I40" s="107"/>
      <c r="J40" s="107"/>
      <c r="K40" s="107"/>
      <c r="L40" s="107"/>
      <c r="M40" s="107"/>
    </row>
    <row r="41" spans="2:13" ht="20.100000000000001" customHeight="1" x14ac:dyDescent="0.25">
      <c r="B41" s="166" t="s">
        <v>1223</v>
      </c>
      <c r="C41" s="167">
        <v>42296</v>
      </c>
      <c r="E41" s="189" t="s">
        <v>1247</v>
      </c>
      <c r="F41" s="189"/>
      <c r="G41" s="189"/>
      <c r="H41" s="189"/>
      <c r="I41" s="189"/>
      <c r="J41" s="189"/>
      <c r="K41" s="189"/>
      <c r="L41" s="189"/>
      <c r="M41" s="189"/>
    </row>
    <row r="42" spans="2:13" x14ac:dyDescent="0.25">
      <c r="B42" s="166" t="s">
        <v>1227</v>
      </c>
      <c r="C42" s="167">
        <v>47228</v>
      </c>
    </row>
    <row r="43" spans="2:13" x14ac:dyDescent="0.25">
      <c r="B43" s="166" t="s">
        <v>1225</v>
      </c>
      <c r="C43" s="167">
        <v>18804</v>
      </c>
    </row>
    <row r="44" spans="2:13" x14ac:dyDescent="0.25">
      <c r="B44" s="166" t="s">
        <v>1221</v>
      </c>
      <c r="C44" s="167">
        <v>41936</v>
      </c>
    </row>
    <row r="45" spans="2:13" ht="15.75" thickBot="1" x14ac:dyDescent="0.3">
      <c r="B45" s="166" t="s">
        <v>1218</v>
      </c>
      <c r="C45" s="180">
        <v>20826</v>
      </c>
    </row>
    <row r="46" spans="2:13" ht="19.5" x14ac:dyDescent="0.25">
      <c r="B46" s="166" t="s">
        <v>1224</v>
      </c>
      <c r="C46" s="167">
        <v>41347</v>
      </c>
      <c r="E46" s="355" t="s">
        <v>1248</v>
      </c>
      <c r="F46" s="356"/>
      <c r="G46" s="356"/>
      <c r="H46" s="356"/>
      <c r="I46" s="356"/>
      <c r="J46" s="356"/>
      <c r="K46" s="356"/>
      <c r="L46" s="356"/>
      <c r="M46" s="357"/>
    </row>
    <row r="47" spans="2:13" x14ac:dyDescent="0.25">
      <c r="B47" s="166" t="s">
        <v>1222</v>
      </c>
      <c r="C47" s="167">
        <v>31635</v>
      </c>
      <c r="E47" s="358" t="s">
        <v>1231</v>
      </c>
      <c r="F47" s="359" t="s">
        <v>1232</v>
      </c>
      <c r="G47" s="359" t="s">
        <v>1233</v>
      </c>
      <c r="H47" s="359" t="s">
        <v>1234</v>
      </c>
      <c r="I47" s="359" t="s">
        <v>1235</v>
      </c>
      <c r="J47" s="359" t="s">
        <v>1236</v>
      </c>
      <c r="K47" s="359" t="s">
        <v>1237</v>
      </c>
      <c r="L47" s="360" t="s">
        <v>1238</v>
      </c>
      <c r="M47" s="361" t="s">
        <v>1239</v>
      </c>
    </row>
    <row r="48" spans="2:13" x14ac:dyDescent="0.25">
      <c r="B48" s="166" t="s">
        <v>1226</v>
      </c>
      <c r="C48" s="167">
        <v>45564</v>
      </c>
      <c r="E48" s="181">
        <v>1</v>
      </c>
      <c r="F48" s="182" t="s">
        <v>1240</v>
      </c>
      <c r="G48" s="364" t="s">
        <v>1250</v>
      </c>
      <c r="H48" s="364" t="s">
        <v>1252</v>
      </c>
      <c r="I48" s="364" t="s">
        <v>1250</v>
      </c>
      <c r="J48" s="364" t="s">
        <v>1252</v>
      </c>
      <c r="K48" s="364" t="s">
        <v>1252</v>
      </c>
      <c r="L48" s="183">
        <f>COUNTIF(G48:K48,"P")</f>
        <v>2</v>
      </c>
      <c r="M48" s="184">
        <f>COUNTIF(G48:K48,"O")</f>
        <v>3</v>
      </c>
    </row>
    <row r="49" spans="2:13" x14ac:dyDescent="0.25">
      <c r="B49" s="166" t="s">
        <v>1223</v>
      </c>
      <c r="C49" s="167">
        <v>40030</v>
      </c>
      <c r="E49" s="181">
        <v>2</v>
      </c>
      <c r="F49" s="182" t="s">
        <v>474</v>
      </c>
      <c r="G49" s="364" t="s">
        <v>1251</v>
      </c>
      <c r="H49" s="364" t="s">
        <v>1252</v>
      </c>
      <c r="I49" s="364" t="s">
        <v>1250</v>
      </c>
      <c r="J49" s="364" t="s">
        <v>1252</v>
      </c>
      <c r="K49" s="364" t="s">
        <v>1252</v>
      </c>
      <c r="L49" s="183">
        <f t="shared" ref="L49:L57" si="0">COUNTIF(G49:K49,"P")</f>
        <v>1</v>
      </c>
      <c r="M49" s="184">
        <f t="shared" ref="M49:M57" si="1">COUNTIF(G49:K49,"O")</f>
        <v>3</v>
      </c>
    </row>
    <row r="50" spans="2:13" x14ac:dyDescent="0.25">
      <c r="B50" s="166" t="s">
        <v>1224</v>
      </c>
      <c r="C50" s="167">
        <v>41829</v>
      </c>
      <c r="E50" s="181">
        <v>3</v>
      </c>
      <c r="F50" s="182" t="s">
        <v>1241</v>
      </c>
      <c r="G50" s="364" t="s">
        <v>1250</v>
      </c>
      <c r="H50" s="364" t="s">
        <v>1250</v>
      </c>
      <c r="I50" s="364" t="s">
        <v>1250</v>
      </c>
      <c r="J50" s="364" t="s">
        <v>1250</v>
      </c>
      <c r="K50" s="364" t="s">
        <v>1250</v>
      </c>
      <c r="L50" s="183">
        <f t="shared" si="0"/>
        <v>5</v>
      </c>
      <c r="M50" s="184">
        <f t="shared" si="1"/>
        <v>0</v>
      </c>
    </row>
    <row r="51" spans="2:13" x14ac:dyDescent="0.25">
      <c r="B51" s="166" t="s">
        <v>1226</v>
      </c>
      <c r="C51" s="167">
        <v>27003</v>
      </c>
      <c r="E51" s="181">
        <v>4</v>
      </c>
      <c r="F51" s="182" t="s">
        <v>1242</v>
      </c>
      <c r="G51" s="364" t="s">
        <v>1250</v>
      </c>
      <c r="H51" s="364" t="s">
        <v>1250</v>
      </c>
      <c r="I51" s="364" t="s">
        <v>1250</v>
      </c>
      <c r="J51" s="364" t="s">
        <v>1250</v>
      </c>
      <c r="K51" s="364" t="s">
        <v>1250</v>
      </c>
      <c r="L51" s="183">
        <f t="shared" si="0"/>
        <v>5</v>
      </c>
      <c r="M51" s="184">
        <f t="shared" si="1"/>
        <v>0</v>
      </c>
    </row>
    <row r="52" spans="2:13" x14ac:dyDescent="0.25">
      <c r="B52" s="166" t="s">
        <v>1218</v>
      </c>
      <c r="C52" s="180">
        <v>45759</v>
      </c>
      <c r="E52" s="181">
        <v>5</v>
      </c>
      <c r="F52" s="182" t="s">
        <v>1243</v>
      </c>
      <c r="G52" s="364" t="s">
        <v>1250</v>
      </c>
      <c r="H52" s="364" t="s">
        <v>1252</v>
      </c>
      <c r="I52" s="364" t="s">
        <v>1250</v>
      </c>
      <c r="J52" s="364" t="s">
        <v>1250</v>
      </c>
      <c r="K52" s="364" t="s">
        <v>1250</v>
      </c>
      <c r="L52" s="183">
        <f t="shared" si="0"/>
        <v>4</v>
      </c>
      <c r="M52" s="184">
        <f t="shared" si="1"/>
        <v>1</v>
      </c>
    </row>
    <row r="53" spans="2:13" x14ac:dyDescent="0.25">
      <c r="B53" s="166" t="s">
        <v>1222</v>
      </c>
      <c r="C53" s="167">
        <v>41764</v>
      </c>
      <c r="E53" s="181">
        <v>6</v>
      </c>
      <c r="F53" s="182" t="s">
        <v>1244</v>
      </c>
      <c r="G53" s="364" t="s">
        <v>1250</v>
      </c>
      <c r="H53" s="364" t="s">
        <v>1250</v>
      </c>
      <c r="I53" s="364" t="s">
        <v>1250</v>
      </c>
      <c r="J53" s="364" t="s">
        <v>1250</v>
      </c>
      <c r="K53" s="364" t="s">
        <v>1250</v>
      </c>
      <c r="L53" s="183">
        <f t="shared" si="0"/>
        <v>5</v>
      </c>
      <c r="M53" s="184">
        <f t="shared" si="1"/>
        <v>0</v>
      </c>
    </row>
    <row r="54" spans="2:13" x14ac:dyDescent="0.25">
      <c r="B54" s="166" t="s">
        <v>1223</v>
      </c>
      <c r="C54" s="167">
        <v>40536</v>
      </c>
      <c r="E54" s="181">
        <v>7</v>
      </c>
      <c r="F54" s="182" t="s">
        <v>729</v>
      </c>
      <c r="G54" s="364" t="s">
        <v>1250</v>
      </c>
      <c r="H54" s="364" t="s">
        <v>1250</v>
      </c>
      <c r="I54" s="364" t="s">
        <v>1250</v>
      </c>
      <c r="J54" s="364" t="s">
        <v>1250</v>
      </c>
      <c r="K54" s="364" t="s">
        <v>1252</v>
      </c>
      <c r="L54" s="183">
        <f t="shared" si="0"/>
        <v>4</v>
      </c>
      <c r="M54" s="184">
        <f t="shared" si="1"/>
        <v>1</v>
      </c>
    </row>
    <row r="55" spans="2:13" x14ac:dyDescent="0.25">
      <c r="B55" s="166" t="s">
        <v>1219</v>
      </c>
      <c r="C55" s="167">
        <v>43075</v>
      </c>
      <c r="E55" s="181">
        <v>8</v>
      </c>
      <c r="F55" s="182" t="s">
        <v>1245</v>
      </c>
      <c r="G55" s="364" t="s">
        <v>1250</v>
      </c>
      <c r="H55" s="364" t="s">
        <v>1252</v>
      </c>
      <c r="I55" s="364" t="s">
        <v>1252</v>
      </c>
      <c r="J55" s="364" t="s">
        <v>1250</v>
      </c>
      <c r="K55" s="364" t="s">
        <v>1252</v>
      </c>
      <c r="L55" s="183">
        <f t="shared" si="0"/>
        <v>2</v>
      </c>
      <c r="M55" s="184">
        <f t="shared" si="1"/>
        <v>3</v>
      </c>
    </row>
    <row r="56" spans="2:13" x14ac:dyDescent="0.25">
      <c r="B56" s="166" t="s">
        <v>1226</v>
      </c>
      <c r="C56" s="167">
        <v>28430</v>
      </c>
      <c r="E56" s="181">
        <v>9</v>
      </c>
      <c r="F56" s="182" t="s">
        <v>481</v>
      </c>
      <c r="G56" s="364" t="s">
        <v>1250</v>
      </c>
      <c r="H56" s="364" t="s">
        <v>1250</v>
      </c>
      <c r="I56" s="364" t="s">
        <v>1252</v>
      </c>
      <c r="J56" s="364" t="s">
        <v>1250</v>
      </c>
      <c r="K56" s="364" t="s">
        <v>1252</v>
      </c>
      <c r="L56" s="183">
        <f t="shared" si="0"/>
        <v>3</v>
      </c>
      <c r="M56" s="184">
        <f t="shared" si="1"/>
        <v>2</v>
      </c>
    </row>
    <row r="57" spans="2:13" ht="15.75" thickBot="1" x14ac:dyDescent="0.3">
      <c r="B57" s="166" t="s">
        <v>1225</v>
      </c>
      <c r="C57" s="167">
        <v>21699</v>
      </c>
      <c r="E57" s="185">
        <v>10</v>
      </c>
      <c r="F57" s="186" t="s">
        <v>1246</v>
      </c>
      <c r="G57" s="365" t="s">
        <v>1252</v>
      </c>
      <c r="H57" s="365" t="s">
        <v>1250</v>
      </c>
      <c r="I57" s="365" t="s">
        <v>1250</v>
      </c>
      <c r="J57" s="365" t="s">
        <v>1252</v>
      </c>
      <c r="K57" s="365" t="s">
        <v>1252</v>
      </c>
      <c r="L57" s="183">
        <f t="shared" si="0"/>
        <v>2</v>
      </c>
      <c r="M57" s="184">
        <f t="shared" si="1"/>
        <v>3</v>
      </c>
    </row>
    <row r="58" spans="2:13" x14ac:dyDescent="0.25">
      <c r="B58" s="166" t="s">
        <v>1218</v>
      </c>
      <c r="C58" s="180">
        <v>42618</v>
      </c>
      <c r="E58" s="107"/>
      <c r="F58" s="107"/>
      <c r="G58" s="107"/>
      <c r="H58" s="107"/>
      <c r="I58" s="107"/>
      <c r="J58" s="107"/>
      <c r="K58" s="107"/>
      <c r="L58" s="107"/>
      <c r="M58" s="107"/>
    </row>
    <row r="59" spans="2:13" x14ac:dyDescent="0.25">
      <c r="B59" s="166" t="s">
        <v>1221</v>
      </c>
      <c r="C59" s="167">
        <v>24707</v>
      </c>
      <c r="E59" s="189" t="s">
        <v>1247</v>
      </c>
      <c r="F59" s="189"/>
      <c r="G59" s="189"/>
      <c r="H59" s="189"/>
      <c r="I59" s="189"/>
      <c r="J59" s="189"/>
      <c r="K59" s="189"/>
      <c r="L59" s="189"/>
      <c r="M59" s="189"/>
    </row>
    <row r="60" spans="2:13" x14ac:dyDescent="0.25">
      <c r="B60" s="166" t="s">
        <v>1219</v>
      </c>
      <c r="C60" s="167">
        <v>13182</v>
      </c>
    </row>
    <row r="61" spans="2:13" x14ac:dyDescent="0.25">
      <c r="B61" s="166" t="s">
        <v>1222</v>
      </c>
      <c r="C61" s="167">
        <v>13264</v>
      </c>
    </row>
    <row r="62" spans="2:13" x14ac:dyDescent="0.25">
      <c r="B62" s="166" t="s">
        <v>1226</v>
      </c>
      <c r="C62" s="167">
        <v>45115</v>
      </c>
    </row>
    <row r="63" spans="2:13" x14ac:dyDescent="0.25">
      <c r="B63" s="166" t="s">
        <v>1223</v>
      </c>
      <c r="C63" s="167">
        <v>12217</v>
      </c>
    </row>
    <row r="64" spans="2:13" x14ac:dyDescent="0.25">
      <c r="B64" s="166" t="s">
        <v>1219</v>
      </c>
      <c r="C64" s="167">
        <v>15065</v>
      </c>
    </row>
    <row r="65" spans="2:3" x14ac:dyDescent="0.25">
      <c r="B65" s="166" t="s">
        <v>1218</v>
      </c>
      <c r="C65" s="180">
        <v>32959</v>
      </c>
    </row>
    <row r="66" spans="2:3" x14ac:dyDescent="0.25">
      <c r="B66" s="166" t="s">
        <v>1220</v>
      </c>
      <c r="C66" s="167">
        <v>40474</v>
      </c>
    </row>
    <row r="67" spans="2:3" x14ac:dyDescent="0.25">
      <c r="B67" s="166" t="s">
        <v>1219</v>
      </c>
      <c r="C67" s="167">
        <v>32607</v>
      </c>
    </row>
    <row r="68" spans="2:3" x14ac:dyDescent="0.25">
      <c r="B68" s="166" t="s">
        <v>1226</v>
      </c>
      <c r="C68" s="167">
        <v>14571</v>
      </c>
    </row>
    <row r="69" spans="2:3" x14ac:dyDescent="0.25">
      <c r="B69" s="166" t="s">
        <v>1220</v>
      </c>
      <c r="C69" s="167">
        <v>36153</v>
      </c>
    </row>
    <row r="70" spans="2:3" x14ac:dyDescent="0.25">
      <c r="B70" s="166" t="s">
        <v>1227</v>
      </c>
      <c r="C70" s="167">
        <v>17202</v>
      </c>
    </row>
    <row r="71" spans="2:3" x14ac:dyDescent="0.25">
      <c r="B71" s="166" t="s">
        <v>1220</v>
      </c>
      <c r="C71" s="167">
        <v>28153</v>
      </c>
    </row>
    <row r="72" spans="2:3" x14ac:dyDescent="0.25">
      <c r="B72" s="166" t="s">
        <v>1219</v>
      </c>
      <c r="C72" s="167">
        <v>38080</v>
      </c>
    </row>
    <row r="73" spans="2:3" x14ac:dyDescent="0.25">
      <c r="B73" s="166" t="s">
        <v>1222</v>
      </c>
      <c r="C73" s="167">
        <v>19488</v>
      </c>
    </row>
    <row r="74" spans="2:3" x14ac:dyDescent="0.25">
      <c r="B74" s="166" t="s">
        <v>1226</v>
      </c>
      <c r="C74" s="167">
        <v>34431</v>
      </c>
    </row>
    <row r="75" spans="2:3" x14ac:dyDescent="0.25">
      <c r="B75" s="166" t="s">
        <v>1220</v>
      </c>
      <c r="C75" s="167">
        <v>32049</v>
      </c>
    </row>
    <row r="76" spans="2:3" x14ac:dyDescent="0.25">
      <c r="B76" s="166" t="s">
        <v>1227</v>
      </c>
      <c r="C76" s="167">
        <v>29606</v>
      </c>
    </row>
    <row r="77" spans="2:3" x14ac:dyDescent="0.25">
      <c r="B77" s="166" t="s">
        <v>1221</v>
      </c>
      <c r="C77" s="167">
        <v>28562</v>
      </c>
    </row>
    <row r="78" spans="2:3" x14ac:dyDescent="0.25">
      <c r="B78" s="166" t="s">
        <v>1223</v>
      </c>
      <c r="C78" s="167">
        <v>32506</v>
      </c>
    </row>
    <row r="79" spans="2:3" x14ac:dyDescent="0.25">
      <c r="B79" s="166" t="s">
        <v>1218</v>
      </c>
      <c r="C79" s="180">
        <v>14364</v>
      </c>
    </row>
    <row r="80" spans="2:3" x14ac:dyDescent="0.25">
      <c r="B80" s="166" t="s">
        <v>1223</v>
      </c>
      <c r="C80" s="167">
        <v>25964</v>
      </c>
    </row>
    <row r="81" spans="2:3" x14ac:dyDescent="0.25">
      <c r="B81" s="166" t="s">
        <v>1221</v>
      </c>
      <c r="C81" s="167">
        <v>22533</v>
      </c>
    </row>
    <row r="82" spans="2:3" x14ac:dyDescent="0.25">
      <c r="B82" s="166" t="s">
        <v>1218</v>
      </c>
      <c r="C82" s="180">
        <v>38031</v>
      </c>
    </row>
    <row r="83" spans="2:3" x14ac:dyDescent="0.25">
      <c r="B83" s="166" t="s">
        <v>1220</v>
      </c>
      <c r="C83" s="167">
        <v>33206</v>
      </c>
    </row>
    <row r="84" spans="2:3" x14ac:dyDescent="0.25">
      <c r="B84" s="166" t="s">
        <v>1226</v>
      </c>
      <c r="C84" s="167">
        <v>13324</v>
      </c>
    </row>
    <row r="85" spans="2:3" x14ac:dyDescent="0.25">
      <c r="B85" s="166" t="s">
        <v>1224</v>
      </c>
      <c r="C85" s="167">
        <v>47965</v>
      </c>
    </row>
    <row r="86" spans="2:3" x14ac:dyDescent="0.25">
      <c r="B86" s="166" t="s">
        <v>1221</v>
      </c>
      <c r="C86" s="167">
        <v>28613</v>
      </c>
    </row>
    <row r="87" spans="2:3" x14ac:dyDescent="0.25">
      <c r="B87" s="166" t="s">
        <v>1219</v>
      </c>
      <c r="C87" s="167">
        <v>47214</v>
      </c>
    </row>
    <row r="88" spans="2:3" x14ac:dyDescent="0.25">
      <c r="B88" s="166" t="s">
        <v>1221</v>
      </c>
      <c r="C88" s="167">
        <v>17355</v>
      </c>
    </row>
    <row r="89" spans="2:3" x14ac:dyDescent="0.25">
      <c r="B89" s="166" t="s">
        <v>1225</v>
      </c>
      <c r="C89" s="167">
        <v>37402</v>
      </c>
    </row>
    <row r="90" spans="2:3" x14ac:dyDescent="0.25">
      <c r="B90" s="166" t="s">
        <v>1222</v>
      </c>
      <c r="C90" s="167">
        <v>40121</v>
      </c>
    </row>
    <row r="91" spans="2:3" x14ac:dyDescent="0.25">
      <c r="B91" s="166" t="s">
        <v>1218</v>
      </c>
      <c r="C91" s="180">
        <v>42078</v>
      </c>
    </row>
    <row r="92" spans="2:3" x14ac:dyDescent="0.25">
      <c r="B92" s="166" t="s">
        <v>1224</v>
      </c>
      <c r="C92" s="167">
        <v>43597</v>
      </c>
    </row>
    <row r="93" spans="2:3" x14ac:dyDescent="0.25">
      <c r="B93" s="166" t="s">
        <v>1219</v>
      </c>
      <c r="C93" s="167">
        <v>34080</v>
      </c>
    </row>
    <row r="94" spans="2:3" x14ac:dyDescent="0.25">
      <c r="B94" s="166" t="s">
        <v>1221</v>
      </c>
      <c r="C94" s="167">
        <v>38139</v>
      </c>
    </row>
    <row r="95" spans="2:3" x14ac:dyDescent="0.25">
      <c r="B95" s="166" t="s">
        <v>1220</v>
      </c>
      <c r="C95" s="167">
        <v>22587</v>
      </c>
    </row>
    <row r="96" spans="2:3" x14ac:dyDescent="0.25">
      <c r="B96" s="166" t="s">
        <v>1223</v>
      </c>
      <c r="C96" s="167">
        <v>33534</v>
      </c>
    </row>
    <row r="97" spans="2:3" x14ac:dyDescent="0.25">
      <c r="B97" s="166" t="s">
        <v>1225</v>
      </c>
      <c r="C97" s="167">
        <v>18356</v>
      </c>
    </row>
    <row r="98" spans="2:3" x14ac:dyDescent="0.25">
      <c r="B98" s="166" t="s">
        <v>1226</v>
      </c>
      <c r="C98" s="167">
        <v>39537</v>
      </c>
    </row>
    <row r="99" spans="2:3" x14ac:dyDescent="0.25">
      <c r="B99" s="166" t="s">
        <v>1222</v>
      </c>
      <c r="C99" s="167">
        <v>27038</v>
      </c>
    </row>
    <row r="100" spans="2:3" x14ac:dyDescent="0.25">
      <c r="B100" s="166" t="s">
        <v>1221</v>
      </c>
      <c r="C100" s="167">
        <v>41724</v>
      </c>
    </row>
    <row r="101" spans="2:3" x14ac:dyDescent="0.25">
      <c r="B101" s="166" t="s">
        <v>1227</v>
      </c>
      <c r="C101" s="167">
        <v>27945</v>
      </c>
    </row>
    <row r="102" spans="2:3" x14ac:dyDescent="0.25">
      <c r="B102" s="166" t="s">
        <v>1225</v>
      </c>
      <c r="C102" s="167">
        <v>35941</v>
      </c>
    </row>
    <row r="103" spans="2:3" ht="15.75" thickBot="1" x14ac:dyDescent="0.3">
      <c r="B103" s="168" t="s">
        <v>1220</v>
      </c>
      <c r="C103" s="176">
        <v>29413</v>
      </c>
    </row>
    <row r="104" spans="2:3" ht="15.75" thickBot="1" x14ac:dyDescent="0.3">
      <c r="B104" s="177" t="s">
        <v>1229</v>
      </c>
      <c r="C104" s="178">
        <f>SUBTOTAL(9,C4:C103)</f>
        <v>3041081</v>
      </c>
    </row>
  </sheetData>
  <autoFilter ref="B3:C103" xr:uid="{536C8A80-7523-4672-9D1C-67D457D534B6}"/>
  <mergeCells count="4">
    <mergeCell ref="E28:M28"/>
    <mergeCell ref="E41:M41"/>
    <mergeCell ref="E46:M46"/>
    <mergeCell ref="E59:M5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Raw Data</vt:lpstr>
      <vt:lpstr>Formulaes</vt:lpstr>
      <vt:lpstr>Mark Sheet</vt:lpstr>
      <vt:lpstr>Clipboard</vt:lpstr>
      <vt:lpstr>Sales Data</vt:lpstr>
      <vt:lpstr>Filter</vt:lpstr>
      <vt:lpstr>Table</vt:lpstr>
      <vt:lpstr>fill</vt:lpstr>
      <vt:lpstr>Go to Special</vt:lpstr>
      <vt:lpstr>Paste Special With Find&amp;Replace</vt:lpstr>
      <vt:lpstr>Sheet1</vt:lpstr>
      <vt:lpstr>Clear</vt:lpstr>
      <vt:lpstr>Cell Referencing</vt:lpstr>
      <vt:lpstr>Text Formulas Notes</vt:lpstr>
      <vt:lpstr>Text Formulas Practice</vt:lpstr>
      <vt:lpstr>Statistical Formulas Notes</vt:lpstr>
      <vt:lpstr>Statistical Formulas Practice</vt:lpstr>
      <vt:lpstr>Date &amp; Time Formulas Notes</vt:lpstr>
      <vt:lpstr>Date &amp; Time Practice</vt:lpstr>
      <vt:lpstr>Logical Formulaes Notes</vt:lpstr>
      <vt:lpstr>Logical Formulaes Practice</vt:lpstr>
      <vt:lpstr>Sum, Count, Average (IF), 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2026-10-20T20:50:05Z</dcterms:modified>
</cp:coreProperties>
</file>