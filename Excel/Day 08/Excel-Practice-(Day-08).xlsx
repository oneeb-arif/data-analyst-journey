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Excel\Day 08\"/>
    </mc:Choice>
  </mc:AlternateContent>
  <xr:revisionPtr revIDLastSave="0" documentId="8_{FAFCC7C9-3447-4460-B9DE-EE50D6DD5F6D}" xr6:coauthVersionLast="47" xr6:coauthVersionMax="47" xr10:uidLastSave="{00000000-0000-0000-0000-000000000000}"/>
  <bookViews>
    <workbookView xWindow="-120" yWindow="-120" windowWidth="29040" windowHeight="16440" tabRatio="678" firstSheet="14" activeTab="15" xr2:uid="{00000000-000D-0000-FFFF-FFFF00000000}"/>
  </bookViews>
  <sheets>
    <sheet name="Raw Data" sheetId="1" r:id="rId1"/>
    <sheet name="Formulaes" sheetId="2" r:id="rId2"/>
    <sheet name="Mark Sheet" sheetId="3" r:id="rId3"/>
    <sheet name="Clipboard" sheetId="5" r:id="rId4"/>
    <sheet name="Sales Data" sheetId="4" r:id="rId5"/>
    <sheet name="Filter" sheetId="6" r:id="rId6"/>
    <sheet name="Table" sheetId="7" r:id="rId7"/>
    <sheet name="fill" sheetId="9" r:id="rId8"/>
    <sheet name="Go to Special" sheetId="10" r:id="rId9"/>
    <sheet name="Paste Special With Find&amp;Replace" sheetId="11" r:id="rId10"/>
    <sheet name="Clear" sheetId="12" r:id="rId11"/>
    <sheet name="Cell Referencing" sheetId="13" r:id="rId12"/>
    <sheet name="Text Formulas Notes" sheetId="14" r:id="rId13"/>
    <sheet name="Text Formulas Practice" sheetId="15" r:id="rId14"/>
    <sheet name="Statistical Formulas Notes" sheetId="16" r:id="rId15"/>
    <sheet name="Statistical Formulas Practice" sheetId="17" r:id="rId16"/>
  </sheets>
  <definedNames>
    <definedName name="_xlnm._FilterDatabase" localSheetId="5" hidden="1">Filter!$A$1:$F$38</definedName>
    <definedName name="Slicer_Departmen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0" i="17" l="1"/>
  <c r="M21" i="17"/>
  <c r="M22" i="17"/>
  <c r="M23" i="17"/>
  <c r="M24" i="17"/>
  <c r="M25" i="17"/>
  <c r="M26" i="17"/>
  <c r="M27" i="17"/>
  <c r="M28" i="17"/>
  <c r="M19" i="17"/>
  <c r="L20" i="17"/>
  <c r="L21" i="17"/>
  <c r="L22" i="17"/>
  <c r="L23" i="17"/>
  <c r="L24" i="17"/>
  <c r="L25" i="17"/>
  <c r="L26" i="17"/>
  <c r="L27" i="17"/>
  <c r="L28" i="17"/>
  <c r="L19" i="17"/>
  <c r="H20" i="17"/>
  <c r="H21" i="17"/>
  <c r="H22" i="17"/>
  <c r="H23" i="17"/>
  <c r="H24" i="17"/>
  <c r="H25" i="17"/>
  <c r="H26" i="17"/>
  <c r="H27" i="17"/>
  <c r="H28" i="17"/>
  <c r="H19" i="17"/>
  <c r="H33" i="17"/>
  <c r="H34" i="17"/>
  <c r="H35" i="17"/>
  <c r="H36" i="17"/>
  <c r="H37" i="17"/>
  <c r="H38" i="17"/>
  <c r="H39" i="17"/>
  <c r="H40" i="17"/>
  <c r="H41" i="17"/>
  <c r="H32" i="17"/>
  <c r="H6" i="17"/>
  <c r="H7" i="17"/>
  <c r="H8" i="17"/>
  <c r="H9" i="17"/>
  <c r="H10" i="17"/>
  <c r="H11" i="17"/>
  <c r="H12" i="17"/>
  <c r="H13" i="17"/>
  <c r="H14" i="17"/>
  <c r="H5" i="17"/>
  <c r="H45" i="17" a="1"/>
  <c r="H45" i="17" s="1"/>
  <c r="B31" i="17" a="1"/>
  <c r="B31" i="17" s="1"/>
  <c r="B1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4" i="17"/>
  <c r="C4" i="17"/>
  <c r="D4" i="17"/>
  <c r="B5" i="17"/>
  <c r="C5" i="17"/>
  <c r="D5" i="17"/>
  <c r="B6" i="17"/>
  <c r="C6" i="17"/>
  <c r="D6" i="17"/>
  <c r="B7" i="17"/>
  <c r="C7" i="17"/>
  <c r="D7" i="17"/>
  <c r="B8" i="17"/>
  <c r="C8" i="17"/>
  <c r="D8" i="17"/>
  <c r="B9" i="17"/>
  <c r="C9" i="17"/>
  <c r="D9" i="17"/>
  <c r="B10" i="17"/>
  <c r="C10" i="17"/>
  <c r="D10" i="17"/>
  <c r="B11" i="17"/>
  <c r="C11" i="17"/>
  <c r="D11" i="17"/>
  <c r="B12" i="17"/>
  <c r="C12" i="17"/>
  <c r="D12" i="17"/>
  <c r="B13" i="17"/>
  <c r="C13" i="17"/>
  <c r="D13" i="17"/>
  <c r="J98" i="15"/>
  <c r="G98" i="15"/>
  <c r="J92" i="15"/>
  <c r="G92" i="15"/>
  <c r="D93" i="15"/>
  <c r="D94" i="15"/>
  <c r="D95" i="15"/>
  <c r="D96" i="15"/>
  <c r="D97" i="15"/>
  <c r="D98" i="15"/>
  <c r="D99" i="15"/>
  <c r="D100" i="15"/>
  <c r="D92" i="15"/>
  <c r="C92" i="15"/>
  <c r="C93" i="15"/>
  <c r="C94" i="15"/>
  <c r="C95" i="15"/>
  <c r="C96" i="15"/>
  <c r="C97" i="15"/>
  <c r="C98" i="15"/>
  <c r="C99" i="15"/>
  <c r="C100" i="15"/>
  <c r="C78" i="15"/>
  <c r="C79" i="15"/>
  <c r="C80" i="15"/>
  <c r="C81" i="15"/>
  <c r="C82" i="15"/>
  <c r="C83" i="15"/>
  <c r="C84" i="15"/>
  <c r="C85" i="15"/>
  <c r="C77" i="15"/>
  <c r="I77" i="15"/>
  <c r="I78" i="15"/>
  <c r="I79" i="15"/>
  <c r="I80" i="15"/>
  <c r="I81" i="15"/>
  <c r="I82" i="15"/>
  <c r="I83" i="15"/>
  <c r="I84" i="15"/>
  <c r="I85" i="15"/>
  <c r="L78" i="15"/>
  <c r="L79" i="15"/>
  <c r="L80" i="15"/>
  <c r="L81" i="15"/>
  <c r="L82" i="15"/>
  <c r="L83" i="15"/>
  <c r="L84" i="15"/>
  <c r="L85" i="15"/>
  <c r="L77" i="15"/>
  <c r="F81" i="15"/>
  <c r="F78" i="15"/>
  <c r="F79" i="15"/>
  <c r="F80" i="15"/>
  <c r="F82" i="15"/>
  <c r="F83" i="15"/>
  <c r="F84" i="15"/>
  <c r="F85" i="15"/>
  <c r="F77" i="15"/>
  <c r="Y48" i="15"/>
  <c r="Y49" i="15"/>
  <c r="Y50" i="15"/>
  <c r="Y51" i="15"/>
  <c r="Y52" i="15"/>
  <c r="Y53" i="15"/>
  <c r="Y54" i="15"/>
  <c r="Y55" i="15"/>
  <c r="Y56" i="15"/>
  <c r="Y47" i="15"/>
  <c r="U47" i="15"/>
  <c r="M47" i="15"/>
  <c r="M48" i="15"/>
  <c r="M49" i="15"/>
  <c r="M50" i="15"/>
  <c r="M51" i="15"/>
  <c r="M52" i="15"/>
  <c r="M53" i="15"/>
  <c r="M54" i="15"/>
  <c r="M55" i="15"/>
  <c r="M56" i="15"/>
  <c r="U48" i="15"/>
  <c r="U49" i="15"/>
  <c r="U50" i="15"/>
  <c r="U51" i="15"/>
  <c r="U52" i="15"/>
  <c r="U53" i="15"/>
  <c r="U54" i="15"/>
  <c r="U55" i="15"/>
  <c r="U56" i="15"/>
  <c r="Q48" i="15"/>
  <c r="Q49" i="15"/>
  <c r="Q50" i="15"/>
  <c r="Q51" i="15"/>
  <c r="Q52" i="15"/>
  <c r="Q53" i="15"/>
  <c r="Q54" i="15"/>
  <c r="Q55" i="15"/>
  <c r="Q56" i="15"/>
  <c r="Q47" i="15"/>
  <c r="I35" i="15"/>
  <c r="I36" i="15"/>
  <c r="I37" i="15"/>
  <c r="I38" i="15"/>
  <c r="I39" i="15"/>
  <c r="I40" i="15"/>
  <c r="I41" i="15"/>
  <c r="I42" i="15"/>
  <c r="I34" i="15"/>
  <c r="F35" i="15"/>
  <c r="F36" i="15"/>
  <c r="F37" i="15"/>
  <c r="F38" i="15"/>
  <c r="F39" i="15"/>
  <c r="F40" i="15"/>
  <c r="F41" i="15"/>
  <c r="F42" i="15"/>
  <c r="F34" i="15"/>
  <c r="C35" i="15"/>
  <c r="C36" i="15"/>
  <c r="C37" i="15"/>
  <c r="C38" i="15"/>
  <c r="C39" i="15"/>
  <c r="C40" i="15"/>
  <c r="C41" i="15"/>
  <c r="C42" i="15"/>
  <c r="C34" i="15"/>
  <c r="F19" i="15"/>
  <c r="F20" i="15"/>
  <c r="F21" i="15"/>
  <c r="F22" i="15"/>
  <c r="F23" i="15"/>
  <c r="F24" i="15"/>
  <c r="F25" i="15"/>
  <c r="F26" i="15"/>
  <c r="F18" i="15"/>
  <c r="C19" i="15"/>
  <c r="C20" i="15"/>
  <c r="C21" i="15"/>
  <c r="C22" i="15"/>
  <c r="C23" i="15"/>
  <c r="C24" i="15"/>
  <c r="C25" i="15"/>
  <c r="C26" i="15"/>
  <c r="C18" i="15"/>
  <c r="I5" i="15"/>
  <c r="I6" i="15"/>
  <c r="I7" i="15"/>
  <c r="I8" i="15"/>
  <c r="I9" i="15"/>
  <c r="I10" i="15"/>
  <c r="I11" i="15"/>
  <c r="I12" i="15"/>
  <c r="I4" i="15"/>
  <c r="F5" i="15"/>
  <c r="F6" i="15"/>
  <c r="F7" i="15"/>
  <c r="F8" i="15"/>
  <c r="F9" i="15"/>
  <c r="F10" i="15"/>
  <c r="F11" i="15"/>
  <c r="F12" i="15"/>
  <c r="F4" i="15"/>
  <c r="C4" i="15"/>
  <c r="C5" i="15"/>
  <c r="C6" i="15"/>
  <c r="C7" i="15"/>
  <c r="C8" i="15"/>
  <c r="C9" i="15"/>
  <c r="C10" i="15"/>
  <c r="C11" i="15"/>
  <c r="C12" i="15"/>
  <c r="H41" i="13"/>
  <c r="H40" i="13"/>
  <c r="H39" i="13"/>
  <c r="H38" i="13"/>
  <c r="I38" i="13" s="1"/>
  <c r="H37" i="13"/>
  <c r="H36" i="13"/>
  <c r="I36" i="13" s="1"/>
  <c r="H35" i="13"/>
  <c r="I35" i="13" s="1"/>
  <c r="H34" i="13"/>
  <c r="I34" i="13" s="1"/>
  <c r="H33" i="13"/>
  <c r="I33" i="13" s="1"/>
  <c r="H32" i="13"/>
  <c r="I32" i="13" s="1"/>
  <c r="H31" i="13"/>
  <c r="I31" i="13" s="1"/>
  <c r="H30" i="13"/>
  <c r="I30" i="13" s="1"/>
  <c r="H29" i="13"/>
  <c r="I29" i="13" s="1"/>
  <c r="H28" i="13"/>
  <c r="I28" i="13" s="1"/>
  <c r="H27" i="13"/>
  <c r="I27" i="13" s="1"/>
  <c r="I5" i="13"/>
  <c r="J6" i="13"/>
  <c r="J5" i="13"/>
  <c r="K6" i="13"/>
  <c r="L6" i="13"/>
  <c r="M6" i="13"/>
  <c r="J7" i="13"/>
  <c r="K7" i="13"/>
  <c r="L7" i="13"/>
  <c r="M7" i="13"/>
  <c r="J8" i="13"/>
  <c r="K8" i="13"/>
  <c r="L8" i="13"/>
  <c r="M8" i="13"/>
  <c r="J9" i="13"/>
  <c r="K9" i="13"/>
  <c r="L9" i="13"/>
  <c r="M9" i="13"/>
  <c r="J10" i="13"/>
  <c r="K10" i="13"/>
  <c r="L10" i="13"/>
  <c r="M10" i="13"/>
  <c r="J11" i="13"/>
  <c r="K11" i="13"/>
  <c r="L11" i="13"/>
  <c r="M11" i="13"/>
  <c r="J12" i="13"/>
  <c r="K12" i="13"/>
  <c r="L12" i="13"/>
  <c r="M12" i="13"/>
  <c r="J13" i="13"/>
  <c r="K13" i="13"/>
  <c r="L13" i="13"/>
  <c r="M13" i="13"/>
  <c r="J14" i="13"/>
  <c r="K14" i="13"/>
  <c r="L14" i="13"/>
  <c r="M14" i="13"/>
  <c r="J15" i="13"/>
  <c r="K15" i="13"/>
  <c r="L15" i="13"/>
  <c r="M15" i="13"/>
  <c r="J16" i="13"/>
  <c r="K16" i="13"/>
  <c r="L16" i="13"/>
  <c r="M16" i="13"/>
  <c r="J17" i="13"/>
  <c r="K17" i="13"/>
  <c r="L17" i="13"/>
  <c r="M17" i="13"/>
  <c r="J18" i="13"/>
  <c r="K18" i="13"/>
  <c r="L18" i="13"/>
  <c r="M18" i="13"/>
  <c r="J19" i="13"/>
  <c r="K19" i="13"/>
  <c r="L19" i="13"/>
  <c r="M19" i="13"/>
  <c r="K5" i="13"/>
  <c r="L5" i="13"/>
  <c r="M5" i="13"/>
  <c r="H7" i="13"/>
  <c r="I6" i="13"/>
  <c r="I7" i="13"/>
  <c r="I8" i="13"/>
  <c r="I9" i="13"/>
  <c r="I10" i="13"/>
  <c r="I11" i="13"/>
  <c r="I12" i="13"/>
  <c r="I13" i="13"/>
  <c r="I14" i="13"/>
  <c r="I15" i="13"/>
  <c r="I16" i="13"/>
  <c r="I17" i="13"/>
  <c r="I18" i="13"/>
  <c r="I19" i="13"/>
  <c r="H6" i="13"/>
  <c r="H8" i="13"/>
  <c r="H9" i="13"/>
  <c r="H10" i="13"/>
  <c r="H11" i="13"/>
  <c r="H12" i="13"/>
  <c r="H13" i="13"/>
  <c r="H14" i="13"/>
  <c r="H15" i="13"/>
  <c r="H16" i="13"/>
  <c r="H17" i="13"/>
  <c r="H18" i="13"/>
  <c r="H19" i="13"/>
  <c r="H5" i="13"/>
  <c r="H8" i="12"/>
  <c r="H9" i="12" s="1"/>
  <c r="H10" i="12" s="1"/>
  <c r="H11" i="12" s="1"/>
  <c r="H12" i="12" s="1"/>
  <c r="H13" i="12" s="1"/>
  <c r="H14" i="12" s="1"/>
  <c r="H15" i="12" s="1"/>
  <c r="H16" i="12" s="1"/>
  <c r="H17" i="12" s="1"/>
  <c r="H18" i="12" s="1"/>
  <c r="H19" i="12" s="1"/>
  <c r="H20" i="12" s="1"/>
  <c r="H21" i="12" s="1"/>
  <c r="H22" i="12" s="1"/>
  <c r="H23" i="12" s="1"/>
  <c r="H24" i="12" s="1"/>
  <c r="H25" i="12" s="1"/>
  <c r="H26" i="12" s="1"/>
  <c r="H27" i="12" s="1"/>
  <c r="H28" i="12" s="1"/>
  <c r="H29" i="12" s="1"/>
  <c r="H30" i="12" s="1"/>
  <c r="H31" i="12" s="1"/>
  <c r="H32" i="12" s="1"/>
  <c r="H33" i="12" s="1"/>
  <c r="H34" i="12" s="1"/>
  <c r="H35" i="12" s="1"/>
  <c r="H36" i="12" s="1"/>
  <c r="H37" i="12" s="1"/>
  <c r="H38" i="12" s="1"/>
  <c r="H39" i="12" s="1"/>
  <c r="H40" i="12" s="1"/>
  <c r="H41" i="12" s="1"/>
  <c r="H42" i="12" s="1"/>
  <c r="H43" i="12" s="1"/>
  <c r="H44" i="12" s="1"/>
  <c r="H45" i="12" s="1"/>
  <c r="H46" i="12" s="1"/>
  <c r="H47" i="12" s="1"/>
  <c r="H48" i="12" s="1"/>
  <c r="H49" i="12" s="1"/>
  <c r="H50" i="12" s="1"/>
  <c r="H51" i="12" s="1"/>
  <c r="H52" i="12" s="1"/>
  <c r="H53" i="12" s="1"/>
  <c r="H54" i="12" s="1"/>
  <c r="H55" i="12" s="1"/>
  <c r="H56"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X2" i="11"/>
  <c r="X3" i="11"/>
  <c r="Y3" i="11"/>
  <c r="Z3" i="11"/>
  <c r="AA3" i="11"/>
  <c r="AB3" i="11"/>
  <c r="AC3" i="11"/>
  <c r="X4" i="11"/>
  <c r="Y4" i="11"/>
  <c r="Z4" i="11"/>
  <c r="AA4" i="11"/>
  <c r="AC4" i="11"/>
  <c r="X5" i="11"/>
  <c r="Y5" i="11"/>
  <c r="Z5" i="11"/>
  <c r="AA5" i="11"/>
  <c r="X6" i="11"/>
  <c r="Y6" i="11"/>
  <c r="Z6" i="11"/>
  <c r="AA6" i="11"/>
  <c r="X7" i="11"/>
  <c r="Y7" i="11"/>
  <c r="Z7" i="11"/>
  <c r="AA7" i="11"/>
  <c r="X8" i="11"/>
  <c r="Y8" i="11"/>
  <c r="Z8" i="11"/>
  <c r="AA8" i="11"/>
  <c r="X9" i="11"/>
  <c r="Y9" i="11"/>
  <c r="Z9" i="11"/>
  <c r="AA9" i="11"/>
  <c r="X10" i="11"/>
  <c r="Y10" i="11"/>
  <c r="Z10" i="11"/>
  <c r="AA10" i="11"/>
  <c r="X11" i="11"/>
  <c r="Y11" i="11"/>
  <c r="Z11" i="11"/>
  <c r="AA11" i="11"/>
  <c r="X12" i="11"/>
  <c r="Y12" i="11"/>
  <c r="Z12" i="11"/>
  <c r="AA12" i="11"/>
  <c r="X13" i="11"/>
  <c r="Y13" i="11"/>
  <c r="Z13" i="11"/>
  <c r="AA13" i="11"/>
  <c r="X14" i="11"/>
  <c r="Y14" i="11"/>
  <c r="Z14" i="11"/>
  <c r="AA14" i="11"/>
  <c r="X15" i="11"/>
  <c r="Y15" i="11"/>
  <c r="Z15" i="11"/>
  <c r="AA15" i="11"/>
  <c r="X16" i="11"/>
  <c r="Y16" i="11"/>
  <c r="Z16" i="11"/>
  <c r="AA16" i="11"/>
  <c r="X17" i="11"/>
  <c r="Y17" i="11"/>
  <c r="Z17" i="11"/>
  <c r="AA17" i="11"/>
  <c r="H16" i="11"/>
  <c r="AB17" i="11" s="1"/>
  <c r="H15" i="11"/>
  <c r="AB16" i="11" s="1"/>
  <c r="H14" i="11"/>
  <c r="AB15" i="11" s="1"/>
  <c r="H13" i="11"/>
  <c r="AB14" i="11" s="1"/>
  <c r="H12" i="11"/>
  <c r="AB13" i="11" s="1"/>
  <c r="H11" i="11"/>
  <c r="AB12" i="11" s="1"/>
  <c r="H10" i="11"/>
  <c r="AB11" i="11" s="1"/>
  <c r="H9" i="11"/>
  <c r="AB10" i="11" s="1"/>
  <c r="H8" i="11"/>
  <c r="AB9" i="11" s="1"/>
  <c r="H7" i="11"/>
  <c r="AB8" i="11" s="1"/>
  <c r="H6" i="11"/>
  <c r="AB7" i="11" s="1"/>
  <c r="H5" i="11"/>
  <c r="AB6" i="11" s="1"/>
  <c r="H4" i="11"/>
  <c r="AB5" i="11" s="1"/>
  <c r="H3" i="11"/>
  <c r="AB4" i="11" s="1"/>
  <c r="D175" i="10"/>
  <c r="F179" i="10" s="1"/>
  <c r="I158" i="10"/>
  <c r="H158" i="10"/>
  <c r="I157" i="10"/>
  <c r="H157" i="10"/>
  <c r="I156" i="10"/>
  <c r="H156" i="10"/>
  <c r="I155" i="10"/>
  <c r="H155" i="10"/>
  <c r="I154" i="10"/>
  <c r="H154" i="10"/>
  <c r="I153" i="10"/>
  <c r="H153" i="10"/>
  <c r="I152" i="10"/>
  <c r="H152" i="10"/>
  <c r="I151" i="10"/>
  <c r="H151" i="10"/>
  <c r="I150" i="10"/>
  <c r="H150" i="10"/>
  <c r="I149" i="10"/>
  <c r="H149" i="10"/>
  <c r="I148" i="10"/>
  <c r="H148" i="10"/>
  <c r="I147" i="10"/>
  <c r="H147" i="10"/>
  <c r="I146" i="10"/>
  <c r="H146" i="10"/>
  <c r="I145" i="10"/>
  <c r="H145" i="10"/>
  <c r="I144" i="10"/>
  <c r="H144" i="10"/>
  <c r="I143" i="10"/>
  <c r="H143" i="10"/>
  <c r="I142" i="10"/>
  <c r="H142" i="10"/>
  <c r="I141" i="10"/>
  <c r="H141" i="10"/>
  <c r="I140" i="10"/>
  <c r="H140" i="10"/>
  <c r="I139" i="10"/>
  <c r="H139" i="10"/>
  <c r="I138" i="10" a="1"/>
  <c r="I138" i="10" s="1"/>
  <c r="H138" i="10"/>
  <c r="I137" i="10"/>
  <c r="H137" i="10"/>
  <c r="I136" i="10"/>
  <c r="H136" i="10"/>
  <c r="I135" i="10"/>
  <c r="H135" i="10"/>
  <c r="I134" i="10"/>
  <c r="H134" i="10"/>
  <c r="I133" i="10"/>
  <c r="H133" i="10"/>
  <c r="I132" i="10" a="1"/>
  <c r="I132" i="10" s="1"/>
  <c r="H132" i="10"/>
  <c r="I131" i="10"/>
  <c r="H131" i="10"/>
  <c r="I130" i="10"/>
  <c r="H130" i="10"/>
  <c r="I129" i="10"/>
  <c r="H129" i="10"/>
  <c r="I128" i="10"/>
  <c r="H128" i="10"/>
  <c r="I127" i="10"/>
  <c r="H127" i="10"/>
  <c r="I126" i="10"/>
  <c r="H126" i="10"/>
  <c r="I125" i="10"/>
  <c r="H125" i="10"/>
  <c r="I124" i="10"/>
  <c r="H124" i="10"/>
  <c r="I123" i="10"/>
  <c r="H123" i="10"/>
  <c r="I122" i="10" a="1"/>
  <c r="I122" i="10" s="1"/>
  <c r="H122" i="10"/>
  <c r="I121" i="10"/>
  <c r="H121" i="10"/>
  <c r="I120" i="10"/>
  <c r="H120" i="10"/>
  <c r="I119" i="10"/>
  <c r="H119" i="10"/>
  <c r="I118" i="10"/>
  <c r="H118" i="10"/>
  <c r="I117" i="10"/>
  <c r="H117" i="10"/>
  <c r="I116" i="10"/>
  <c r="H116" i="10"/>
  <c r="I115" i="10"/>
  <c r="H115" i="10"/>
  <c r="I114" i="10"/>
  <c r="H114" i="10"/>
  <c r="I106" i="10"/>
  <c r="H106" i="10"/>
  <c r="I105" i="10"/>
  <c r="H105" i="10"/>
  <c r="I104" i="10"/>
  <c r="H104" i="10"/>
  <c r="I103" i="10"/>
  <c r="H103" i="10"/>
  <c r="I102" i="10"/>
  <c r="H102" i="10"/>
  <c r="I101" i="10"/>
  <c r="H101" i="10"/>
  <c r="I100" i="10"/>
  <c r="H100" i="10"/>
  <c r="I99" i="10"/>
  <c r="H99" i="10"/>
  <c r="I98" i="10"/>
  <c r="H98" i="10"/>
  <c r="I97" i="10"/>
  <c r="H97" i="10"/>
  <c r="I96" i="10"/>
  <c r="H96" i="10"/>
  <c r="I95" i="10"/>
  <c r="H95" i="10"/>
  <c r="I94" i="10"/>
  <c r="H94" i="10"/>
  <c r="I93" i="10"/>
  <c r="H93" i="10"/>
  <c r="I92" i="10"/>
  <c r="H92" i="10"/>
  <c r="I91" i="10"/>
  <c r="H91" i="10"/>
  <c r="I90" i="10"/>
  <c r="H90" i="10"/>
  <c r="I89" i="10"/>
  <c r="H89" i="10"/>
  <c r="I88" i="10"/>
  <c r="H88" i="10"/>
  <c r="I87" i="10"/>
  <c r="H87" i="10"/>
  <c r="I86" i="10"/>
  <c r="H86" i="10"/>
  <c r="I85" i="10"/>
  <c r="H85" i="10"/>
  <c r="I84" i="10" a="1"/>
  <c r="I84" i="10" s="1"/>
  <c r="H84" i="10"/>
  <c r="I83" i="10"/>
  <c r="H83" i="10"/>
  <c r="I82" i="10"/>
  <c r="H82" i="10"/>
  <c r="I81" i="10"/>
  <c r="H81" i="10"/>
  <c r="I80" i="10"/>
  <c r="H80" i="10"/>
  <c r="I79" i="10"/>
  <c r="H79" i="10"/>
  <c r="I78" i="10"/>
  <c r="H78" i="10"/>
  <c r="I77" i="10" a="1"/>
  <c r="I77" i="10" s="1"/>
  <c r="H77" i="10"/>
  <c r="I76" i="10"/>
  <c r="H76" i="10"/>
  <c r="I75" i="10"/>
  <c r="H75" i="10"/>
  <c r="I74" i="10"/>
  <c r="H74" i="10"/>
  <c r="I73" i="10"/>
  <c r="H73" i="10"/>
  <c r="I72" i="10"/>
  <c r="H72" i="10"/>
  <c r="I71" i="10"/>
  <c r="H71" i="10"/>
  <c r="I70" i="10"/>
  <c r="H70" i="10"/>
  <c r="I69" i="10"/>
  <c r="H69" i="10"/>
  <c r="I68" i="10"/>
  <c r="H68" i="10"/>
  <c r="I67" i="10"/>
  <c r="H67" i="10"/>
  <c r="I66" i="10" a="1"/>
  <c r="I66" i="10" s="1"/>
  <c r="H66" i="10"/>
  <c r="I65" i="10"/>
  <c r="H65" i="10"/>
  <c r="I64" i="10"/>
  <c r="H64" i="10"/>
  <c r="I63" i="10"/>
  <c r="H63" i="10"/>
  <c r="I62" i="10"/>
  <c r="H62" i="10"/>
  <c r="I61" i="10"/>
  <c r="H61" i="10"/>
  <c r="I60" i="10"/>
  <c r="H60" i="10"/>
  <c r="I59" i="10"/>
  <c r="H59" i="10"/>
  <c r="I58" i="10"/>
  <c r="H58" i="10"/>
  <c r="I57" i="10"/>
  <c r="H57" i="10"/>
  <c r="I11" i="10" a="1"/>
  <c r="I11" i="10" s="1"/>
  <c r="I29" i="10" a="1"/>
  <c r="I29" i="10" s="1"/>
  <c r="I22" i="10" a="1"/>
  <c r="I22" i="10" s="1"/>
  <c r="I3" i="10"/>
  <c r="I4" i="10"/>
  <c r="I5" i="10"/>
  <c r="I6" i="10"/>
  <c r="I7" i="10"/>
  <c r="I8" i="10"/>
  <c r="I9" i="10"/>
  <c r="I10" i="10"/>
  <c r="I12" i="10"/>
  <c r="I13"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2" i="10"/>
  <c r="H3" i="10"/>
  <c r="J3" i="10" s="1"/>
  <c r="H4" i="10"/>
  <c r="J4" i="10" s="1"/>
  <c r="H5" i="10"/>
  <c r="J5" i="10" s="1"/>
  <c r="H6" i="10"/>
  <c r="J6" i="10" s="1"/>
  <c r="H7" i="10"/>
  <c r="J7" i="10" s="1"/>
  <c r="H8" i="10"/>
  <c r="J8" i="10" s="1"/>
  <c r="H9" i="10"/>
  <c r="J9" i="10" s="1"/>
  <c r="H10" i="10"/>
  <c r="J10" i="10" s="1"/>
  <c r="H11" i="10"/>
  <c r="J11" i="10" s="1"/>
  <c r="H12" i="10"/>
  <c r="J12" i="10" s="1"/>
  <c r="H13" i="10"/>
  <c r="J13" i="10" s="1"/>
  <c r="H14" i="10"/>
  <c r="J14" i="10" s="1"/>
  <c r="H15" i="10"/>
  <c r="J15" i="10" s="1"/>
  <c r="H16" i="10"/>
  <c r="J16" i="10" s="1"/>
  <c r="H17" i="10"/>
  <c r="J17" i="10" s="1"/>
  <c r="H18" i="10"/>
  <c r="J18" i="10" s="1"/>
  <c r="H19" i="10"/>
  <c r="J19" i="10" s="1"/>
  <c r="H20" i="10"/>
  <c r="J20" i="10" s="1"/>
  <c r="H21" i="10"/>
  <c r="J21" i="10" s="1"/>
  <c r="H22" i="10"/>
  <c r="J22" i="10" s="1"/>
  <c r="H23" i="10"/>
  <c r="J23" i="10" s="1"/>
  <c r="H24" i="10"/>
  <c r="J24" i="10" s="1"/>
  <c r="H25" i="10"/>
  <c r="J25" i="10" s="1"/>
  <c r="H26" i="10"/>
  <c r="J26" i="10" s="1"/>
  <c r="H27" i="10"/>
  <c r="J27" i="10" s="1"/>
  <c r="H28" i="10"/>
  <c r="J28" i="10" s="1"/>
  <c r="H29" i="10"/>
  <c r="J29" i="10" s="1"/>
  <c r="H30" i="10"/>
  <c r="J30" i="10" s="1"/>
  <c r="H31" i="10"/>
  <c r="J31" i="10" s="1"/>
  <c r="H32" i="10"/>
  <c r="J32" i="10" s="1"/>
  <c r="H33" i="10"/>
  <c r="J33" i="10" s="1"/>
  <c r="H34" i="10"/>
  <c r="J34" i="10" s="1"/>
  <c r="H35" i="10"/>
  <c r="J35" i="10" s="1"/>
  <c r="H36" i="10"/>
  <c r="J36" i="10" s="1"/>
  <c r="H37" i="10"/>
  <c r="J37" i="10" s="1"/>
  <c r="H38" i="10"/>
  <c r="J38" i="10" s="1"/>
  <c r="H39" i="10"/>
  <c r="J39" i="10" s="1"/>
  <c r="H40" i="10"/>
  <c r="J40" i="10" s="1"/>
  <c r="H41" i="10"/>
  <c r="J41" i="10" s="1"/>
  <c r="H42" i="10"/>
  <c r="J42" i="10" s="1"/>
  <c r="H43" i="10"/>
  <c r="J43" i="10" s="1"/>
  <c r="H44" i="10"/>
  <c r="J44" i="10" s="1"/>
  <c r="H45" i="10"/>
  <c r="J45" i="10" s="1"/>
  <c r="H46" i="10"/>
  <c r="J46" i="10" s="1"/>
  <c r="H47" i="10"/>
  <c r="J47" i="10" s="1"/>
  <c r="H48" i="10"/>
  <c r="J48" i="10" s="1"/>
  <c r="H49" i="10"/>
  <c r="J49" i="10" s="1"/>
  <c r="H50" i="10"/>
  <c r="J50" i="10" s="1"/>
  <c r="H51" i="10"/>
  <c r="J51" i="10" s="1"/>
  <c r="H2" i="10"/>
  <c r="J2" i="10" s="1"/>
  <c r="A3" i="5"/>
  <c r="A4" i="5"/>
  <c r="A5" i="5" s="1"/>
  <c r="A6" i="5" s="1"/>
  <c r="A7" i="5" s="1"/>
  <c r="A8" i="5" s="1"/>
  <c r="A9" i="5" s="1"/>
  <c r="A10" i="5" s="1"/>
  <c r="A11" i="5" s="1"/>
  <c r="A12" i="5" s="1"/>
  <c r="A13" i="5" s="1"/>
  <c r="A14" i="5" s="1"/>
  <c r="A15" i="5" s="1"/>
  <c r="A16" i="5" s="1"/>
  <c r="A17" i="5" s="1"/>
  <c r="A18" i="5" s="1"/>
  <c r="A19" i="5" s="1"/>
  <c r="A20" i="5" s="1"/>
  <c r="A21" i="5" s="1"/>
  <c r="A22" i="5" s="1"/>
  <c r="A23" i="5" s="1"/>
  <c r="C60" i="9" a="1"/>
  <c r="C60" i="9" s="1"/>
  <c r="F39" i="7"/>
  <c r="F3" i="5"/>
  <c r="F4" i="5" s="1"/>
  <c r="F5" i="5" s="1"/>
  <c r="F6" i="5" s="1"/>
  <c r="F7" i="5" s="1"/>
  <c r="F8" i="5" s="1"/>
  <c r="F9" i="5" s="1"/>
  <c r="F10" i="5" s="1"/>
  <c r="F11" i="5" s="1"/>
  <c r="F12" i="5" s="1"/>
  <c r="F13" i="5" s="1"/>
  <c r="F14" i="5" s="1"/>
  <c r="F15" i="5" s="1"/>
  <c r="F16" i="5" s="1"/>
  <c r="F17" i="5" s="1"/>
  <c r="F18" i="5" s="1"/>
  <c r="F19" i="5" s="1"/>
  <c r="F20" i="5" s="1"/>
  <c r="F21" i="5" s="1"/>
  <c r="F22" i="5" s="1"/>
  <c r="F23" i="5" s="1"/>
  <c r="K4" i="4"/>
  <c r="K5" i="4" s="1"/>
  <c r="K6" i="4" s="1"/>
  <c r="K7" i="4" s="1"/>
  <c r="K8" i="4" s="1"/>
  <c r="K9" i="4" s="1"/>
  <c r="K10" i="4" s="1"/>
  <c r="K11" i="4" s="1"/>
  <c r="K12" i="4" s="1"/>
  <c r="K13" i="4" s="1"/>
  <c r="K14" i="4" s="1"/>
  <c r="K15" i="4" s="1"/>
  <c r="K16" i="4" s="1"/>
  <c r="K17" i="4" s="1"/>
  <c r="K18" i="4" s="1"/>
  <c r="K19" i="4" s="1"/>
  <c r="K20" i="4" s="1"/>
  <c r="K21" i="4" s="1"/>
  <c r="K22" i="4" s="1"/>
  <c r="K23" i="4" s="1"/>
  <c r="K24" i="4" s="1"/>
  <c r="K25" i="4" s="1"/>
  <c r="K26" i="4" s="1"/>
  <c r="K27" i="4" s="1"/>
  <c r="K28" i="4" s="1"/>
  <c r="K29" i="4" s="1"/>
  <c r="K30" i="4" s="1"/>
  <c r="K31" i="4" s="1"/>
  <c r="K32" i="4" s="1"/>
  <c r="K33" i="4" s="1"/>
  <c r="K34" i="4" s="1"/>
  <c r="K35" i="4" s="1"/>
  <c r="K36" i="4" s="1"/>
  <c r="K37" i="4" s="1"/>
  <c r="K38" i="4" s="1"/>
  <c r="K39" i="4" s="1"/>
  <c r="K40" i="4" s="1"/>
  <c r="K41" i="4" s="1"/>
  <c r="K42" i="4" s="1"/>
  <c r="K43" i="4" s="1"/>
  <c r="K44" i="4" s="1"/>
  <c r="K45" i="4" s="1"/>
  <c r="K46" i="4" s="1"/>
  <c r="K47" i="4" s="1"/>
  <c r="K48" i="4" s="1"/>
  <c r="K49" i="4" s="1"/>
  <c r="K50" i="4" s="1"/>
  <c r="K51" i="4" s="1"/>
  <c r="K3" i="4"/>
  <c r="A57" i="4"/>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8" i="3"/>
  <c r="F6" i="3"/>
  <c r="F14" i="3"/>
  <c r="D2" i="3"/>
  <c r="E2" i="3"/>
  <c r="C3" i="3"/>
  <c r="D3" i="3"/>
  <c r="F3" i="3"/>
  <c r="D4" i="3"/>
  <c r="E4" i="3"/>
  <c r="C5" i="3"/>
  <c r="D5" i="3"/>
  <c r="F5" i="3"/>
  <c r="C6" i="3"/>
  <c r="D6" i="3"/>
  <c r="D7" i="3"/>
  <c r="E7" i="3"/>
  <c r="F7" i="3"/>
  <c r="C8" i="3"/>
  <c r="C9" i="3"/>
  <c r="D9" i="3"/>
  <c r="E9" i="3"/>
  <c r="F9" i="3"/>
  <c r="C10" i="3"/>
  <c r="E10" i="3"/>
  <c r="C11" i="3"/>
  <c r="D11" i="3"/>
  <c r="E11" i="3"/>
  <c r="F11" i="3"/>
  <c r="C12" i="3"/>
  <c r="D12" i="3"/>
  <c r="E12" i="3"/>
  <c r="C13" i="3"/>
  <c r="D13" i="3"/>
  <c r="F13" i="3"/>
  <c r="C14" i="3"/>
  <c r="D14" i="3"/>
  <c r="E15" i="3"/>
  <c r="G15"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B3" i="2"/>
  <c r="B4" i="2" s="1"/>
  <c r="B5" i="2" s="1"/>
  <c r="B6" i="2" s="1"/>
  <c r="B7" i="2" s="1"/>
  <c r="I41" i="13" l="1"/>
  <c r="I40" i="13"/>
  <c r="I39" i="13"/>
  <c r="I37" i="13"/>
  <c r="A42" i="4"/>
  <c r="A43" i="4" s="1"/>
  <c r="A44" i="4" s="1"/>
  <c r="A45" i="4" s="1"/>
  <c r="A46" i="4" s="1"/>
  <c r="A47" i="4" s="1"/>
  <c r="A48" i="4" s="1"/>
  <c r="A49" i="4" s="1"/>
  <c r="A50" i="4" s="1"/>
  <c r="A51" i="4" s="1"/>
  <c r="I10" i="3"/>
  <c r="I7" i="3"/>
  <c r="I12" i="3"/>
  <c r="I13" i="3"/>
  <c r="I4" i="3"/>
  <c r="I8" i="3"/>
  <c r="H10" i="3"/>
  <c r="I3" i="3"/>
  <c r="I9" i="3"/>
  <c r="I2" i="3"/>
  <c r="I6" i="3"/>
  <c r="I14" i="3"/>
  <c r="I5" i="3"/>
  <c r="I11" i="3"/>
  <c r="I15" i="3"/>
  <c r="H4" i="3"/>
  <c r="H12" i="3"/>
  <c r="H14" i="3"/>
  <c r="H9" i="3"/>
  <c r="H6" i="3"/>
  <c r="H3" i="3"/>
  <c r="H11" i="3"/>
  <c r="H8" i="3"/>
  <c r="H13" i="3"/>
  <c r="H7" i="3"/>
  <c r="H5" i="3"/>
  <c r="H15" i="3"/>
  <c r="H2" i="3"/>
  <c r="G8" i="3"/>
  <c r="G9" i="3"/>
  <c r="G6" i="3"/>
  <c r="G14" i="3"/>
  <c r="G11" i="3"/>
  <c r="G2" i="3"/>
  <c r="G13" i="3"/>
  <c r="G5" i="3"/>
  <c r="G10" i="3"/>
  <c r="G7" i="3"/>
  <c r="G4" i="3"/>
  <c r="G12" i="3"/>
  <c r="G3" i="3"/>
  <c r="C3" i="2"/>
  <c r="D3" i="2" s="1"/>
  <c r="E3" i="2" s="1"/>
  <c r="H3" i="2" s="1"/>
  <c r="C4" i="2"/>
  <c r="D4" i="2" s="1"/>
  <c r="B8" i="2"/>
  <c r="C7" i="2"/>
  <c r="D7" i="2" s="1"/>
  <c r="C6" i="2"/>
  <c r="C5" i="2"/>
  <c r="E7" i="2" l="1"/>
  <c r="H7" i="2" s="1"/>
  <c r="D5" i="2"/>
  <c r="E5" i="2" s="1"/>
  <c r="B9" i="2"/>
  <c r="C8" i="2"/>
  <c r="G3" i="2"/>
  <c r="K3" i="2" s="1"/>
  <c r="F3" i="2"/>
  <c r="D6" i="2"/>
  <c r="E4" i="2"/>
  <c r="F4" i="2" s="1"/>
  <c r="H5" i="2" l="1"/>
  <c r="G7" i="2"/>
  <c r="K7" i="2" s="1"/>
  <c r="I3" i="2"/>
  <c r="J3" i="2"/>
  <c r="L3" i="2"/>
  <c r="F7" i="2"/>
  <c r="D8" i="2"/>
  <c r="E6" i="2"/>
  <c r="F6" i="2" s="1"/>
  <c r="H4" i="2"/>
  <c r="B10" i="2"/>
  <c r="C9" i="2"/>
  <c r="G4" i="2"/>
  <c r="G5" i="2"/>
  <c r="F5" i="2"/>
  <c r="M3" i="2" l="1"/>
  <c r="N3" i="2" s="1"/>
  <c r="G6" i="2"/>
  <c r="I5" i="2"/>
  <c r="L5" i="2"/>
  <c r="J5" i="2"/>
  <c r="B11" i="2"/>
  <c r="C10" i="2"/>
  <c r="D10" i="2" s="1"/>
  <c r="K5" i="2"/>
  <c r="E8" i="2"/>
  <c r="H8" i="2" s="1"/>
  <c r="K4" i="2"/>
  <c r="L4" i="2"/>
  <c r="I4" i="2"/>
  <c r="J4" i="2"/>
  <c r="L7" i="2"/>
  <c r="J7" i="2"/>
  <c r="I7" i="2"/>
  <c r="D9" i="2"/>
  <c r="H6" i="2"/>
  <c r="M7" i="2" l="1"/>
  <c r="N7" i="2" s="1"/>
  <c r="G8" i="2"/>
  <c r="I8" i="2" s="1"/>
  <c r="F8" i="2"/>
  <c r="E9" i="2"/>
  <c r="H9" i="2" s="1"/>
  <c r="M5" i="2"/>
  <c r="N5" i="2" s="1"/>
  <c r="K6" i="2"/>
  <c r="B12" i="2"/>
  <c r="C11" i="2"/>
  <c r="D11" i="2" s="1"/>
  <c r="I6" i="2"/>
  <c r="J6" i="2"/>
  <c r="L6" i="2"/>
  <c r="E10" i="2"/>
  <c r="H10" i="2" s="1"/>
  <c r="M4" i="2"/>
  <c r="N4" i="2" s="1"/>
  <c r="J8" i="2" l="1"/>
  <c r="K8" i="2"/>
  <c r="M6" i="2"/>
  <c r="N6" i="2" s="1"/>
  <c r="L8" i="2"/>
  <c r="G9" i="2"/>
  <c r="L9" i="2" s="1"/>
  <c r="E11" i="2"/>
  <c r="G11" i="2" s="1"/>
  <c r="F9" i="2"/>
  <c r="G10" i="2"/>
  <c r="B13" i="2"/>
  <c r="C12" i="2"/>
  <c r="D12" i="2" s="1"/>
  <c r="F10" i="2"/>
  <c r="M8" i="2" l="1"/>
  <c r="N8" i="2" s="1"/>
  <c r="J9" i="2"/>
  <c r="H11" i="2"/>
  <c r="I11" i="2" s="1"/>
  <c r="F11" i="2"/>
  <c r="K9" i="2"/>
  <c r="I9" i="2"/>
  <c r="B14" i="2"/>
  <c r="C13" i="2"/>
  <c r="E12" i="2"/>
  <c r="H12" i="2" s="1"/>
  <c r="I10" i="2"/>
  <c r="J10" i="2"/>
  <c r="L10" i="2"/>
  <c r="K10" i="2"/>
  <c r="M9" i="2" l="1"/>
  <c r="N9" i="2" s="1"/>
  <c r="K11" i="2"/>
  <c r="L11" i="2"/>
  <c r="J11" i="2"/>
  <c r="M10" i="2"/>
  <c r="N10" i="2" s="1"/>
  <c r="F12" i="2"/>
  <c r="G12" i="2"/>
  <c r="L12" i="2" s="1"/>
  <c r="B15" i="2"/>
  <c r="C14" i="2"/>
  <c r="D13" i="2"/>
  <c r="M11" i="2" l="1"/>
  <c r="N11" i="2" s="1"/>
  <c r="J12" i="2"/>
  <c r="I12" i="2"/>
  <c r="K12" i="2"/>
  <c r="B16" i="2"/>
  <c r="C15" i="2"/>
  <c r="D15" i="2" s="1"/>
  <c r="E13" i="2"/>
  <c r="H13" i="2" s="1"/>
  <c r="D14" i="2"/>
  <c r="M12" i="2" l="1"/>
  <c r="N12" i="2" s="1"/>
  <c r="E14" i="2"/>
  <c r="H14" i="2" s="1"/>
  <c r="G13" i="2"/>
  <c r="K13" i="2" s="1"/>
  <c r="E15" i="2"/>
  <c r="H15" i="2" s="1"/>
  <c r="B17" i="2"/>
  <c r="C16" i="2"/>
  <c r="F13" i="2"/>
  <c r="G14" i="2" l="1"/>
  <c r="K14" i="2" s="1"/>
  <c r="B18" i="2"/>
  <c r="C17" i="2"/>
  <c r="F14" i="2"/>
  <c r="D16" i="2"/>
  <c r="G15" i="2"/>
  <c r="K15" i="2" s="1"/>
  <c r="L13" i="2"/>
  <c r="I13" i="2"/>
  <c r="J13" i="2"/>
  <c r="F15" i="2"/>
  <c r="M13" i="2" l="1"/>
  <c r="N13" i="2" s="1"/>
  <c r="L14" i="2"/>
  <c r="I14" i="2"/>
  <c r="J14" i="2"/>
  <c r="B19" i="2"/>
  <c r="C18" i="2"/>
  <c r="D17" i="2"/>
  <c r="E16" i="2"/>
  <c r="H16" i="2" s="1"/>
  <c r="L15" i="2"/>
  <c r="I15" i="2"/>
  <c r="J15" i="2"/>
  <c r="M15" i="2" l="1"/>
  <c r="N15" i="2" s="1"/>
  <c r="F16" i="2"/>
  <c r="E17" i="2"/>
  <c r="H17" i="2" s="1"/>
  <c r="D18" i="2"/>
  <c r="G16" i="2"/>
  <c r="B20" i="2"/>
  <c r="C19" i="2"/>
  <c r="D19" i="2" s="1"/>
  <c r="M14" i="2"/>
  <c r="N14" i="2" s="1"/>
  <c r="E19" i="2" l="1"/>
  <c r="H19" i="2" s="1"/>
  <c r="G17" i="2"/>
  <c r="K17" i="2" s="1"/>
  <c r="B21" i="2"/>
  <c r="C20" i="2"/>
  <c r="D20" i="2" s="1"/>
  <c r="F17" i="2"/>
  <c r="J16" i="2"/>
  <c r="I16" i="2"/>
  <c r="L16" i="2"/>
  <c r="K16" i="2"/>
  <c r="E18" i="2"/>
  <c r="H18" i="2" s="1"/>
  <c r="G19" i="2" l="1"/>
  <c r="K19" i="2" s="1"/>
  <c r="F19" i="2"/>
  <c r="E20" i="2"/>
  <c r="F20" i="2" s="1"/>
  <c r="G18" i="2"/>
  <c r="J18" i="2" s="1"/>
  <c r="F18" i="2"/>
  <c r="M16" i="2"/>
  <c r="N16" i="2" s="1"/>
  <c r="J17" i="2"/>
  <c r="I17" i="2"/>
  <c r="L17" i="2"/>
  <c r="B22" i="2"/>
  <c r="C21" i="2"/>
  <c r="D21" i="2" s="1"/>
  <c r="L19" i="2" l="1"/>
  <c r="J19" i="2"/>
  <c r="I19" i="2"/>
  <c r="H20" i="2"/>
  <c r="G20" i="2"/>
  <c r="K18" i="2"/>
  <c r="M17" i="2"/>
  <c r="N17" i="2" s="1"/>
  <c r="I18" i="2"/>
  <c r="L18" i="2"/>
  <c r="B23" i="2"/>
  <c r="C22" i="2"/>
  <c r="E21" i="2"/>
  <c r="H21" i="2" s="1"/>
  <c r="J20" i="2" l="1"/>
  <c r="I20" i="2"/>
  <c r="L20" i="2"/>
  <c r="M19" i="2"/>
  <c r="N19" i="2" s="1"/>
  <c r="M18" i="2"/>
  <c r="N18" i="2" s="1"/>
  <c r="K20" i="2"/>
  <c r="D22" i="2"/>
  <c r="E22" i="2" s="1"/>
  <c r="B24" i="2"/>
  <c r="C23" i="2"/>
  <c r="D23" i="2" s="1"/>
  <c r="E23" i="2" s="1"/>
  <c r="F21" i="2"/>
  <c r="G21" i="2"/>
  <c r="M20" i="2" l="1"/>
  <c r="N20" i="2" s="1"/>
  <c r="H22" i="2"/>
  <c r="G22" i="2"/>
  <c r="F22" i="2"/>
  <c r="H23" i="2"/>
  <c r="L21" i="2"/>
  <c r="I21" i="2"/>
  <c r="J21" i="2"/>
  <c r="B25" i="2"/>
  <c r="C24" i="2"/>
  <c r="K21" i="2"/>
  <c r="F23" i="2"/>
  <c r="G23" i="2"/>
  <c r="K23" i="2" l="1"/>
  <c r="J22" i="2"/>
  <c r="K22" i="2"/>
  <c r="I22" i="2"/>
  <c r="L22" i="2"/>
  <c r="M21" i="2"/>
  <c r="N21" i="2" s="1"/>
  <c r="B26" i="2"/>
  <c r="C25" i="2"/>
  <c r="D25" i="2" s="1"/>
  <c r="L23" i="2"/>
  <c r="J23" i="2"/>
  <c r="I23" i="2"/>
  <c r="D24" i="2"/>
  <c r="M22" i="2" l="1"/>
  <c r="N22" i="2" s="1"/>
  <c r="M23" i="2"/>
  <c r="N23" i="2" s="1"/>
  <c r="B27" i="2"/>
  <c r="C26" i="2"/>
  <c r="D26" i="2" s="1"/>
  <c r="E24" i="2"/>
  <c r="H24" i="2" s="1"/>
  <c r="E25" i="2"/>
  <c r="H25" i="2" s="1"/>
  <c r="E26" i="2" l="1"/>
  <c r="H26" i="2" s="1"/>
  <c r="F25" i="2"/>
  <c r="G25" i="2"/>
  <c r="K25" i="2" s="1"/>
  <c r="B28" i="2"/>
  <c r="C27" i="2"/>
  <c r="G24" i="2"/>
  <c r="F24" i="2"/>
  <c r="G26" i="2" l="1"/>
  <c r="D27" i="2"/>
  <c r="B29" i="2"/>
  <c r="C28" i="2"/>
  <c r="D28" i="2" s="1"/>
  <c r="E28" i="2" s="1"/>
  <c r="H28" i="2" s="1"/>
  <c r="J24" i="2"/>
  <c r="L24" i="2"/>
  <c r="I24" i="2"/>
  <c r="K24" i="2"/>
  <c r="J25" i="2"/>
  <c r="L25" i="2"/>
  <c r="I25" i="2"/>
  <c r="F26" i="2"/>
  <c r="M25" i="2" l="1"/>
  <c r="N25" i="2" s="1"/>
  <c r="M24" i="2"/>
  <c r="N24" i="2" s="1"/>
  <c r="B30" i="2"/>
  <c r="C29" i="2"/>
  <c r="D29" i="2" s="1"/>
  <c r="I26" i="2"/>
  <c r="J26" i="2"/>
  <c r="L26" i="2"/>
  <c r="K26" i="2"/>
  <c r="E27" i="2"/>
  <c r="H27" i="2" s="1"/>
  <c r="G28" i="2"/>
  <c r="F28" i="2"/>
  <c r="G27" i="2" l="1"/>
  <c r="J27" i="2" s="1"/>
  <c r="M26" i="2"/>
  <c r="N26" i="2" s="1"/>
  <c r="E29" i="2"/>
  <c r="H29" i="2" s="1"/>
  <c r="L28" i="2"/>
  <c r="I28" i="2"/>
  <c r="J28" i="2"/>
  <c r="K28" i="2"/>
  <c r="B31" i="2"/>
  <c r="C30" i="2"/>
  <c r="F27" i="2"/>
  <c r="M28" i="2" l="1"/>
  <c r="N28" i="2" s="1"/>
  <c r="L27" i="2"/>
  <c r="I27" i="2"/>
  <c r="K27" i="2"/>
  <c r="B32" i="2"/>
  <c r="C31" i="2"/>
  <c r="D31" i="2" s="1"/>
  <c r="D30" i="2"/>
  <c r="G29" i="2"/>
  <c r="F29" i="2"/>
  <c r="M27" i="2" l="1"/>
  <c r="N27" i="2" s="1"/>
  <c r="E30" i="2"/>
  <c r="H30" i="2" s="1"/>
  <c r="E31" i="2"/>
  <c r="H31" i="2" s="1"/>
  <c r="I29" i="2"/>
  <c r="L29" i="2"/>
  <c r="J29" i="2"/>
  <c r="B33" i="2"/>
  <c r="C32" i="2"/>
  <c r="D32" i="2" s="1"/>
  <c r="K29" i="2"/>
  <c r="G31" i="2" l="1"/>
  <c r="L31" i="2" s="1"/>
  <c r="M29" i="2"/>
  <c r="N29" i="2" s="1"/>
  <c r="G30" i="2"/>
  <c r="E32" i="2"/>
  <c r="H32" i="2" s="1"/>
  <c r="B34" i="2"/>
  <c r="C33" i="2"/>
  <c r="D33" i="2" s="1"/>
  <c r="F30" i="2"/>
  <c r="F31" i="2"/>
  <c r="J31" i="2" l="1"/>
  <c r="K31" i="2"/>
  <c r="I31" i="2"/>
  <c r="L30" i="2"/>
  <c r="I30" i="2"/>
  <c r="J30" i="2"/>
  <c r="K30" i="2"/>
  <c r="E33" i="2"/>
  <c r="H33" i="2" s="1"/>
  <c r="B35" i="2"/>
  <c r="C34" i="2"/>
  <c r="D34" i="2" s="1"/>
  <c r="G32" i="2"/>
  <c r="K32" i="2" s="1"/>
  <c r="F32" i="2"/>
  <c r="M31" i="2" l="1"/>
  <c r="N31" i="2" s="1"/>
  <c r="M30" i="2"/>
  <c r="N30" i="2" s="1"/>
  <c r="E34" i="2"/>
  <c r="G34" i="2" s="1"/>
  <c r="B36" i="2"/>
  <c r="C35" i="2"/>
  <c r="F33" i="2"/>
  <c r="J32" i="2"/>
  <c r="I32" i="2"/>
  <c r="L32" i="2"/>
  <c r="G33" i="2"/>
  <c r="K33" i="2" s="1"/>
  <c r="M32" i="2" l="1"/>
  <c r="N32" i="2" s="1"/>
  <c r="B37" i="2"/>
  <c r="C36" i="2"/>
  <c r="D36" i="2" s="1"/>
  <c r="H34" i="2"/>
  <c r="K34" i="2" s="1"/>
  <c r="F34" i="2"/>
  <c r="D35" i="2"/>
  <c r="J33" i="2"/>
  <c r="I33" i="2"/>
  <c r="L33" i="2"/>
  <c r="M33" i="2" l="1"/>
  <c r="N33" i="2" s="1"/>
  <c r="E36" i="2"/>
  <c r="H36" i="2" s="1"/>
  <c r="I34" i="2"/>
  <c r="L34" i="2"/>
  <c r="J34" i="2"/>
  <c r="B38" i="2"/>
  <c r="C37" i="2"/>
  <c r="D37" i="2" s="1"/>
  <c r="E35" i="2"/>
  <c r="F35" i="2" s="1"/>
  <c r="M34" i="2" l="1"/>
  <c r="N34" i="2" s="1"/>
  <c r="G35" i="2"/>
  <c r="E37" i="2"/>
  <c r="H37" i="2" s="1"/>
  <c r="F36" i="2"/>
  <c r="B39" i="2"/>
  <c r="C38" i="2"/>
  <c r="D38" i="2" s="1"/>
  <c r="H35" i="2"/>
  <c r="G36" i="2"/>
  <c r="K36" i="2" s="1"/>
  <c r="F37" i="2" l="1"/>
  <c r="G37" i="2"/>
  <c r="L37" i="2" s="1"/>
  <c r="I35" i="2"/>
  <c r="L35" i="2"/>
  <c r="J35" i="2"/>
  <c r="E38" i="2"/>
  <c r="F38" i="2" s="1"/>
  <c r="L36" i="2"/>
  <c r="I36" i="2"/>
  <c r="J36" i="2"/>
  <c r="B40" i="2"/>
  <c r="C39" i="2"/>
  <c r="D39" i="2" s="1"/>
  <c r="K35" i="2"/>
  <c r="J37" i="2" l="1"/>
  <c r="K37" i="2"/>
  <c r="I37" i="2"/>
  <c r="H38" i="2"/>
  <c r="M36" i="2"/>
  <c r="N36" i="2" s="1"/>
  <c r="M35" i="2"/>
  <c r="N35" i="2" s="1"/>
  <c r="G38" i="2"/>
  <c r="B41" i="2"/>
  <c r="C40" i="2"/>
  <c r="D40" i="2" s="1"/>
  <c r="E39" i="2"/>
  <c r="H39" i="2" s="1"/>
  <c r="K38" i="2" l="1"/>
  <c r="M37" i="2"/>
  <c r="N37" i="2" s="1"/>
  <c r="L38" i="2"/>
  <c r="I38" i="2"/>
  <c r="J38" i="2"/>
  <c r="F39" i="2"/>
  <c r="G39" i="2"/>
  <c r="L39" i="2" s="1"/>
  <c r="B42" i="2"/>
  <c r="C41" i="2"/>
  <c r="E40" i="2"/>
  <c r="H40" i="2" s="1"/>
  <c r="M38" i="2" l="1"/>
  <c r="N38" i="2" s="1"/>
  <c r="I39" i="2"/>
  <c r="K39" i="2"/>
  <c r="J39" i="2"/>
  <c r="D41" i="2"/>
  <c r="G40" i="2"/>
  <c r="F40" i="2"/>
  <c r="C42" i="2"/>
  <c r="D42" i="2" s="1"/>
  <c r="M39" i="2" l="1"/>
  <c r="N39" i="2" s="1"/>
  <c r="J40" i="2"/>
  <c r="L40" i="2"/>
  <c r="I40" i="2"/>
  <c r="K40" i="2"/>
  <c r="E42" i="2"/>
  <c r="F42" i="2" s="1"/>
  <c r="E41" i="2"/>
  <c r="H41" i="2" s="1"/>
  <c r="M40" i="2" l="1"/>
  <c r="N40" i="2" s="1"/>
  <c r="G42" i="2"/>
  <c r="G41" i="2"/>
  <c r="F41" i="2"/>
  <c r="F43" i="2" s="1"/>
  <c r="H42" i="2"/>
  <c r="G43" i="2" l="1"/>
  <c r="I42" i="2"/>
  <c r="J42" i="2"/>
  <c r="L42" i="2"/>
  <c r="K42" i="2"/>
  <c r="J41" i="2"/>
  <c r="L41" i="2"/>
  <c r="I41" i="2"/>
  <c r="K41" i="2"/>
  <c r="M42" i="2" l="1"/>
  <c r="N42" i="2" s="1"/>
  <c r="M41" i="2"/>
  <c r="N4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<sst xmlns="http://schemas.openxmlformats.org/spreadsheetml/2006/main" count="4385" uniqueCount="907">
  <si>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</si>
  <si>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</si>
  <si>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</si>
  <si>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</si>
  <si>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</si>
  <si>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</si>
  <si>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</si>
  <si>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</si>
  <si>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</si>
  <si>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</si>
  <si>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</si>
  <si>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</si>
  <si>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</si>
  <si>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</si>
  <si>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</si>
  <si>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</si>
  <si>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</si>
  <si>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</si>
  <si>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</si>
  <si>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</si>
  <si>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</si>
  <si>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</si>
  <si>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</si>
  <si>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</si>
  <si>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</si>
  <si>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</si>
  <si>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</si>
  <si>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</si>
  <si>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</si>
  <si>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</si>
  <si>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</si>
  <si>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</si>
  <si>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</si>
  <si>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</si>
  <si>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</si>
  <si>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</si>
  <si>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</si>
  <si>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</si>
  <si>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</si>
  <si>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</si>
  <si>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</si>
  <si>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</si>
  <si>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</si>
  <si>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</si>
  <si>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</si>
  <si>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</si>
  <si>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</si>
  <si>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</si>
  <si>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</si>
  <si>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</si>
  <si>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</si>
  <si>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</si>
  <si>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</si>
  <si>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</si>
  <si>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</si>
  <si>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</si>
  <si>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</si>
  <si>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</si>
  <si>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</si>
  <si>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</si>
  <si>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</si>
  <si>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</si>
  <si>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</si>
  <si>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</si>
  <si>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</si>
  <si>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</si>
  <si>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</si>
  <si>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</si>
  <si>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</si>
  <si>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</si>
  <si>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</si>
  <si>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</si>
  <si>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</si>
  <si>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</si>
  <si>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</si>
  <si>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</si>
  <si>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</si>
  <si>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</si>
  <si>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</si>
  <si>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</si>
  <si>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</si>
  <si>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</si>
  <si>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</si>
  <si>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</si>
  <si>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</si>
  <si>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</si>
  <si>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</si>
  <si>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</si>
  <si>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</si>
  <si>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</si>
  <si>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</si>
  <si>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</si>
  <si>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</si>
  <si>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</si>
  <si>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</si>
  <si>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</si>
  <si>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</si>
  <si>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</si>
  <si>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</si>
  <si>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</si>
  <si>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</si>
  <si>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</si>
  <si>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</si>
  <si>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</si>
  <si>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</si>
  <si>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</si>
  <si>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</si>
  <si>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</si>
  <si>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</si>
  <si>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</si>
  <si>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</si>
  <si>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</si>
  <si>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</si>
  <si>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</si>
  <si>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</si>
  <si>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</si>
  <si>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</si>
  <si>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</si>
  <si>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</si>
  <si>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</si>
  <si>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</si>
  <si>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</si>
  <si>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</si>
  <si>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</si>
  <si>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</si>
  <si>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</si>
  <si>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</si>
  <si>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</si>
  <si>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</si>
  <si>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</si>
  <si>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</si>
  <si>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</si>
  <si>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</si>
  <si>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</si>
  <si>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</si>
  <si>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</si>
  <si>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</si>
  <si>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</si>
  <si>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</si>
  <si>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</si>
  <si>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</si>
  <si>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</si>
  <si>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</si>
  <si>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</si>
  <si>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</si>
  <si>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</si>
  <si>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</si>
  <si>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</si>
  <si>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</si>
  <si>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</si>
  <si>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</si>
  <si>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</si>
  <si>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</si>
  <si>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</si>
  <si>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</si>
  <si>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</si>
  <si>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</si>
  <si>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</si>
  <si>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</si>
  <si>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</si>
  <si>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</si>
  <si>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</si>
  <si>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</si>
  <si>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</si>
  <si>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</si>
  <si>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</si>
  <si>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</si>
  <si>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</si>
  <si>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</si>
  <si>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</si>
  <si>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</si>
  <si>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</si>
  <si>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</si>
  <si>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</si>
  <si>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</si>
  <si>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</si>
  <si>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</si>
  <si>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</si>
  <si>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</si>
  <si>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</si>
  <si>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</si>
  <si>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</si>
  <si>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</si>
  <si>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</si>
  <si>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</si>
  <si>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</si>
  <si>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</si>
  <si>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</si>
  <si>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</si>
  <si>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</si>
  <si>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</si>
  <si>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</si>
  <si>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</si>
  <si>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</si>
  <si>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</si>
  <si>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</si>
  <si>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</si>
  <si>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</si>
  <si>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</si>
  <si>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</si>
  <si>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</si>
  <si>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</si>
  <si>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</si>
  <si>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</si>
  <si>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</si>
  <si>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</si>
  <si>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</si>
  <si>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</si>
  <si>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</si>
  <si>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</si>
  <si>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</si>
  <si>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</si>
  <si>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</si>
  <si>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</si>
  <si>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</si>
  <si>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</si>
  <si>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</si>
  <si>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</si>
  <si>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</si>
  <si>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</si>
  <si>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</si>
  <si>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</si>
  <si>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</si>
  <si>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</si>
  <si>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</si>
  <si>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</si>
  <si>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</si>
  <si>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</si>
  <si>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</si>
  <si>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</si>
  <si>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</si>
  <si>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</si>
  <si>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</si>
  <si>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</si>
  <si>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</si>
  <si>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</si>
  <si>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</si>
  <si>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</si>
  <si>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</si>
  <si>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</si>
  <si>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</si>
  <si>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</si>
  <si>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</si>
  <si>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</si>
  <si>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</si>
  <si>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</si>
  <si>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</si>
  <si>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</si>
  <si>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</si>
  <si>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</si>
  <si>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</si>
  <si>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</si>
  <si>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</si>
  <si>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</si>
  <si>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</si>
  <si>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</si>
  <si>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</si>
  <si>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</si>
  <si>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</si>
  <si>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</si>
  <si>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</si>
  <si>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</si>
  <si>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</si>
  <si>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</si>
  <si>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</si>
  <si>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</si>
  <si>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</si>
  <si>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</si>
  <si>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</si>
  <si>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</si>
  <si>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</si>
  <si>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</si>
  <si>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</si>
  <si>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</si>
  <si>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</si>
  <si>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</si>
  <si>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</si>
  <si>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</si>
  <si>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</si>
  <si>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</si>
  <si>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</si>
  <si>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</si>
  <si>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</si>
  <si>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</si>
  <si>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</si>
  <si>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</si>
  <si>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</si>
  <si>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</si>
  <si>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</si>
  <si>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</si>
  <si>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</si>
  <si>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</si>
  <si>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</si>
  <si>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</si>
  <si>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</si>
  <si>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</si>
  <si>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</si>
  <si>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</si>
  <si>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</si>
  <si>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</si>
  <si>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</si>
  <si>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</si>
  <si>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</si>
  <si>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</si>
  <si>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</si>
  <si>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</si>
  <si>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</si>
  <si>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</si>
  <si>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</si>
  <si>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</si>
  <si>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</si>
  <si>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</si>
  <si>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</si>
  <si>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</si>
  <si>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</si>
  <si>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</si>
  <si>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</si>
  <si>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</si>
  <si>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</si>
  <si>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</si>
  <si>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</si>
  <si>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</si>
  <si>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</si>
  <si>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</si>
  <si>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</si>
  <si>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</si>
  <si>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</si>
  <si>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</si>
  <si>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</si>
  <si>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</si>
  <si>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</si>
  <si>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</si>
  <si>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</si>
  <si>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</si>
  <si>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</si>
  <si>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</si>
  <si>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</si>
  <si>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</si>
  <si>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</si>
  <si>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</si>
  <si>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</si>
  <si>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</si>
  <si>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</si>
  <si>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</si>
  <si>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</si>
  <si>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</si>
  <si>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</si>
  <si>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</si>
  <si>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</si>
  <si>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</si>
  <si>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</si>
  <si>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</si>
  <si>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</si>
  <si>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</si>
  <si>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</si>
  <si>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</si>
  <si>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</si>
  <si>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</si>
  <si>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</si>
  <si>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</si>
  <si>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</si>
  <si>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</si>
  <si>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</si>
  <si>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</si>
  <si>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</si>
  <si>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</si>
  <si>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</si>
  <si>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</si>
  <si>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</si>
  <si>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</si>
  <si>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</si>
  <si>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</si>
  <si>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</si>
  <si>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</si>
  <si>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</si>
  <si>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</si>
  <si>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</si>
  <si>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</si>
  <si>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</si>
  <si>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</si>
  <si>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</si>
  <si>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</si>
  <si>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</si>
  <si>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</si>
  <si>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</si>
  <si>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</si>
  <si>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</si>
  <si>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</si>
  <si>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</si>
  <si>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</si>
  <si>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</si>
  <si>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</si>
  <si>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</si>
  <si>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</si>
  <si>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</si>
  <si>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</si>
  <si>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</si>
  <si>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</si>
  <si>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</si>
  <si>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</si>
  <si>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</si>
  <si>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</si>
  <si>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</si>
  <si>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</si>
  <si>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</si>
  <si>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</si>
  <si>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</si>
  <si>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</si>
  <si>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</si>
  <si>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</si>
  <si>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</si>
  <si>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</si>
  <si>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</si>
  <si>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</si>
  <si>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</si>
  <si>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</si>
  <si>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</si>
  <si>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</si>
  <si>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</si>
  <si>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</si>
  <si>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</si>
  <si>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</si>
  <si>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</si>
  <si>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</si>
  <si>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</si>
  <si>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</si>
  <si>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</si>
  <si>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</si>
  <si>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</si>
  <si>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</si>
  <si>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</si>
  <si>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</si>
  <si>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</si>
  <si>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</si>
  <si>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</si>
  <si>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</si>
  <si>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</si>
  <si>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</si>
  <si>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</si>
  <si>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</si>
  <si>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</si>
  <si>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</si>
  <si>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</si>
  <si>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</si>
  <si>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</si>
  <si>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</si>
  <si>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</si>
  <si>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</si>
  <si>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</si>
  <si>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</si>
  <si>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</si>
  <si>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</si>
  <si>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</si>
  <si>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</si>
  <si>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</si>
  <si>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</si>
  <si>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</si>
  <si>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</si>
  <si>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</si>
  <si>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</si>
  <si>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</si>
  <si>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</si>
  <si>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</si>
  <si>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</si>
  <si>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</si>
  <si>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</si>
  <si>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</si>
  <si>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</si>
  <si>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</si>
  <si>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</si>
  <si>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</si>
  <si>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</si>
  <si>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</si>
  <si>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</si>
  <si>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</si>
  <si>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</si>
  <si>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</si>
  <si>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</si>
  <si>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</si>
  <si>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</si>
  <si>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</si>
  <si>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</si>
  <si>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</si>
  <si>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</si>
  <si>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</si>
  <si>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</si>
  <si>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</si>
  <si>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</si>
  <si>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</si>
  <si>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</si>
  <si>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</si>
  <si>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</si>
  <si>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</si>
  <si>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</si>
  <si>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</si>
  <si>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</si>
  <si>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</si>
  <si>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</si>
  <si>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</si>
  <si>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</si>
  <si>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</si>
  <si>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</si>
  <si>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</si>
  <si>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</si>
  <si>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</si>
  <si>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</si>
  <si>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</si>
  <si>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</si>
  <si>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</si>
  <si>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</si>
  <si>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</si>
  <si>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</si>
  <si>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</si>
  <si>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</si>
  <si>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</si>
  <si>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</si>
  <si>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</si>
  <si>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</si>
  <si>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</si>
  <si>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</si>
  <si>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</si>
  <si>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</si>
  <si>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</si>
  <si>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</si>
  <si>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</si>
  <si>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</si>
  <si>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</si>
  <si>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</si>
  <si>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</si>
  <si>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</si>
  <si>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</si>
  <si>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</si>
  <si>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</si>
  <si>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</si>
  <si>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</si>
  <si>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</si>
  <si>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</si>
  <si>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</si>
  <si>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</si>
  <si>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</si>
  <si>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</si>
  <si>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</si>
  <si>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</si>
  <si>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</si>
  <si>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</si>
  <si>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</si>
  <si>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</si>
  <si>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</si>
  <si>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</si>
  <si>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Zain40 Siddiqui</t>
  </si>
  <si>
    <t>Ali 40bas</t>
  </si>
  <si>
    <t>40dullah Qureshi</t>
  </si>
  <si>
    <t>Total</t>
  </si>
  <si>
    <t>Total Marks</t>
  </si>
  <si>
    <t>P.F %</t>
  </si>
  <si>
    <t>OOP %</t>
  </si>
  <si>
    <t>DSA %</t>
  </si>
  <si>
    <t>O.S%</t>
  </si>
  <si>
    <t>Rank</t>
  </si>
  <si>
    <t>S No</t>
  </si>
  <si>
    <t>Formula</t>
  </si>
  <si>
    <t>Syntax</t>
  </si>
  <si>
    <t>Usage</t>
  </si>
  <si>
    <t>Example</t>
  </si>
  <si>
    <t>LEFT</t>
  </si>
  <si>
    <t>LEFT(text, [num_chars])</t>
  </si>
  <si>
    <t>Left side se characters nikaalta hai</t>
  </si>
  <si>
    <t>Starting letters extract karne ke liye</t>
  </si>
  <si>
    <t>RIGHT</t>
  </si>
  <si>
    <t>RIGHT(text, [num_chars])</t>
  </si>
  <si>
    <t>Right side se characters nikaalta hai</t>
  </si>
  <si>
    <t>Ending extract karne ke liye</t>
  </si>
  <si>
    <t>MID</t>
  </si>
  <si>
    <t>MID(text, start_num, num_chars)</t>
  </si>
  <si>
    <t>Beech ka text nikaalta hai</t>
  </si>
  <si>
    <t>Specific position ka text</t>
  </si>
  <si>
    <t>LEN</t>
  </si>
  <si>
    <t>LEN(text)</t>
  </si>
  <si>
    <t>Total characters count karta hai</t>
  </si>
  <si>
    <t>Length check karne ke liye</t>
  </si>
  <si>
    <t>TRIM</t>
  </si>
  <si>
    <t>TRIM(text)</t>
  </si>
  <si>
    <t>Extra spaces hata deta hai</t>
  </si>
  <si>
    <t>Clean data ke liye</t>
  </si>
  <si>
    <t>UPPER</t>
  </si>
  <si>
    <t>UPPER(text)</t>
  </si>
  <si>
    <t>Sabko capital bana deta hai</t>
  </si>
  <si>
    <t>Standard format</t>
  </si>
  <si>
    <t>LOWER</t>
  </si>
  <si>
    <t>LOWER(text)</t>
  </si>
  <si>
    <t>Sabko small letters me convert karta hai</t>
  </si>
  <si>
    <t>Email cleaning</t>
  </si>
  <si>
    <t>PROPER</t>
  </si>
  <si>
    <t>PROPER(text)</t>
  </si>
  <si>
    <t>Har word ka first letter capital</t>
  </si>
  <si>
    <t>Name formatting</t>
  </si>
  <si>
    <t>CONCAT</t>
  </si>
  <si>
    <t>CONCAT(text1, [text2], ...)</t>
  </si>
  <si>
    <t>Multiple text join karta hai</t>
  </si>
  <si>
    <t>Data combine</t>
  </si>
  <si>
    <t>CONCATENATE</t>
  </si>
  <si>
    <t>CONCATENATE(text1, [text2], ...)</t>
  </si>
  <si>
    <t>Same as CONCAT (old version)</t>
  </si>
  <si>
    <t>Combine text</t>
  </si>
  <si>
    <t>TEXTJOIN</t>
  </si>
  <si>
    <t>TEXTJOIN(delimiter, ignore_empty, text1, ...)</t>
  </si>
  <si>
    <t>Join karta hai with separator</t>
  </si>
  <si>
    <t>Advanced joining</t>
  </si>
  <si>
    <t>FIND</t>
  </si>
  <si>
    <t>FIND(find_text, within_text, [start_num])</t>
  </si>
  <si>
    <t>Case-sensitive search karta hai</t>
  </si>
  <si>
    <t>Position find karna</t>
  </si>
  <si>
    <t>SEARCH</t>
  </si>
  <si>
    <t>SEARCH(find_text, within_text, [start_num])</t>
  </si>
  <si>
    <t>Case-insensitive search</t>
  </si>
  <si>
    <t>Flexible search</t>
  </si>
  <si>
    <t>REPLACE</t>
  </si>
  <si>
    <t>REPLACE(old_text, start_num, num_chars, new_text)</t>
  </si>
  <si>
    <t>Text replace karta hai position se</t>
  </si>
  <si>
    <t>Data correction</t>
  </si>
  <si>
    <t>SUBSTITUTE</t>
  </si>
  <si>
    <t>SUBSTITUTE(text, old_text, new_text, [instance_num])</t>
  </si>
  <si>
    <t>Specific text replace karta hai</t>
  </si>
  <si>
    <t>Word replace</t>
  </si>
  <si>
    <t>VALUE</t>
  </si>
  <si>
    <t>VALUE(text)</t>
  </si>
  <si>
    <t>Text ko number me convert karta hai</t>
  </si>
  <si>
    <t>Numeric conversion</t>
  </si>
  <si>
    <t>TEXT</t>
  </si>
  <si>
    <t>TEXT(value, format_text)</t>
  </si>
  <si>
    <t>Number ko text format me convert</t>
  </si>
  <si>
    <t>Formatting</t>
  </si>
  <si>
    <t>CLEAN</t>
  </si>
  <si>
    <t>CLEAN(text)</t>
  </si>
  <si>
    <t>Non-printable characters remove karta hai</t>
  </si>
  <si>
    <t>Imported data cleaning</t>
  </si>
  <si>
    <t>19</t>
  </si>
  <si>
    <t>CHAR</t>
  </si>
  <si>
    <t>CHAR(number)</t>
  </si>
  <si>
    <t>ASCII code se character return</t>
  </si>
  <si>
    <t>Special characters</t>
  </si>
  <si>
    <t>REPT</t>
  </si>
  <si>
    <t>REPT(text, number_times)</t>
  </si>
  <si>
    <t>Text repeat karta hai</t>
  </si>
  <si>
    <t>Pattern banana</t>
  </si>
  <si>
    <t xml:space="preserve">Meaning </t>
  </si>
  <si>
    <t>Names</t>
  </si>
  <si>
    <t>Prefix</t>
  </si>
  <si>
    <t>=LEFT("Oneeb Arif",3) → One</t>
  </si>
  <si>
    <t>=RIGHT("Oneeb Arif",2) → if</t>
  </si>
  <si>
    <t>=PROPER("oneeb arif") → Oneeb Arif</t>
  </si>
  <si>
    <t>=FIND("a","Oneeb arif") → 8</t>
  </si>
  <si>
    <t>=SEARCH("A","oneeb arif") → 8</t>
  </si>
  <si>
    <t>=MID("Excel",2,3) → xce</t>
  </si>
  <si>
    <t>=LEN("Hello") → 5</t>
  </si>
  <si>
    <t>=TRIM(" Hello ") → Hello</t>
  </si>
  <si>
    <t>=UPPER("excel") → EXCEL</t>
  </si>
  <si>
    <t>=LOWER("EXCEL") → excel</t>
  </si>
  <si>
    <t>=CONCAT("A","B") → AB</t>
  </si>
  <si>
    <t>=CONCATENATE("Hi ", "All") → Hi All</t>
  </si>
  <si>
    <t>=TEXTJOIN(",", TRUE, "S No", 1, 2) → S No,1,2</t>
  </si>
  <si>
    <t>=REPLACE("1BB45",2,2,"AA") → 1AA45</t>
  </si>
  <si>
    <t>=SUBSTITUTE("Hi all","all","team") → Hi team</t>
  </si>
  <si>
    <t>=VALUE("123") → 123</t>
  </si>
  <si>
    <t>=CLEAN(text) → S No</t>
  </si>
  <si>
    <t>=CHAR(65) → A</t>
  </si>
  <si>
    <t>=TEXT(100,"₨0") → ₨100</t>
  </si>
  <si>
    <t>ID</t>
  </si>
  <si>
    <t>Suffix</t>
  </si>
  <si>
    <t>Mr. Oneeb Arif</t>
  </si>
  <si>
    <t>Mr. Bilal Ahmed</t>
  </si>
  <si>
    <t>Mr. Muneer Khan</t>
  </si>
  <si>
    <t>Mr. Affan Ahmed</t>
  </si>
  <si>
    <t>Ms. Ayesha Malik</t>
  </si>
  <si>
    <t>Mr. Abdul Wasay</t>
  </si>
  <si>
    <t>Ms. Fatima Raza</t>
  </si>
  <si>
    <t>Mr. Hamza Sheikh</t>
  </si>
  <si>
    <t>Ms. Zainab Ali</t>
  </si>
  <si>
    <t>AXP-7842-MNO</t>
  </si>
  <si>
    <t>BTR-8492-KLM</t>
  </si>
  <si>
    <t>COS-2345-YZQ</t>
  </si>
  <si>
    <t>DYN-6789-PQR</t>
  </si>
  <si>
    <t>EIM-4532-ABC</t>
  </si>
  <si>
    <t>FVK-9102-DEF</t>
  </si>
  <si>
    <t>GWL-3217-GHI</t>
  </si>
  <si>
    <t>HZS-7654-JKL</t>
  </si>
  <si>
    <t>JQP-1876-STU</t>
  </si>
  <si>
    <t>LENGTH</t>
  </si>
  <si>
    <t>Mr.           Oneeb Arif</t>
  </si>
  <si>
    <t>Mr. Bilal          Ahmed</t>
  </si>
  <si>
    <t>Mr.          Affan Ahmed</t>
  </si>
  <si>
    <t xml:space="preserve">     Ms.      Zainab       Ali</t>
  </si>
  <si>
    <t xml:space="preserve">         Mr.        Abdul    Wasay</t>
  </si>
  <si>
    <t xml:space="preserve">        Ms. Ayesha       Malik</t>
  </si>
  <si>
    <t xml:space="preserve">      Mr. Muneer         Khan</t>
  </si>
  <si>
    <t>Small Letters</t>
  </si>
  <si>
    <t>Capital Letters</t>
  </si>
  <si>
    <t>Sectence Case</t>
  </si>
  <si>
    <t>MR. ONEEB ARIF</t>
  </si>
  <si>
    <t>MR. BILAL AHMED</t>
  </si>
  <si>
    <t>MR. MUNEER KHAN</t>
  </si>
  <si>
    <t>MR. AFFAN AHMED</t>
  </si>
  <si>
    <t>MS. AYESHA MALIK</t>
  </si>
  <si>
    <t>MR. ABDUL WASAY</t>
  </si>
  <si>
    <t>MS. FATIMA RAZA</t>
  </si>
  <si>
    <t>MR. HAMZA SHEIKH</t>
  </si>
  <si>
    <t>MS. ZAINAB ALI</t>
  </si>
  <si>
    <t>Text Join</t>
  </si>
  <si>
    <t>First Name</t>
  </si>
  <si>
    <t>Last Name</t>
  </si>
  <si>
    <t>Full Name</t>
  </si>
  <si>
    <t>Oneeb</t>
  </si>
  <si>
    <t>Arif</t>
  </si>
  <si>
    <t>Muneer</t>
  </si>
  <si>
    <t>Affan</t>
  </si>
  <si>
    <t>Abdul</t>
  </si>
  <si>
    <t>Wasay</t>
  </si>
  <si>
    <t>Zainab</t>
  </si>
  <si>
    <t>Tariq</t>
  </si>
  <si>
    <t>FlashFill (Ctrl E)</t>
  </si>
  <si>
    <t>Oneeb Arif</t>
  </si>
  <si>
    <t>Bilal Ahmed</t>
  </si>
  <si>
    <t>Muneer Khan</t>
  </si>
  <si>
    <t>Affan Ahmed</t>
  </si>
  <si>
    <t>Ayesha Malik</t>
  </si>
  <si>
    <t>Abdul Wasay</t>
  </si>
  <si>
    <t>Fatima Raza</t>
  </si>
  <si>
    <t>Hamza Sheikh</t>
  </si>
  <si>
    <t>Zainab Ali</t>
  </si>
  <si>
    <t>Usman Tariq</t>
  </si>
  <si>
    <t>Concatenate</t>
  </si>
  <si>
    <t>Concat</t>
  </si>
  <si>
    <t>Text Split</t>
  </si>
  <si>
    <t>Ampersend (&amp;)</t>
  </si>
  <si>
    <t>Text Split , Ampersend , Fashfill, TextBeforeDelimeter, TextAfterDelimeter</t>
  </si>
  <si>
    <t>Text Before &amp; After Delimete</t>
  </si>
  <si>
    <t>Before</t>
  </si>
  <si>
    <t>After</t>
  </si>
  <si>
    <t>Substitute</t>
  </si>
  <si>
    <t>Change</t>
  </si>
  <si>
    <t>Replace</t>
  </si>
  <si>
    <t>Find (Case Sensitive)</t>
  </si>
  <si>
    <t>Search  (Not Case Sensitive)</t>
  </si>
  <si>
    <t>Birth Dates</t>
  </si>
  <si>
    <t>Days</t>
  </si>
  <si>
    <t>Month</t>
  </si>
  <si>
    <t>Value</t>
  </si>
  <si>
    <t>12345</t>
  </si>
  <si>
    <t>Clean</t>
  </si>
  <si>
    <t>Oneeb
Arif</t>
  </si>
  <si>
    <t>65</t>
  </si>
  <si>
    <t>%$</t>
  </si>
  <si>
    <t>Meaning</t>
  </si>
  <si>
    <t>AVERAGE</t>
  </si>
  <si>
    <t>AVERAGE(range)</t>
  </si>
  <si>
    <t>Average nikaalta hai</t>
  </si>
  <si>
    <t>Mean calculation</t>
  </si>
  <si>
    <t xml:space="preserve"> =AVERAGE(10,20,30) → 20</t>
  </si>
  <si>
    <t>MAX</t>
  </si>
  <si>
    <t>MAX(range)</t>
  </si>
  <si>
    <t>Sabse badi value</t>
  </si>
  <si>
    <t>Highest find</t>
  </si>
  <si>
    <t xml:space="preserve"> =MAX(10,50,30) → 50</t>
  </si>
  <si>
    <t>MIN</t>
  </si>
  <si>
    <t>MIN(range)</t>
  </si>
  <si>
    <t>Sabse chhoti value</t>
  </si>
  <si>
    <t>Lowest find</t>
  </si>
  <si>
    <t xml:space="preserve"> =MIN(10,50,30) → 10</t>
  </si>
  <si>
    <t>COUNT</t>
  </si>
  <si>
    <t>COUNT(range)</t>
  </si>
  <si>
    <t>Numeric cells count karta hai</t>
  </si>
  <si>
    <t>Numbers count</t>
  </si>
  <si>
    <t xml:space="preserve"> =COUNT(1,2,"A") → 2</t>
  </si>
  <si>
    <t>COUNTA</t>
  </si>
  <si>
    <t>COUNTA(range)</t>
  </si>
  <si>
    <t>Non-empty cells count karta hai</t>
  </si>
  <si>
    <t>Filled cells</t>
  </si>
  <si>
    <t xml:space="preserve"> =COUNTA(1,"A") → 2</t>
  </si>
  <si>
    <t>COUNTIF</t>
  </si>
  <si>
    <t>COUNTIF(range, criteria)</t>
  </si>
  <si>
    <t>Condition par count karta hai</t>
  </si>
  <si>
    <t>Conditional count</t>
  </si>
  <si>
    <t xml:space="preserve"> =COUNTIF(A1,"&gt;50")</t>
  </si>
  <si>
    <t>COUNTIFS</t>
  </si>
  <si>
    <t>COUNTIFS(range1, criteria1, ...)</t>
  </si>
  <si>
    <t>Multiple conditions par count karta hai</t>
  </si>
  <si>
    <t>Advanced filtering</t>
  </si>
  <si>
    <t xml:space="preserve"> =COUNTIFS(A1,"&gt;50",B1,"Pass")</t>
  </si>
  <si>
    <t>AVERAGEIF</t>
  </si>
  <si>
    <t>AVERAGEIF(range, criteria)</t>
  </si>
  <si>
    <t>Condition par average karta hai</t>
  </si>
  <si>
    <t>Filtered average</t>
  </si>
  <si>
    <t xml:space="preserve"> =AVERAGEIF(A1,"&gt;50")</t>
  </si>
  <si>
    <t>AVERAGEIFS</t>
  </si>
  <si>
    <t>AVERAGEIFS(avg_range, criteria_range1, criteria1, ...)</t>
  </si>
  <si>
    <t>Multiple conditions par average karta hai</t>
  </si>
  <si>
    <t>Advanced average</t>
  </si>
  <si>
    <t xml:space="preserve"> =AVERAGEIFS(C1,A1,"&gt;50")</t>
  </si>
  <si>
    <t>SUM</t>
  </si>
  <si>
    <t>SUM(range)</t>
  </si>
  <si>
    <t>Total sum karta hai</t>
  </si>
  <si>
    <t>Total calculation</t>
  </si>
  <si>
    <t xml:space="preserve"> =SUM(10,20,30) → 60</t>
  </si>
  <si>
    <t>SUMIF</t>
  </si>
  <si>
    <t>SUMIF(range, criteria, sum_range)</t>
  </si>
  <si>
    <t>Condition par sum karta hai</t>
  </si>
  <si>
    <t>Conditional total</t>
  </si>
  <si>
    <t xml:space="preserve"> =SUMIF(A1,"&gt;50",B1)</t>
  </si>
  <si>
    <t>SUMIFS</t>
  </si>
  <si>
    <t>SUMIFS(sum_range, criteria_range1, criteria1, ...)</t>
  </si>
  <si>
    <t>Multiple conditions par sum karta hai</t>
  </si>
  <si>
    <t>Complex analysis</t>
  </si>
  <si>
    <t xml:space="preserve"> =SUMIFS(C1,A1,"&gt;50",B1,"Pass")</t>
  </si>
  <si>
    <t>LARGE</t>
  </si>
  <si>
    <t>LARGE(range, k)</t>
  </si>
  <si>
    <t>K-th largest value</t>
  </si>
  <si>
    <t>Top values</t>
  </si>
  <si>
    <t xml:space="preserve"> =LARGE(A1,2)</t>
  </si>
  <si>
    <t>SMALL</t>
  </si>
  <si>
    <t>SMALL(range, k)</t>
  </si>
  <si>
    <t>K-th smallest value</t>
  </si>
  <si>
    <t>Bottom values</t>
  </si>
  <si>
    <t xml:space="preserve"> =SMALL(A1,2)</t>
  </si>
  <si>
    <t>RANK</t>
  </si>
  <si>
    <t>RANK(number, range)</t>
  </si>
  <si>
    <t>Rank deta hai</t>
  </si>
  <si>
    <t>Position</t>
  </si>
  <si>
    <t xml:space="preserve"> =RANK(80,A1)</t>
  </si>
  <si>
    <t>ROUND</t>
  </si>
  <si>
    <t>ROUND(number, num_digits)</t>
  </si>
  <si>
    <t>Normal rounding</t>
  </si>
  <si>
    <t>Approximate value</t>
  </si>
  <si>
    <t xml:space="preserve"> =ROUND(12.345,2) → 12.35</t>
  </si>
  <si>
    <t>ROUNDUP</t>
  </si>
  <si>
    <t>ROUNDUP(number, num_digits)</t>
  </si>
  <si>
    <t>Zero se door round karta hai</t>
  </si>
  <si>
    <t>Always round away from zero</t>
  </si>
  <si>
    <t xml:space="preserve"> =ROUNDUP(12.341,2) → 12.35</t>
  </si>
  <si>
    <t>ROUNDDOWN</t>
  </si>
  <si>
    <t>ROUNDDOWN(number, num_digits)</t>
  </si>
  <si>
    <t>Zero ki taraf round karta hai</t>
  </si>
  <si>
    <t>Rounding down</t>
  </si>
  <si>
    <t xml:space="preserve"> =ROUNDDOWN(12.349,2) → 12.34</t>
  </si>
  <si>
    <t>INT</t>
  </si>
  <si>
    <t>INT(number)</t>
  </si>
  <si>
    <t>Lower integer deta hai</t>
  </si>
  <si>
    <t>Integer conversion</t>
  </si>
  <si>
    <t xml:space="preserve"> =INT(12.9) → 12</t>
  </si>
  <si>
    <t>TRUNC</t>
  </si>
  <si>
    <t>TRUNC(number, [digits])</t>
  </si>
  <si>
    <t>Decimal digits cut karta hai</t>
  </si>
  <si>
    <t>Exact truncation</t>
  </si>
  <si>
    <t xml:space="preserve"> =TRUNC(12.987,2) → 12.98</t>
  </si>
  <si>
    <t>FLOOR</t>
  </si>
  <si>
    <t>FLOOR(number, significance)</t>
  </si>
  <si>
    <t>Lower multiple tak round karta hai</t>
  </si>
  <si>
    <t>Lower multiple</t>
  </si>
  <si>
    <t xml:space="preserve"> =FLOOR(23,5) → 20</t>
  </si>
  <si>
    <t>MROUND</t>
  </si>
  <si>
    <t>MROUND(number, multiple)</t>
  </si>
  <si>
    <t>Nearest multiple tak round karta hai</t>
  </si>
  <si>
    <t>Smart rounding</t>
  </si>
  <si>
    <t xml:space="preserve"> =MROUND(23,5) → 25</t>
  </si>
  <si>
    <t>RAND</t>
  </si>
  <si>
    <t>RAND()</t>
  </si>
  <si>
    <t>Random decimal deta hai</t>
  </si>
  <si>
    <t>Random data</t>
  </si>
  <si>
    <t xml:space="preserve"> =RAND()</t>
  </si>
  <si>
    <t>RANDBETWEEN</t>
  </si>
  <si>
    <t>RANDBETWEEN(bottom, top)</t>
  </si>
  <si>
    <t>Random integer deta hai</t>
  </si>
  <si>
    <t>Testing data</t>
  </si>
  <si>
    <t xml:space="preserve"> =RANDBETWEEN(1,100)</t>
  </si>
  <si>
    <t>RANDARRAY</t>
  </si>
  <si>
    <t>RANDARRAY(rows, cols, min, max, integer)</t>
  </si>
  <si>
    <t>Random numbers ki table banata hai</t>
  </si>
  <si>
    <t>Bulk data</t>
  </si>
  <si>
    <t xml:space="preserve"> =RANDARRAY(5,3,1,100,TRUE)</t>
  </si>
  <si>
    <t>ABS</t>
  </si>
  <si>
    <t>ABS(number)</t>
  </si>
  <si>
    <t>Absolute value deta hai</t>
  </si>
  <si>
    <t>Distance calculation</t>
  </si>
  <si>
    <t xml:space="preserve"> =ABS(-10) → 10</t>
  </si>
  <si>
    <t>MOD</t>
  </si>
  <si>
    <t>MOD(number, divisor)</t>
  </si>
  <si>
    <t>Remainder deta hai</t>
  </si>
  <si>
    <t>Even/odd check</t>
  </si>
  <si>
    <t xml:space="preserve"> =MOD(10,3) → 1</t>
  </si>
  <si>
    <t>POWER</t>
  </si>
  <si>
    <t>POWER(number, power)</t>
  </si>
  <si>
    <t>Power nikaalta hai</t>
  </si>
  <si>
    <t>Exponential calculation</t>
  </si>
  <si>
    <t xml:space="preserve"> =POWER(2,3) → 8</t>
  </si>
  <si>
    <t>SQRT</t>
  </si>
  <si>
    <t>SQRT(number)</t>
  </si>
  <si>
    <t>Square root nikaalta hai</t>
  </si>
  <si>
    <t>Math calculation</t>
  </si>
  <si>
    <t xml:space="preserve"> =SQRT(16) → 4</t>
  </si>
  <si>
    <t>Statistical, rounding, random and mathematical formulas reference</t>
  </si>
  <si>
    <t>Rand (0 to 1)</t>
  </si>
  <si>
    <t>RANDBETWEEN(TOP,BOTTOM)</t>
  </si>
  <si>
    <t>S.NO</t>
  </si>
  <si>
    <t>NUMBERS</t>
  </si>
  <si>
    <t>ROUND UP</t>
  </si>
  <si>
    <t>ROUND DOWN</t>
  </si>
  <si>
    <t>INTEGER</t>
  </si>
  <si>
    <t>INTEGER,TRUNC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</si>
</sst>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PKR]\ #,##0.00"/>
    <numFmt numFmtId="166" formatCode="dd/mm/yyyy"/>
    <numFmt numFmtId="167" formatCode="&quot;Rs. &quot;#,##0"/>
    <numFmt numFmtId="168" formatCode="&quot;Rs.&quot;\ #,##0"/>
  </numFmts>
  <fonts count="30"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b/>
      <sz val="12"/>
      <color rgb="FFFFFFFF"/>
      <name val="Calibri"/>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
      <sz val="11"/>
      <color rgb="FFFFFFFF"/>
      <name val="Calibri"/>
      <family val="2"/>
      <scheme val="minor"/>
    </font>
    <font>
      <b/>
      <sz val="11"/>
      <color rgb="FFFFFFFF"/>
      <name val="Calibri"/>
      <family val="2"/>
      <scheme val="minor"/>
    </font>
    <font>
      <sz val="10"/>
      <color rgb="FF222222"/>
      <name val="Calibri"/>
      <family val="2"/>
      <scheme val="minor"/>
    </font>
    <font>
      <b/>
      <sz val="10"/>
      <color rgb="FF222222"/>
      <name val="Calibri"/>
      <family val="2"/>
      <scheme val="minor"/>
    </font>
    <font>
      <sz val="10"/>
      <color rgb="FF222222"/>
      <name val="Calibri"/>
      <family val="2"/>
    </font>
    <font>
      <b/>
      <sz val="10"/>
      <color rgb="FF1F4E78"/>
      <name val="Calibri"/>
      <family val="2"/>
      <scheme val="minor"/>
    </font>
    <font>
      <b/>
      <sz val="11"/>
      <color rgb="FFFFFFFF"/>
      <name val="Calibri"/>
      <scheme val="minor"/>
    </font>
    <font>
      <sz val="11"/>
      <color rgb="FF000000"/>
      <name val="Calibri"/>
      <scheme val="minor"/>
    </font>
    <font>
      <b/>
      <sz val="11"/>
      <color rgb="FF000000"/>
      <name val="Calibri"/>
      <scheme val="minor"/>
    </font>
  </fonts>
  <fills count="35">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rgb="FF000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1F4E78"/>
        <bgColor indexed="64"/>
      </patternFill>
    </fill>
    <fill>
      <patternFill patternType="solid">
        <fgColor rgb="FFFFFFFF"/>
        <bgColor indexed="64"/>
      </patternFill>
    </fill>
    <fill>
      <patternFill patternType="solid">
        <fgColor rgb="FFF2F2F2"/>
        <bgColor indexed="64"/>
      </patternFill>
    </fill>
    <fill>
      <patternFill patternType="solid">
        <fgColor rgb="FFF7FBFF"/>
        <bgColor indexed="64"/>
      </patternFill>
    </fill>
    <fill>
      <patternFill patternType="solid">
        <fgColor rgb="FF1D2330"/>
        <bgColor indexed="64"/>
      </patternFill>
    </fill>
    <fill>
      <patternFill patternType="solid">
        <fgColor rgb="FF0F5B78"/>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E5A6B"/>
        <bgColor indexed="64"/>
      </patternFill>
    </fill>
    <fill>
      <patternFill patternType="solid">
        <fgColor rgb="FFB7DEE8"/>
        <bgColor indexed="64"/>
      </patternFill>
    </fill>
    <fill>
      <patternFill patternType="solid">
        <fgColor rgb="FF92D050"/>
        <bgColor indexed="64"/>
      </patternFill>
    </fill>
    <fill>
      <patternFill patternType="solid">
        <fgColor theme="8" tint="0.39997558519241921"/>
        <bgColor indexed="64"/>
      </patternFill>
    </fill>
    <fill>
      <patternFill patternType="solid">
        <fgColor rgb="FFD9E1F2"/>
        <bgColor indexed="64"/>
      </patternFill>
    </fill>
    <fill>
      <patternFill patternType="solid">
        <fgColor rgb="FFA9D3E5"/>
        <bgColor indexed="64"/>
      </patternFill>
    </fill>
    <fill>
      <patternFill patternType="solid">
        <fgColor rgb="FFF4B183"/>
        <bgColor indexed="64"/>
      </patternFill>
    </fill>
    <fill>
      <patternFill patternType="solid">
        <fgColor rgb="FF70AD47"/>
        <bgColor indexed="64"/>
      </patternFill>
    </fill>
  </fills>
  <borders count="70">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4C7C5"/>
      </left>
      <right style="medium">
        <color rgb="FFC4C7C5"/>
      </right>
      <top style="medium">
        <color rgb="FF1F1F1F"/>
      </top>
      <bottom/>
      <diagonal/>
    </border>
    <border>
      <left style="medium">
        <color rgb="FF1F1F1F"/>
      </left>
      <right style="medium">
        <color rgb="FFC4C7C5"/>
      </right>
      <top style="medium">
        <color rgb="FF1F1F1F"/>
      </top>
      <bottom/>
      <diagonal/>
    </border>
    <border>
      <left style="medium">
        <color rgb="FFC4C7C5"/>
      </left>
      <right style="medium">
        <color rgb="FF1F1F1F"/>
      </right>
      <top style="medium">
        <color rgb="FF1F1F1F"/>
      </top>
      <bottom/>
      <diagonal/>
    </border>
    <border>
      <left/>
      <right/>
      <top style="thin">
        <color rgb="FFB7C9D6"/>
      </top>
      <bottom/>
      <diagonal/>
    </border>
    <border>
      <left/>
      <right/>
      <top/>
      <bottom style="thin">
        <color rgb="FFB7C9D6"/>
      </bottom>
      <diagonal/>
    </border>
    <border>
      <left style="medium">
        <color rgb="FF1D2330"/>
      </left>
      <right/>
      <top style="medium">
        <color rgb="FF1D2330"/>
      </top>
      <bottom style="thin">
        <color indexed="64"/>
      </bottom>
      <diagonal/>
    </border>
    <border>
      <left/>
      <right style="medium">
        <color rgb="FF1D2330"/>
      </right>
      <top style="medium">
        <color rgb="FF1D233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1F1F1F"/>
      </top>
      <bottom/>
      <diagonal/>
    </border>
    <border>
      <left/>
      <right/>
      <top style="thin">
        <color rgb="FF808080"/>
      </top>
      <bottom/>
      <diagonal/>
    </border>
    <border>
      <left style="thin">
        <color rgb="FF1F1F1F"/>
      </left>
      <right/>
      <top style="thin">
        <color rgb="FF1F1F1F"/>
      </top>
      <bottom/>
      <diagonal/>
    </border>
    <border>
      <left/>
      <right style="thin">
        <color rgb="FF1F1F1F"/>
      </right>
      <top style="thin">
        <color rgb="FF1F1F1F"/>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1F1F1F"/>
      </top>
      <bottom/>
      <diagonal/>
    </border>
    <border>
      <left/>
      <right style="thin">
        <color rgb="FF808080"/>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548235"/>
      </left>
      <right/>
      <top/>
      <bottom style="thin">
        <color rgb="FF548235"/>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bottom style="thin">
        <color rgb="FF548235"/>
      </bottom>
      <diagonal/>
    </border>
    <border>
      <left/>
      <right style="thin">
        <color rgb="FF548235"/>
      </right>
      <top/>
      <bottom style="thin">
        <color rgb="FF548235"/>
      </bottom>
      <diagonal/>
    </border>
  </borders>
  <cellStyleXfs count="2">
    <xf numFmtId="0" fontId="0" fillId="0" borderId="0"/>
    <xf numFmtId="9" fontId="14" fillId="0" borderId="0" applyFont="0" applyFill="0" applyBorder="0" applyAlignment="0" applyProtection="0"/>
  </cellStyleXfs>
  <cellXfs count="265">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0" fontId="0" fillId="0" borderId="6" xfId="0" applyBorder="1" applyAlignment="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5" fillId="0" borderId="0" xfId="0" applyFont="1" applyBorder="1"/>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0" fillId="0" borderId="14" xfId="0" applyBorder="1" applyAlignment="1"/>
    <xf numFmtId="168" fontId="0" fillId="0" borderId="14" xfId="0" applyNumberFormat="1" applyBorder="1" applyAlignment="1"/>
    <xf numFmtId="0" fontId="0" fillId="0" borderId="15" xfId="0" applyBorder="1" applyAlignment="1"/>
    <xf numFmtId="168" fontId="0" fillId="0" borderId="15" xfId="0" applyNumberFormat="1" applyBorder="1" applyAlignment="1"/>
    <xf numFmtId="0" fontId="8" fillId="3" borderId="16" xfId="0" applyFont="1" applyFill="1" applyBorder="1" applyAlignment="1"/>
    <xf numFmtId="0" fontId="7" fillId="3" borderId="17" xfId="0" applyFont="1" applyFill="1" applyBorder="1" applyAlignment="1"/>
    <xf numFmtId="168" fontId="7" fillId="3" borderId="17" xfId="0" applyNumberFormat="1" applyFont="1" applyFill="1" applyBorder="1" applyAlignment="1"/>
    <xf numFmtId="0" fontId="7" fillId="3" borderId="18" xfId="0" applyFont="1" applyFill="1" applyBorder="1" applyAlignment="1"/>
    <xf numFmtId="167" fontId="0" fillId="0" borderId="20" xfId="0" applyNumberFormat="1" applyBorder="1" applyAlignment="1"/>
    <xf numFmtId="14" fontId="0" fillId="0" borderId="19" xfId="0" applyNumberFormat="1" applyBorder="1" applyAlignment="1"/>
    <xf numFmtId="14" fontId="0" fillId="0" borderId="21" xfId="0" applyNumberFormat="1" applyBorder="1" applyAlignment="1"/>
    <xf numFmtId="167" fontId="0" fillId="0" borderId="22" xfId="0" applyNumberFormat="1" applyBorder="1" applyAlignment="1"/>
    <xf numFmtId="166" fontId="0" fillId="0" borderId="19" xfId="0" applyNumberFormat="1" applyBorder="1" applyAlignment="1"/>
    <xf numFmtId="14" fontId="0" fillId="0" borderId="0" xfId="0" applyNumberFormat="1" applyBorder="1" applyAlignment="1"/>
    <xf numFmtId="0" fontId="0" fillId="0" borderId="0" xfId="0" applyBorder="1" applyAlignment="1"/>
    <xf numFmtId="168" fontId="0" fillId="0" borderId="0" xfId="0" applyNumberFormat="1" applyBorder="1" applyAlignment="1"/>
    <xf numFmtId="167" fontId="0" fillId="0" borderId="0" xfId="0" applyNumberFormat="1" applyBorder="1" applyAlignment="1"/>
    <xf numFmtId="0" fontId="8" fillId="3" borderId="16" xfId="0" applyFont="1" applyFill="1" applyBorder="1" applyAlignment="1">
      <alignment horizontal="center"/>
    </xf>
    <xf numFmtId="0" fontId="7" fillId="3" borderId="17" xfId="0" applyFont="1" applyFill="1" applyBorder="1" applyAlignment="1">
      <alignment horizontal="center"/>
    </xf>
    <xf numFmtId="168" fontId="7" fillId="3" borderId="17" xfId="0" applyNumberFormat="1" applyFont="1" applyFill="1" applyBorder="1" applyAlignment="1">
      <alignment horizontal="center"/>
    </xf>
    <xf numFmtId="0" fontId="7" fillId="3" borderId="18"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7" fillId="3" borderId="17"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8"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0" fillId="0" borderId="0" xfId="0" applyBorder="1" applyAlignment="1">
      <alignment horizontal="center" vertical="center"/>
    </xf>
    <xf numFmtId="0" fontId="12" fillId="4" borderId="16" xfId="0" applyFont="1" applyFill="1" applyBorder="1" applyAlignment="1">
      <alignment horizontal="center"/>
    </xf>
    <xf numFmtId="0" fontId="13" fillId="4" borderId="23" xfId="0" applyFont="1" applyFill="1" applyBorder="1" applyAlignment="1">
      <alignment horizontal="center"/>
    </xf>
    <xf numFmtId="166" fontId="11" fillId="0" borderId="25" xfId="0" applyNumberFormat="1" applyFont="1" applyBorder="1" applyAlignment="1">
      <alignment horizontal="center"/>
    </xf>
    <xf numFmtId="0" fontId="11" fillId="0" borderId="26" xfId="0" applyFont="1" applyBorder="1" applyAlignment="1">
      <alignment horizontal="center"/>
    </xf>
    <xf numFmtId="14" fontId="11" fillId="0" borderId="25" xfId="0" applyNumberFormat="1" applyFont="1" applyBorder="1" applyAlignment="1">
      <alignment horizontal="center"/>
    </xf>
    <xf numFmtId="0" fontId="11" fillId="5" borderId="26" xfId="0" applyFont="1" applyFill="1" applyBorder="1" applyAlignment="1">
      <alignment horizontal="center"/>
    </xf>
    <xf numFmtId="0" fontId="11" fillId="6" borderId="26" xfId="0" applyFont="1" applyFill="1" applyBorder="1" applyAlignment="1">
      <alignment horizontal="center"/>
    </xf>
    <xf numFmtId="1" fontId="11" fillId="0" borderId="26" xfId="0" applyNumberFormat="1" applyFont="1" applyBorder="1" applyAlignment="1">
      <alignment horizontal="center"/>
    </xf>
    <xf numFmtId="2" fontId="0" fillId="0" borderId="0" xfId="0" applyNumberFormat="1"/>
    <xf numFmtId="1" fontId="12" fillId="4" borderId="23" xfId="0" applyNumberFormat="1" applyFont="1" applyFill="1" applyBorder="1" applyAlignment="1">
      <alignment horizontal="center"/>
    </xf>
    <xf numFmtId="1" fontId="13" fillId="4" borderId="24" xfId="0" applyNumberFormat="1" applyFont="1" applyFill="1" applyBorder="1" applyAlignment="1">
      <alignment horizontal="center"/>
    </xf>
    <xf numFmtId="1" fontId="11" fillId="0" borderId="27" xfId="0" applyNumberFormat="1" applyFont="1" applyBorder="1" applyAlignment="1">
      <alignment horizontal="center"/>
    </xf>
    <xf numFmtId="2" fontId="11" fillId="0" borderId="26" xfId="0" applyNumberFormat="1" applyFont="1" applyFill="1" applyBorder="1" applyAlignment="1">
      <alignment horizontal="center"/>
    </xf>
    <xf numFmtId="2" fontId="11" fillId="0" borderId="28" xfId="0" applyNumberFormat="1" applyFont="1" applyFill="1" applyBorder="1" applyAlignment="1">
      <alignment horizontal="center"/>
    </xf>
    <xf numFmtId="2" fontId="12" fillId="0" borderId="26" xfId="0" applyNumberFormat="1" applyFont="1" applyFill="1" applyBorder="1" applyAlignment="1">
      <alignment horizontal="center"/>
    </xf>
    <xf numFmtId="2" fontId="13" fillId="0" borderId="26" xfId="0" applyNumberFormat="1" applyFont="1" applyFill="1" applyBorder="1" applyAlignment="1">
      <alignment horizontal="center"/>
    </xf>
    <xf numFmtId="2" fontId="13" fillId="0" borderId="28" xfId="0" applyNumberFormat="1" applyFont="1" applyFill="1" applyBorder="1" applyAlignment="1">
      <alignment horizontal="center"/>
    </xf>
    <xf numFmtId="2" fontId="11" fillId="0" borderId="29" xfId="0" applyNumberFormat="1" applyFont="1" applyFill="1" applyBorder="1" applyAlignment="1">
      <alignment horizontal="center"/>
    </xf>
    <xf numFmtId="2" fontId="11" fillId="0" borderId="0" xfId="0" applyNumberFormat="1" applyFont="1" applyFill="1" applyBorder="1" applyAlignment="1">
      <alignment horizontal="center"/>
    </xf>
    <xf numFmtId="0" fontId="0" fillId="0" borderId="29" xfId="0" applyFill="1" applyBorder="1"/>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14"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9" fillId="2" borderId="32" xfId="0" applyFont="1" applyFill="1" applyBorder="1" applyAlignment="1">
      <alignment horizontal="center"/>
    </xf>
    <xf numFmtId="0" fontId="9" fillId="2" borderId="31" xfId="0" applyFont="1" applyFill="1" applyBorder="1" applyAlignment="1">
      <alignment horizontal="center"/>
    </xf>
    <xf numFmtId="0" fontId="0" fillId="7" borderId="32" xfId="0" applyFont="1" applyFill="1" applyBorder="1" applyAlignment="1">
      <alignment horizontal="center"/>
    </xf>
    <xf numFmtId="0" fontId="0" fillId="7" borderId="31" xfId="0" applyFont="1" applyFill="1" applyBorder="1" applyAlignment="1">
      <alignment horizontal="center"/>
    </xf>
    <xf numFmtId="0" fontId="0" fillId="7" borderId="30" xfId="0" applyFont="1" applyFill="1" applyBorder="1" applyAlignment="1">
      <alignment horizontal="center"/>
    </xf>
    <xf numFmtId="0" fontId="0" fillId="7" borderId="14" xfId="0" applyFont="1" applyFill="1" applyBorder="1" applyAlignment="1">
      <alignment horizontal="center"/>
    </xf>
    <xf numFmtId="14" fontId="0" fillId="0" borderId="0" xfId="0" applyNumberFormat="1"/>
    <xf numFmtId="0" fontId="0" fillId="0" borderId="14" xfId="0" applyBorder="1"/>
    <xf numFmtId="0" fontId="10"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5" fillId="8" borderId="14" xfId="0" applyFont="1" applyFill="1" applyBorder="1" applyAlignment="1">
      <alignment horizontal="center"/>
    </xf>
    <xf numFmtId="0" fontId="15" fillId="8" borderId="39" xfId="0" applyFont="1" applyFill="1" applyBorder="1" applyAlignment="1">
      <alignment horizontal="center"/>
    </xf>
    <xf numFmtId="0" fontId="0" fillId="9" borderId="14" xfId="0" applyFill="1" applyBorder="1" applyAlignment="1">
      <alignment horizontal="center"/>
    </xf>
    <xf numFmtId="14" fontId="0" fillId="8" borderId="14" xfId="0" applyNumberFormat="1" applyFill="1" applyBorder="1" applyAlignment="1"/>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14" fontId="11" fillId="0" borderId="14" xfId="0" applyNumberFormat="1" applyFont="1" applyFill="1" applyBorder="1"/>
    <xf numFmtId="14" fontId="11" fillId="0" borderId="40" xfId="0" applyNumberFormat="1" applyFont="1" applyFill="1" applyBorder="1"/>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0" fontId="0" fillId="0" borderId="0" xfId="0" applyFill="1" applyBorder="1" applyAlignment="1">
      <alignment horizontal="center"/>
    </xf>
    <xf numFmtId="9" fontId="15"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9" fillId="17" borderId="14" xfId="0" applyFont="1" applyFill="1" applyBorder="1" applyAlignment="1">
      <alignment horizontal="center"/>
    </xf>
    <xf numFmtId="0" fontId="19" fillId="17" borderId="39" xfId="0" applyFont="1" applyFill="1" applyBorder="1" applyAlignment="1">
      <alignment horizontal="center"/>
    </xf>
    <xf numFmtId="0" fontId="0" fillId="8" borderId="15" xfId="0" applyFill="1" applyBorder="1" applyAlignment="1">
      <alignment horizontal="center"/>
    </xf>
    <xf numFmtId="9" fontId="0" fillId="8" borderId="15" xfId="1" applyFont="1" applyFill="1" applyBorder="1" applyAlignment="1">
      <alignment horizontal="center"/>
    </xf>
    <xf numFmtId="0" fontId="0" fillId="8" borderId="14" xfId="1" applyNumberFormat="1" applyFont="1" applyFill="1" applyBorder="1" applyAlignment="1">
      <alignment horizontal="center"/>
    </xf>
    <xf numFmtId="0" fontId="22" fillId="19" borderId="45" xfId="0" applyNumberFormat="1" applyFont="1" applyFill="1" applyBorder="1" applyAlignment="1">
      <alignment horizontal="center" vertical="center" wrapText="1"/>
    </xf>
    <xf numFmtId="0" fontId="22" fillId="19" borderId="44" xfId="0" applyNumberFormat="1" applyFont="1" applyFill="1" applyBorder="1" applyAlignment="1">
      <alignment horizontal="center" vertical="center" wrapText="1"/>
    </xf>
    <xf numFmtId="0" fontId="22" fillId="19" borderId="46" xfId="0" applyNumberFormat="1" applyFont="1" applyFill="1" applyBorder="1" applyAlignment="1">
      <alignment horizontal="center" vertical="center" wrapText="1"/>
    </xf>
    <xf numFmtId="0" fontId="11" fillId="20" borderId="47" xfId="0" applyNumberFormat="1" applyFont="1" applyFill="1" applyBorder="1" applyAlignment="1">
      <alignment horizontal="left"/>
    </xf>
    <xf numFmtId="0" fontId="11" fillId="20" borderId="0" xfId="0" applyNumberFormat="1" applyFont="1" applyFill="1" applyBorder="1" applyAlignment="1">
      <alignment horizontal="left"/>
    </xf>
    <xf numFmtId="0" fontId="11" fillId="20" borderId="48" xfId="0" applyNumberFormat="1" applyFont="1" applyFill="1" applyBorder="1" applyAlignment="1">
      <alignment horizontal="left"/>
    </xf>
    <xf numFmtId="0" fontId="22" fillId="24" borderId="14" xfId="0" applyNumberFormat="1" applyFont="1" applyFill="1" applyBorder="1" applyAlignment="1">
      <alignment horizontal="center"/>
    </xf>
    <xf numFmtId="0" fontId="11" fillId="20" borderId="14" xfId="0" applyNumberFormat="1" applyFont="1" applyFill="1" applyBorder="1" applyAlignment="1">
      <alignment horizontal="left"/>
    </xf>
    <xf numFmtId="2" fontId="11" fillId="20" borderId="14" xfId="0" applyNumberFormat="1" applyFont="1" applyFill="1" applyBorder="1" applyAlignment="1">
      <alignment horizontal="left"/>
    </xf>
    <xf numFmtId="1" fontId="24" fillId="21" borderId="14" xfId="0" applyNumberFormat="1" applyFont="1" applyFill="1" applyBorder="1" applyAlignment="1">
      <alignment horizontal="left" vertical="center" wrapText="1"/>
    </xf>
    <xf numFmtId="0" fontId="26" fillId="22" borderId="14" xfId="0" applyNumberFormat="1" applyFont="1" applyFill="1" applyBorder="1" applyAlignment="1">
      <alignment horizontal="left" vertical="center" wrapText="1"/>
    </xf>
    <xf numFmtId="0" fontId="23" fillId="20" borderId="14" xfId="0" applyNumberFormat="1" applyFont="1" applyFill="1" applyBorder="1" applyAlignment="1">
      <alignment horizontal="left" vertical="center" wrapText="1"/>
    </xf>
    <xf numFmtId="0" fontId="25" fillId="20" borderId="14" xfId="0" quotePrefix="1" applyNumberFormat="1" applyFont="1" applyFill="1" applyBorder="1" applyAlignment="1">
      <alignment horizontal="left" vertical="center" wrapText="1"/>
    </xf>
    <xf numFmtId="1" fontId="24" fillId="9" borderId="14" xfId="0" applyNumberFormat="1" applyFont="1" applyFill="1" applyBorder="1" applyAlignment="1">
      <alignment horizontal="left" vertical="center" wrapText="1"/>
    </xf>
    <xf numFmtId="0" fontId="26" fillId="9" borderId="14" xfId="0" applyNumberFormat="1" applyFont="1" applyFill="1" applyBorder="1" applyAlignment="1">
      <alignment horizontal="left" vertical="center" wrapText="1"/>
    </xf>
    <xf numFmtId="0" fontId="23" fillId="9" borderId="14" xfId="0" applyNumberFormat="1" applyFont="1" applyFill="1" applyBorder="1" applyAlignment="1">
      <alignment horizontal="left" vertical="center" wrapText="1"/>
    </xf>
    <xf numFmtId="0" fontId="25" fillId="9" borderId="14" xfId="0" quotePrefix="1" applyNumberFormat="1" applyFont="1" applyFill="1" applyBorder="1" applyAlignment="1">
      <alignment horizontal="left" vertical="center" wrapText="1"/>
    </xf>
    <xf numFmtId="1" fontId="24" fillId="25" borderId="14" xfId="0" applyNumberFormat="1" applyFont="1" applyFill="1" applyBorder="1" applyAlignment="1">
      <alignment horizontal="left" vertical="center" wrapText="1"/>
    </xf>
    <xf numFmtId="0" fontId="26" fillId="25" borderId="14" xfId="0" applyNumberFormat="1" applyFont="1" applyFill="1" applyBorder="1" applyAlignment="1">
      <alignment horizontal="left" vertical="center" wrapText="1"/>
    </xf>
    <xf numFmtId="0" fontId="23" fillId="25" borderId="14" xfId="0" applyNumberFormat="1" applyFont="1" applyFill="1" applyBorder="1" applyAlignment="1">
      <alignment horizontal="left" vertical="center" wrapText="1"/>
    </xf>
    <xf numFmtId="0" fontId="25" fillId="25" borderId="14" xfId="0" quotePrefix="1" applyNumberFormat="1" applyFont="1" applyFill="1" applyBorder="1" applyAlignment="1">
      <alignment horizontal="left" vertical="center" wrapText="1"/>
    </xf>
    <xf numFmtId="1" fontId="24" fillId="26" borderId="14" xfId="0" applyNumberFormat="1" applyFont="1" applyFill="1" applyBorder="1" applyAlignment="1">
      <alignment horizontal="left" vertical="center" wrapText="1"/>
    </xf>
    <xf numFmtId="0" fontId="26" fillId="26" borderId="14" xfId="0" applyNumberFormat="1" applyFont="1" applyFill="1" applyBorder="1" applyAlignment="1">
      <alignment horizontal="left" vertical="center" wrapText="1"/>
    </xf>
    <xf numFmtId="0" fontId="23" fillId="26" borderId="14" xfId="0" applyNumberFormat="1" applyFont="1" applyFill="1" applyBorder="1" applyAlignment="1">
      <alignment horizontal="left" vertical="center" wrapText="1"/>
    </xf>
    <xf numFmtId="0" fontId="25" fillId="26" borderId="14" xfId="0" quotePrefix="1" applyNumberFormat="1" applyFont="1" applyFill="1" applyBorder="1" applyAlignment="1">
      <alignment horizontal="left" vertical="center" wrapText="1"/>
    </xf>
    <xf numFmtId="0" fontId="22" fillId="27" borderId="0" xfId="0" applyFont="1" applyFill="1" applyAlignment="1">
      <alignment horizontal="center" vertical="center"/>
    </xf>
    <xf numFmtId="0" fontId="11" fillId="0" borderId="14" xfId="0" applyFont="1" applyBorder="1" applyAlignment="1">
      <alignment horizontal="center" vertical="center"/>
    </xf>
    <xf numFmtId="0" fontId="11" fillId="28" borderId="14" xfId="0" applyFont="1" applyFill="1" applyBorder="1" applyAlignment="1">
      <alignment horizontal="center" vertical="center"/>
    </xf>
    <xf numFmtId="0" fontId="0" fillId="0" borderId="0" xfId="0" applyFont="1"/>
    <xf numFmtId="1" fontId="24" fillId="21" borderId="31" xfId="0" applyNumberFormat="1" applyFont="1" applyFill="1" applyBorder="1" applyAlignment="1">
      <alignment horizontal="left" vertical="center" wrapText="1"/>
    </xf>
    <xf numFmtId="0" fontId="26" fillId="22" borderId="31" xfId="0" applyNumberFormat="1" applyFont="1" applyFill="1" applyBorder="1" applyAlignment="1">
      <alignment horizontal="left" vertical="center" wrapText="1"/>
    </xf>
    <xf numFmtId="0" fontId="23" fillId="20" borderId="31" xfId="0" applyNumberFormat="1" applyFont="1" applyFill="1" applyBorder="1" applyAlignment="1">
      <alignment horizontal="left" vertical="center" wrapText="1"/>
    </xf>
    <xf numFmtId="0" fontId="25" fillId="20" borderId="31" xfId="0" quotePrefix="1" applyNumberFormat="1" applyFont="1" applyFill="1" applyBorder="1" applyAlignment="1">
      <alignment horizontal="left" vertical="center" wrapText="1"/>
    </xf>
    <xf numFmtId="1" fontId="24" fillId="30" borderId="14" xfId="0" applyNumberFormat="1" applyFont="1" applyFill="1" applyBorder="1" applyAlignment="1">
      <alignment horizontal="left" vertical="center" wrapText="1"/>
    </xf>
    <xf numFmtId="0" fontId="26" fillId="30" borderId="14" xfId="0" applyNumberFormat="1" applyFont="1" applyFill="1" applyBorder="1" applyAlignment="1">
      <alignment horizontal="left" vertical="center" wrapText="1"/>
    </xf>
    <xf numFmtId="0" fontId="23" fillId="30" borderId="14" xfId="0" applyNumberFormat="1" applyFont="1" applyFill="1" applyBorder="1" applyAlignment="1">
      <alignment horizontal="left" vertical="center" wrapText="1"/>
    </xf>
    <xf numFmtId="0" fontId="25" fillId="30" borderId="14" xfId="0" quotePrefix="1" applyNumberFormat="1" applyFont="1" applyFill="1" applyBorder="1" applyAlignment="1">
      <alignment horizontal="left" vertical="center" wrapText="1"/>
    </xf>
    <xf numFmtId="1" fontId="24" fillId="14" borderId="14" xfId="0" applyNumberFormat="1" applyFont="1" applyFill="1" applyBorder="1" applyAlignment="1">
      <alignment horizontal="left" vertical="center" wrapText="1"/>
    </xf>
    <xf numFmtId="0" fontId="26" fillId="14" borderId="14" xfId="0" applyNumberFormat="1" applyFont="1" applyFill="1" applyBorder="1" applyAlignment="1">
      <alignment horizontal="left" vertical="center" wrapText="1"/>
    </xf>
    <xf numFmtId="0" fontId="23" fillId="14" borderId="14" xfId="0" applyNumberFormat="1" applyFont="1" applyFill="1" applyBorder="1" applyAlignment="1">
      <alignment horizontal="left" vertical="center" wrapText="1"/>
    </xf>
    <xf numFmtId="0" fontId="25" fillId="14" borderId="14" xfId="0" quotePrefix="1" applyNumberFormat="1" applyFont="1" applyFill="1" applyBorder="1" applyAlignment="1">
      <alignment horizontal="left" vertical="center" wrapText="1"/>
    </xf>
    <xf numFmtId="14" fontId="11" fillId="20" borderId="14" xfId="0" applyNumberFormat="1" applyFont="1" applyFill="1" applyBorder="1" applyAlignment="1">
      <alignment horizontal="left"/>
    </xf>
    <xf numFmtId="49" fontId="11" fillId="20" borderId="14" xfId="0" applyNumberFormat="1" applyFont="1" applyFill="1" applyBorder="1" applyAlignment="1">
      <alignment horizontal="left"/>
    </xf>
    <xf numFmtId="49" fontId="11" fillId="20" borderId="14" xfId="0" applyNumberFormat="1" applyFont="1" applyFill="1" applyBorder="1" applyAlignment="1">
      <alignment horizontal="left" wrapText="1"/>
    </xf>
    <xf numFmtId="0" fontId="27" fillId="19" borderId="54" xfId="0" applyNumberFormat="1" applyFont="1" applyFill="1" applyBorder="1" applyAlignment="1">
      <alignment horizontal="center"/>
    </xf>
    <xf numFmtId="0" fontId="28" fillId="31" borderId="0" xfId="0" applyNumberFormat="1" applyFont="1" applyFill="1" applyBorder="1" applyAlignment="1">
      <alignment horizontal="left"/>
    </xf>
    <xf numFmtId="0" fontId="27" fillId="19" borderId="56" xfId="0" applyNumberFormat="1" applyFont="1" applyFill="1" applyBorder="1" applyAlignment="1">
      <alignment horizontal="center"/>
    </xf>
    <xf numFmtId="0" fontId="27" fillId="19" borderId="57" xfId="0" applyNumberFormat="1" applyFont="1" applyFill="1" applyBorder="1" applyAlignment="1">
      <alignment horizontal="center"/>
    </xf>
    <xf numFmtId="0" fontId="28" fillId="31" borderId="54" xfId="0" applyNumberFormat="1" applyFont="1" applyFill="1" applyBorder="1" applyAlignment="1">
      <alignment horizontal="left"/>
    </xf>
    <xf numFmtId="0" fontId="28" fillId="31" borderId="60" xfId="0" quotePrefix="1" applyNumberFormat="1" applyFont="1" applyFill="1" applyBorder="1" applyAlignment="1">
      <alignment horizontal="left"/>
    </xf>
    <xf numFmtId="0" fontId="28" fillId="31" borderId="61" xfId="0" quotePrefix="1" applyNumberFormat="1" applyFont="1" applyFill="1" applyBorder="1" applyAlignment="1">
      <alignment horizontal="left"/>
    </xf>
    <xf numFmtId="0" fontId="28" fillId="32" borderId="55" xfId="0" applyNumberFormat="1" applyFont="1" applyFill="1" applyBorder="1" applyAlignment="1">
      <alignment horizontal="left"/>
    </xf>
    <xf numFmtId="0" fontId="28" fillId="32" borderId="0" xfId="0" applyNumberFormat="1" applyFont="1" applyFill="1" applyBorder="1" applyAlignment="1">
      <alignment horizontal="left"/>
    </xf>
    <xf numFmtId="0" fontId="28" fillId="32" borderId="63" xfId="0" quotePrefix="1" applyNumberFormat="1" applyFont="1" applyFill="1" applyBorder="1" applyAlignment="1">
      <alignment horizontal="left"/>
    </xf>
    <xf numFmtId="0" fontId="28" fillId="32" borderId="61" xfId="0" quotePrefix="1" applyNumberFormat="1" applyFont="1" applyFill="1" applyBorder="1" applyAlignment="1">
      <alignment horizontal="left"/>
    </xf>
    <xf numFmtId="0" fontId="28" fillId="33" borderId="0" xfId="0" applyNumberFormat="1" applyFont="1" applyFill="1" applyBorder="1" applyAlignment="1">
      <alignment horizontal="left"/>
    </xf>
    <xf numFmtId="0" fontId="28" fillId="33" borderId="61" xfId="0" quotePrefix="1" applyNumberFormat="1" applyFont="1" applyFill="1" applyBorder="1" applyAlignment="1">
      <alignment horizontal="left"/>
    </xf>
    <xf numFmtId="0" fontId="29" fillId="31" borderId="65" xfId="0" applyNumberFormat="1" applyFont="1" applyFill="1" applyBorder="1" applyAlignment="1">
      <alignment horizontal="left"/>
    </xf>
    <xf numFmtId="0" fontId="29" fillId="31" borderId="66" xfId="0" applyNumberFormat="1" applyFont="1" applyFill="1" applyBorder="1" applyAlignment="1">
      <alignment horizontal="left"/>
    </xf>
    <xf numFmtId="0" fontId="29" fillId="31" borderId="62" xfId="0" applyNumberFormat="1" applyFont="1" applyFill="1" applyBorder="1" applyAlignment="1">
      <alignment horizontal="left"/>
    </xf>
    <xf numFmtId="0" fontId="29" fillId="31" borderId="58" xfId="0" applyNumberFormat="1" applyFont="1" applyFill="1" applyBorder="1" applyAlignment="1">
      <alignment horizontal="left"/>
    </xf>
    <xf numFmtId="0" fontId="29" fillId="32" borderId="66" xfId="0" applyNumberFormat="1" applyFont="1" applyFill="1" applyBorder="1" applyAlignment="1">
      <alignment horizontal="left"/>
    </xf>
    <xf numFmtId="0" fontId="29" fillId="32" borderId="58" xfId="0" applyNumberFormat="1" applyFont="1" applyFill="1" applyBorder="1" applyAlignment="1">
      <alignment horizontal="left"/>
    </xf>
    <xf numFmtId="0" fontId="29" fillId="32" borderId="62" xfId="0" applyNumberFormat="1" applyFont="1" applyFill="1" applyBorder="1" applyAlignment="1">
      <alignment horizontal="left"/>
    </xf>
    <xf numFmtId="0" fontId="29" fillId="32" borderId="65" xfId="0" applyNumberFormat="1" applyFont="1" applyFill="1" applyBorder="1" applyAlignment="1">
      <alignment horizontal="left"/>
    </xf>
    <xf numFmtId="0" fontId="29" fillId="33" borderId="66" xfId="0" applyNumberFormat="1" applyFont="1" applyFill="1" applyBorder="1" applyAlignment="1">
      <alignment horizontal="left"/>
    </xf>
    <xf numFmtId="0" fontId="29" fillId="33" borderId="58" xfId="0" applyNumberFormat="1" applyFont="1" applyFill="1" applyBorder="1" applyAlignment="1">
      <alignment horizontal="left"/>
    </xf>
    <xf numFmtId="0" fontId="11" fillId="0" borderId="14" xfId="0" applyFont="1" applyFill="1" applyBorder="1" applyAlignment="1">
      <alignment horizontal="center" vertical="center"/>
    </xf>
    <xf numFmtId="0" fontId="29" fillId="0" borderId="58" xfId="0" applyNumberFormat="1" applyFont="1" applyFill="1" applyBorder="1" applyAlignment="1">
      <alignment horizontal="left"/>
    </xf>
    <xf numFmtId="0" fontId="29" fillId="0" borderId="66" xfId="0" applyNumberFormat="1" applyFont="1" applyFill="1" applyBorder="1" applyAlignment="1">
      <alignment horizontal="left"/>
    </xf>
    <xf numFmtId="0" fontId="28" fillId="0" borderId="0" xfId="0" applyNumberFormat="1" applyFont="1" applyFill="1" applyBorder="1" applyAlignment="1">
      <alignment horizontal="left"/>
    </xf>
    <xf numFmtId="0" fontId="28" fillId="0" borderId="61" xfId="0" quotePrefix="1" applyNumberFormat="1" applyFont="1" applyFill="1" applyBorder="1" applyAlignment="1">
      <alignment horizontal="left"/>
    </xf>
    <xf numFmtId="0" fontId="29" fillId="0" borderId="59" xfId="0" applyNumberFormat="1" applyFont="1" applyFill="1" applyBorder="1" applyAlignment="1">
      <alignment horizontal="left"/>
    </xf>
    <xf numFmtId="0" fontId="29" fillId="0" borderId="67" xfId="0" applyNumberFormat="1" applyFont="1" applyFill="1" applyBorder="1" applyAlignment="1">
      <alignment horizontal="left"/>
    </xf>
    <xf numFmtId="0" fontId="29" fillId="10" borderId="58" xfId="0" applyNumberFormat="1" applyFont="1" applyFill="1" applyBorder="1" applyAlignment="1">
      <alignment horizontal="left"/>
    </xf>
    <xf numFmtId="0" fontId="29" fillId="10" borderId="66" xfId="0" applyNumberFormat="1" applyFont="1" applyFill="1" applyBorder="1" applyAlignment="1">
      <alignment horizontal="left"/>
    </xf>
    <xf numFmtId="0" fontId="28" fillId="10" borderId="0" xfId="0" applyNumberFormat="1" applyFont="1" applyFill="1" applyBorder="1" applyAlignment="1">
      <alignment horizontal="left"/>
    </xf>
    <xf numFmtId="0" fontId="28" fillId="10" borderId="61" xfId="0" quotePrefix="1" applyNumberFormat="1" applyFont="1" applyFill="1" applyBorder="1" applyAlignment="1">
      <alignment horizontal="left"/>
    </xf>
    <xf numFmtId="0" fontId="29" fillId="8" borderId="62" xfId="0" applyNumberFormat="1" applyFont="1" applyFill="1" applyBorder="1" applyAlignment="1">
      <alignment horizontal="left"/>
    </xf>
    <xf numFmtId="0" fontId="29" fillId="8" borderId="65" xfId="0" applyNumberFormat="1" applyFont="1" applyFill="1" applyBorder="1" applyAlignment="1">
      <alignment horizontal="left"/>
    </xf>
    <xf numFmtId="0" fontId="28" fillId="8" borderId="55" xfId="0" applyNumberFormat="1" applyFont="1" applyFill="1" applyBorder="1" applyAlignment="1">
      <alignment horizontal="left"/>
    </xf>
    <xf numFmtId="0" fontId="28" fillId="8" borderId="63" xfId="0" quotePrefix="1" applyNumberFormat="1" applyFont="1" applyFill="1" applyBorder="1" applyAlignment="1">
      <alignment horizontal="left"/>
    </xf>
    <xf numFmtId="0" fontId="29" fillId="8" borderId="58" xfId="0" applyNumberFormat="1" applyFont="1" applyFill="1" applyBorder="1" applyAlignment="1">
      <alignment horizontal="left"/>
    </xf>
    <xf numFmtId="0" fontId="29" fillId="8" borderId="66" xfId="0" applyNumberFormat="1" applyFont="1" applyFill="1" applyBorder="1" applyAlignment="1">
      <alignment horizontal="left"/>
    </xf>
    <xf numFmtId="0" fontId="28" fillId="8" borderId="0" xfId="0" applyNumberFormat="1" applyFont="1" applyFill="1" applyBorder="1" applyAlignment="1">
      <alignment horizontal="left"/>
    </xf>
    <xf numFmtId="0" fontId="28" fillId="8" borderId="61" xfId="0" quotePrefix="1" applyNumberFormat="1" applyFont="1" applyFill="1" applyBorder="1" applyAlignment="1">
      <alignment horizontal="left"/>
    </xf>
    <xf numFmtId="0" fontId="29" fillId="5" borderId="58" xfId="0" applyNumberFormat="1" applyFont="1" applyFill="1" applyBorder="1" applyAlignment="1">
      <alignment horizontal="left"/>
    </xf>
    <xf numFmtId="0" fontId="29" fillId="5" borderId="66" xfId="0" applyNumberFormat="1" applyFont="1" applyFill="1" applyBorder="1" applyAlignment="1">
      <alignment horizontal="left"/>
    </xf>
    <xf numFmtId="0" fontId="28" fillId="5" borderId="0" xfId="0" applyNumberFormat="1" applyFont="1" applyFill="1" applyBorder="1" applyAlignment="1">
      <alignment horizontal="left"/>
    </xf>
    <xf numFmtId="0" fontId="28" fillId="5" borderId="61" xfId="0" quotePrefix="1" applyNumberFormat="1" applyFont="1" applyFill="1" applyBorder="1" applyAlignment="1">
      <alignment horizontal="left"/>
    </xf>
    <xf numFmtId="0" fontId="29" fillId="5" borderId="62" xfId="0" applyNumberFormat="1" applyFont="1" applyFill="1" applyBorder="1" applyAlignment="1">
      <alignment horizontal="left"/>
    </xf>
    <xf numFmtId="0" fontId="29" fillId="5" borderId="65" xfId="0" applyNumberFormat="1" applyFont="1" applyFill="1" applyBorder="1" applyAlignment="1">
      <alignment horizontal="left"/>
    </xf>
    <xf numFmtId="0" fontId="28" fillId="5" borderId="55" xfId="0" applyNumberFormat="1" applyFont="1" applyFill="1" applyBorder="1" applyAlignment="1">
      <alignment horizontal="left"/>
    </xf>
    <xf numFmtId="0" fontId="28" fillId="5" borderId="63" xfId="0" quotePrefix="1" applyNumberFormat="1" applyFont="1" applyFill="1" applyBorder="1" applyAlignment="1">
      <alignment horizontal="left"/>
    </xf>
    <xf numFmtId="0" fontId="10" fillId="2" borderId="16" xfId="0" applyFont="1" applyFill="1" applyBorder="1" applyAlignment="1">
      <alignment horizontal="center"/>
    </xf>
    <xf numFmtId="0" fontId="10" fillId="2" borderId="17" xfId="0" applyFont="1" applyFill="1" applyBorder="1" applyAlignment="1">
      <alignment horizontal="center"/>
    </xf>
    <xf numFmtId="0" fontId="16" fillId="8" borderId="33" xfId="0" applyFont="1" applyFill="1" applyBorder="1" applyAlignment="1">
      <alignment horizontal="center"/>
    </xf>
    <xf numFmtId="0" fontId="16" fillId="8" borderId="34" xfId="0" applyFont="1" applyFill="1" applyBorder="1" applyAlignment="1">
      <alignment horizontal="center"/>
    </xf>
    <xf numFmtId="0" fontId="16" fillId="8" borderId="35" xfId="0" applyFont="1" applyFill="1" applyBorder="1" applyAlignment="1">
      <alignment horizontal="center"/>
    </xf>
    <xf numFmtId="0" fontId="16" fillId="8" borderId="36" xfId="0" applyFont="1" applyFill="1" applyBorder="1" applyAlignment="1">
      <alignment horizontal="center"/>
    </xf>
    <xf numFmtId="0" fontId="16" fillId="8" borderId="37" xfId="0" applyFont="1" applyFill="1" applyBorder="1" applyAlignment="1">
      <alignment horizontal="center"/>
    </xf>
    <xf numFmtId="0" fontId="16" fillId="8" borderId="38" xfId="0" applyFont="1" applyFill="1" applyBorder="1" applyAlignment="1">
      <alignment horizontal="center"/>
    </xf>
    <xf numFmtId="0" fontId="15" fillId="7" borderId="14" xfId="0" applyFont="1" applyFill="1" applyBorder="1" applyAlignment="1">
      <alignment horizontal="center"/>
    </xf>
    <xf numFmtId="0" fontId="0" fillId="7" borderId="14" xfId="0" applyFill="1" applyBorder="1" applyAlignment="1">
      <alignment horizontal="center"/>
    </xf>
    <xf numFmtId="0" fontId="15" fillId="7" borderId="30" xfId="0" applyFont="1" applyFill="1" applyBorder="1" applyAlignment="1">
      <alignment horizontal="center"/>
    </xf>
    <xf numFmtId="0" fontId="15" fillId="7" borderId="42" xfId="0" applyFont="1" applyFill="1" applyBorder="1" applyAlignment="1">
      <alignment horizontal="center"/>
    </xf>
    <xf numFmtId="0" fontId="15" fillId="7" borderId="41" xfId="0" applyFont="1" applyFill="1" applyBorder="1" applyAlignment="1">
      <alignment horizontal="center"/>
    </xf>
    <xf numFmtId="0" fontId="18" fillId="17" borderId="0" xfId="0" applyFont="1" applyFill="1" applyAlignment="1">
      <alignment horizontal="center"/>
    </xf>
    <xf numFmtId="0" fontId="19" fillId="17" borderId="0" xfId="0" applyFont="1" applyFill="1" applyAlignment="1">
      <alignment horizontal="center"/>
    </xf>
    <xf numFmtId="0" fontId="17" fillId="2" borderId="14" xfId="0" applyFont="1" applyFill="1" applyBorder="1" applyAlignment="1">
      <alignment horizontal="center"/>
    </xf>
    <xf numFmtId="0" fontId="20" fillId="18" borderId="14" xfId="0" applyFont="1" applyFill="1" applyBorder="1" applyAlignment="1">
      <alignment horizontal="center"/>
    </xf>
    <xf numFmtId="0" fontId="20" fillId="18" borderId="43" xfId="0" applyFont="1" applyFill="1" applyBorder="1" applyAlignment="1">
      <alignment horizontal="center"/>
    </xf>
    <xf numFmtId="0" fontId="20" fillId="18" borderId="0" xfId="0" applyFont="1" applyFill="1" applyAlignment="1">
      <alignment horizontal="center"/>
    </xf>
    <xf numFmtId="0" fontId="15" fillId="29" borderId="51" xfId="0" applyFont="1" applyFill="1" applyBorder="1" applyAlignment="1">
      <alignment horizontal="center"/>
    </xf>
    <xf numFmtId="0" fontId="15" fillId="29" borderId="52" xfId="0" applyFont="1" applyFill="1" applyBorder="1" applyAlignment="1">
      <alignment horizontal="center"/>
    </xf>
    <xf numFmtId="0" fontId="15" fillId="29" borderId="53" xfId="0" applyFont="1" applyFill="1" applyBorder="1" applyAlignment="1">
      <alignment horizontal="center"/>
    </xf>
    <xf numFmtId="0" fontId="22" fillId="23" borderId="49" xfId="0" applyNumberFormat="1" applyFont="1" applyFill="1" applyBorder="1" applyAlignment="1">
      <alignment horizontal="center"/>
    </xf>
    <xf numFmtId="0" fontId="22" fillId="23" borderId="50" xfId="0" applyNumberFormat="1" applyFont="1" applyFill="1" applyBorder="1" applyAlignment="1">
      <alignment horizontal="center"/>
    </xf>
    <xf numFmtId="0" fontId="21" fillId="16" borderId="0" xfId="0" applyFont="1" applyFill="1" applyAlignment="1">
      <alignment horizontal="center" vertical="center"/>
    </xf>
    <xf numFmtId="0" fontId="29" fillId="34" borderId="64" xfId="0" applyNumberFormat="1" applyFont="1" applyFill="1" applyBorder="1" applyAlignment="1">
      <alignment horizontal="center"/>
    </xf>
    <xf numFmtId="0" fontId="29" fillId="34" borderId="68" xfId="0" applyNumberFormat="1" applyFont="1" applyFill="1" applyBorder="1" applyAlignment="1">
      <alignment horizontal="center"/>
    </xf>
    <xf numFmtId="0" fontId="29" fillId="34" borderId="69" xfId="0" applyNumberFormat="1" applyFont="1" applyFill="1" applyBorder="1" applyAlignment="1">
      <alignment horizontal="center"/>
    </xf>
    <xf numFmtId="0" fontId="22" fillId="27" borderId="28" xfId="0" applyFont="1" applyFill="1" applyBorder="1" applyAlignment="1">
      <alignment horizontal="center" vertical="center"/>
    </xf>
  </cellXfs>
  <cellStyles count="2">
    <cellStyle name="Normal" xfId="0" builtinId="0"/>
    <cellStyle name="Percent" xfId="1"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10</xdr:col>
      <xdr:colOff>114300</xdr:colOff>
      <xdr:row>11</xdr:row>
      <xdr:rowOff>66675</xdr:rowOff>
    </xdr:from>
    <xdr:to>
      <xdr:col>13</xdr:col>
      <xdr:colOff>114300</xdr:colOff>
      <xdr:row>24</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38E7ABD3-67C7-4394-9F76-ECE711EE07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8670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142875</xdr:colOff>
      <xdr:row>25</xdr:row>
      <xdr:rowOff>85725</xdr:rowOff>
    </xdr:from>
    <xdr:to>
      <xdr:col>13</xdr:col>
      <xdr:colOff>142875</xdr:colOff>
      <xdr:row>38</xdr:row>
      <xdr:rowOff>133350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585B64C4-9BB0-4354-A1F0-1494414FB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5"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0E3242A8-B7A5-48E6-A2CB-80FE4E92F1F7}"/>
            </a:ext>
          </a:extLst>
        </xdr:cNvPr>
        <xdr:cNvSpPr/>
      </xdr:nvSpPr>
      <xdr:spPr>
        <a:xfrm>
          <a:off x="8169088" y="963706"/>
          <a:ext cx="3473824"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527D113F-BCAF-40A6-AB0D-899E9F7E7F34}"/>
            </a:ext>
          </a:extLst>
        </xdr:cNvPr>
        <xdr:cNvSpPr/>
      </xdr:nvSpPr>
      <xdr:spPr>
        <a:xfrm>
          <a:off x="8505265" y="1703294"/>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1885B25-A5EC-4334-AB8E-0148159D0600}"/>
            </a:ext>
          </a:extLst>
        </xdr:cNvPr>
        <xdr:cNvSpPr/>
      </xdr:nvSpPr>
      <xdr:spPr>
        <a:xfrm>
          <a:off x="10253382" y="2734236"/>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4769136-A2B1-4873-87F9-4838FEA31480}"/>
            </a:ext>
          </a:extLst>
        </xdr:cNvPr>
        <xdr:cNvSpPr/>
      </xdr:nvSpPr>
      <xdr:spPr>
        <a:xfrm>
          <a:off x="8556811" y="2763370"/>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D9C46E66-DEF0-4BD9-ADA5-9249EF3825E9}"/>
            </a:ext>
          </a:extLst>
        </xdr:cNvPr>
        <xdr:cNvSpPr/>
      </xdr:nvSpPr>
      <xdr:spPr>
        <a:xfrm>
          <a:off x="10233212" y="1716741"/>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editAs="oneCell">
    <xdr:from>
      <xdr:col>16</xdr:col>
      <xdr:colOff>299358</xdr:colOff>
      <xdr:row>167</xdr:row>
      <xdr:rowOff>190500</xdr:rowOff>
    </xdr:from>
    <xdr:to>
      <xdr:col>31</xdr:col>
      <xdr:colOff>326571</xdr:colOff>
      <xdr:row>179</xdr:row>
      <xdr:rowOff>0</xdr:rowOff>
    </xdr:to>
    <xdr:pic>
      <xdr:nvPicPr>
        <xdr:cNvPr id="7" name="Picture 6">
          <a:extLst>
            <a:ext uri="{FF2B5EF4-FFF2-40B4-BE49-F238E27FC236}">
              <a16:creationId xmlns:a16="http://schemas.microsoft.com/office/drawing/2014/main" id="{A4D2DF18-F9F1-48F8-A6E9-FEA4071C59CE}"/>
            </a:ext>
          </a:extLst>
        </xdr:cNvPr>
        <xdr:cNvPicPr>
          <a:picLocks noChangeAspect="1"/>
        </xdr:cNvPicPr>
      </xdr:nvPicPr>
      <xdr:blipFill rotWithShape="1">
        <a:blip xmlns:r="http://schemas.openxmlformats.org/officeDocument/2006/relationships" r:embed="rId1"/>
        <a:srcRect l="6497" r="5536" b="6587"/>
        <a:stretch/>
      </xdr:blipFill>
      <xdr:spPr>
        <a:xfrm>
          <a:off x="11389179" y="32058429"/>
          <a:ext cx="9212035" cy="2122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95250</xdr:colOff>
      <xdr:row>7</xdr:row>
      <xdr:rowOff>0</xdr:rowOff>
    </xdr:from>
    <xdr:to>
      <xdr:col>16</xdr:col>
      <xdr:colOff>620247</xdr:colOff>
      <xdr:row>23</xdr:row>
      <xdr:rowOff>76636</xdr:rowOff>
    </xdr:to>
    <xdr:pic>
      <xdr:nvPicPr>
        <xdr:cNvPr id="2" name="Picture 1">
          <a:extLst>
            <a:ext uri="{FF2B5EF4-FFF2-40B4-BE49-F238E27FC236}">
              <a16:creationId xmlns:a16="http://schemas.microsoft.com/office/drawing/2014/main" id="{5760BAC1-B6E0-45A8-9CB5-650E2EF2294B}"/>
            </a:ext>
          </a:extLst>
        </xdr:cNvPr>
        <xdr:cNvPicPr>
          <a:picLocks noChangeAspect="1"/>
        </xdr:cNvPicPr>
      </xdr:nvPicPr>
      <xdr:blipFill rotWithShape="1">
        <a:blip xmlns:r="http://schemas.openxmlformats.org/officeDocument/2006/relationships" r:embed="rId1"/>
        <a:srcRect l="9676" r="7110"/>
        <a:stretch/>
      </xdr:blipFill>
      <xdr:spPr>
        <a:xfrm>
          <a:off x="10439400" y="1333500"/>
          <a:ext cx="1228726" cy="3124636"/>
        </a:xfrm>
        <a:prstGeom prst="rect">
          <a:avLst/>
        </a:prstGeom>
      </xdr:spPr>
    </xdr:pic>
    <xdr:clientData/>
  </xdr:twoCellAnchor>
  <xdr:twoCellAnchor editAs="oneCell">
    <xdr:from>
      <xdr:col>18</xdr:col>
      <xdr:colOff>342901</xdr:colOff>
      <xdr:row>7</xdr:row>
      <xdr:rowOff>28575</xdr:rowOff>
    </xdr:from>
    <xdr:to>
      <xdr:col>20</xdr:col>
      <xdr:colOff>323850</xdr:colOff>
      <xdr:row>23</xdr:row>
      <xdr:rowOff>47625</xdr:rowOff>
    </xdr:to>
    <xdr:pic>
      <xdr:nvPicPr>
        <xdr:cNvPr id="3" name="Picture 2">
          <a:extLst>
            <a:ext uri="{FF2B5EF4-FFF2-40B4-BE49-F238E27FC236}">
              <a16:creationId xmlns:a16="http://schemas.microsoft.com/office/drawing/2014/main" id="{031BD2F1-10C4-4614-9E3D-C872E2551102}"/>
            </a:ext>
          </a:extLst>
        </xdr:cNvPr>
        <xdr:cNvPicPr>
          <a:picLocks noChangeAspect="1"/>
        </xdr:cNvPicPr>
      </xdr:nvPicPr>
      <xdr:blipFill rotWithShape="1">
        <a:blip xmlns:r="http://schemas.openxmlformats.org/officeDocument/2006/relationships" r:embed="rId2"/>
        <a:srcRect l="5434" t="2011" r="26097" b="5473"/>
        <a:stretch/>
      </xdr:blipFill>
      <xdr:spPr>
        <a:xfrm>
          <a:off x="12515851" y="1362075"/>
          <a:ext cx="1200149" cy="3067050"/>
        </a:xfrm>
        <a:prstGeom prst="rect">
          <a:avLst/>
        </a:prstGeom>
      </xdr:spPr>
    </xdr:pic>
    <xdr:clientData/>
  </xdr:twoCellAnchor>
  <xdr:twoCellAnchor>
    <xdr:from>
      <xdr:col>17</xdr:col>
      <xdr:colOff>342900</xdr:colOff>
      <xdr:row>15</xdr:row>
      <xdr:rowOff>142875</xdr:rowOff>
    </xdr:from>
    <xdr:to>
      <xdr:col>18</xdr:col>
      <xdr:colOff>200025</xdr:colOff>
      <xdr:row>15</xdr:row>
      <xdr:rowOff>152400</xdr:rowOff>
    </xdr:to>
    <xdr:cxnSp macro="">
      <xdr:nvCxnSpPr>
        <xdr:cNvPr id="5" name="Straight Arrow Connector 4">
          <a:extLst>
            <a:ext uri="{FF2B5EF4-FFF2-40B4-BE49-F238E27FC236}">
              <a16:creationId xmlns:a16="http://schemas.microsoft.com/office/drawing/2014/main" id="{65C6F197-7DCC-40AE-8240-DB050323C363}"/>
            </a:ext>
          </a:extLst>
        </xdr:cNvPr>
        <xdr:cNvCxnSpPr/>
      </xdr:nvCxnSpPr>
      <xdr:spPr>
        <a:xfrm>
          <a:off x="1190625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7" name="Straight Arrow Connector 6">
          <a:extLst>
            <a:ext uri="{FF2B5EF4-FFF2-40B4-BE49-F238E27FC236}">
              <a16:creationId xmlns:a16="http://schemas.microsoft.com/office/drawing/2014/main" id="{CA00B1DF-22D0-4F61-AEE6-50EF2EBD4372}"/>
            </a:ext>
          </a:extLst>
        </xdr:cNvPr>
        <xdr:cNvCxnSpPr/>
      </xdr:nvCxnSpPr>
      <xdr:spPr>
        <a:xfrm>
          <a:off x="7353300" y="504825"/>
          <a:ext cx="8105775"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32844</xdr:colOff>
      <xdr:row>46</xdr:row>
      <xdr:rowOff>5110</xdr:rowOff>
    </xdr:from>
    <xdr:to>
      <xdr:col>2</xdr:col>
      <xdr:colOff>1156137</xdr:colOff>
      <xdr:row>46</xdr:row>
      <xdr:rowOff>216776</xdr:rowOff>
    </xdr:to>
    <xdr:pic>
      <xdr:nvPicPr>
        <xdr:cNvPr id="3" name="Picture 2">
          <a:extLst>
            <a:ext uri="{FF2B5EF4-FFF2-40B4-BE49-F238E27FC236}">
              <a16:creationId xmlns:a16="http://schemas.microsoft.com/office/drawing/2014/main" id="{33F6791B-7414-4DC5-8AED-7F5471677F78}"/>
            </a:ext>
          </a:extLst>
        </xdr:cNvPr>
        <xdr:cNvPicPr>
          <a:picLocks noChangeAspect="1"/>
        </xdr:cNvPicPr>
      </xdr:nvPicPr>
      <xdr:blipFill>
        <a:blip xmlns:r="http://schemas.openxmlformats.org/officeDocument/2006/relationships" r:embed="rId1"/>
        <a:stretch>
          <a:fillRect/>
        </a:stretch>
      </xdr:blipFill>
      <xdr:spPr>
        <a:xfrm>
          <a:off x="1832741" y="8866644"/>
          <a:ext cx="1123293" cy="211666"/>
        </a:xfrm>
        <a:prstGeom prst="rect">
          <a:avLst/>
        </a:prstGeom>
      </xdr:spPr>
    </xdr:pic>
    <xdr:clientData/>
  </xdr:twoCellAnchor>
  <xdr:twoCellAnchor editAs="oneCell">
    <xdr:from>
      <xdr:col>7</xdr:col>
      <xdr:colOff>83343</xdr:colOff>
      <xdr:row>60</xdr:row>
      <xdr:rowOff>29765</xdr:rowOff>
    </xdr:from>
    <xdr:to>
      <xdr:col>7</xdr:col>
      <xdr:colOff>1190625</xdr:colOff>
      <xdr:row>60</xdr:row>
      <xdr:rowOff>208359</xdr:rowOff>
    </xdr:to>
    <xdr:pic>
      <xdr:nvPicPr>
        <xdr:cNvPr id="4" name="Picture 3">
          <a:extLst>
            <a:ext uri="{FF2B5EF4-FFF2-40B4-BE49-F238E27FC236}">
              <a16:creationId xmlns:a16="http://schemas.microsoft.com/office/drawing/2014/main" id="{DC362064-7AE3-4910-9C0A-A230E379A168}"/>
            </a:ext>
          </a:extLst>
        </xdr:cNvPr>
        <xdr:cNvPicPr>
          <a:picLocks noChangeAspect="1"/>
        </xdr:cNvPicPr>
      </xdr:nvPicPr>
      <xdr:blipFill>
        <a:blip xmlns:r="http://schemas.openxmlformats.org/officeDocument/2006/relationships" r:embed="rId2"/>
        <a:stretch>
          <a:fillRect/>
        </a:stretch>
      </xdr:blipFill>
      <xdr:spPr>
        <a:xfrm>
          <a:off x="7739062" y="12066984"/>
          <a:ext cx="1107282" cy="178594"/>
        </a:xfrm>
        <a:prstGeom prst="rect">
          <a:avLst/>
        </a:prstGeom>
      </xdr:spPr>
    </xdr:pic>
    <xdr:clientData/>
  </xdr:twoCellAnchor>
  <xdr:twoCellAnchor editAs="oneCell">
    <xdr:from>
      <xdr:col>8</xdr:col>
      <xdr:colOff>119061</xdr:colOff>
      <xdr:row>60</xdr:row>
      <xdr:rowOff>35718</xdr:rowOff>
    </xdr:from>
    <xdr:to>
      <xdr:col>8</xdr:col>
      <xdr:colOff>1125140</xdr:colOff>
      <xdr:row>60</xdr:row>
      <xdr:rowOff>203633</xdr:rowOff>
    </xdr:to>
    <xdr:pic>
      <xdr:nvPicPr>
        <xdr:cNvPr id="5" name="Picture 4">
          <a:extLst>
            <a:ext uri="{FF2B5EF4-FFF2-40B4-BE49-F238E27FC236}">
              <a16:creationId xmlns:a16="http://schemas.microsoft.com/office/drawing/2014/main" id="{F1AC0B2A-E086-4F3F-8AA3-384590636B2F}"/>
            </a:ext>
          </a:extLst>
        </xdr:cNvPr>
        <xdr:cNvPicPr>
          <a:picLocks noChangeAspect="1"/>
        </xdr:cNvPicPr>
      </xdr:nvPicPr>
      <xdr:blipFill>
        <a:blip xmlns:r="http://schemas.openxmlformats.org/officeDocument/2006/relationships" r:embed="rId3"/>
        <a:stretch>
          <a:fillRect/>
        </a:stretch>
      </xdr:blipFill>
      <xdr:spPr>
        <a:xfrm>
          <a:off x="9013030" y="12072937"/>
          <a:ext cx="1006079" cy="1679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46D8E3-CD66-4901-84B1-68B03FEE54A3}"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BD2C-DC76-4E5D-915B-AD3D5D975E2B}"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5CEFA6-53F7-4E72-B29E-EE481610B022}" cache="Slicer_Department" caption="Department" style="SlicerStyleDark6" rowHeight="241300"/>
  <slicer name="Region" xr10:uid="{7E9FA1CE-C199-44FB-B0DF-1FDFA1F2C178}" cache="Slicer_Region"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C5AF-1E0A-4EDD-AF11-5A4BBABB9721}" name="Employees" displayName="Employees" ref="A1:F39" totalsRowCount="1" headerRowDxfId="45" dataDxfId="43" headerRowBorderDxfId="44" tableBorderDxfId="42">
  <autoFilter ref="A1:F38" xr:uid="{2688C5AF-1E0A-4EDD-AF11-5A4BBABB9721}"/>
  <tableColumns count="6">
    <tableColumn id="1" xr3:uid="{B1033A5F-C26D-48E8-B4BE-5F7761A770FB}" name="Date" dataDxfId="41" totalsRowDxfId="40"/>
    <tableColumn id="2" xr3:uid="{AD6BA12D-25CE-4D3E-8E2A-1DD281A3FDA5}" name="Employee Name" dataDxfId="39" totalsRowDxfId="38"/>
    <tableColumn id="3" xr3:uid="{96E1CF2B-482C-42D2-8CEA-C0CE6D69979C}" name="Department" dataDxfId="37" totalsRowDxfId="36"/>
    <tableColumn id="4" xr3:uid="{602E6D48-4D10-4D1E-9636-6A41FF0A4753}" name="Region" dataDxfId="35" totalsRowDxfId="34"/>
    <tableColumn id="5" xr3:uid="{98D904BD-DEE8-4674-A97B-995E27B5AB23}" name="Sales (Rs.)" dataDxfId="33" totalsRowDxfId="32"/>
    <tableColumn id="6" xr3:uid="{F7A5EC06-42D8-4DD0-83BA-C91339988D38}" name="Target (Rs.)" totalsRowFunction="custom" dataDxfId="31" totalsRowDxfId="30">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2"/>
  <sheetViews>
    <sheetView topLeftCell="AD1" zoomScale="145" zoomScaleNormal="145" workbookViewId="0">
      <selection activeCell="AK5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5" bestFit="1" customWidth="1"/>
    <col min="12" max="12" width="19.5703125" style="16" bestFit="1" customWidth="1"/>
    <col min="13" max="13" width="11.140625" style="17"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5">
        <v>13</v>
      </c>
      <c r="L2" s="16">
        <v>144621</v>
      </c>
      <c r="M2" s="17">
        <v>45729</v>
      </c>
      <c r="N2" s="18">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8">
        <v>45850</v>
      </c>
    </row>
    <row r="3" spans="1:40" thickTop="1" thickBot="1" x14ac:dyDescent="0.3">
      <c r="A3" s="13" t="s">
        <v>58</v>
      </c>
      <c r="B3" s="14" t="s">
        <v>59</v>
      </c>
      <c r="C3" s="14" t="s">
        <v>60</v>
      </c>
      <c r="D3" s="14">
        <v>34</v>
      </c>
      <c r="E3" s="14" t="s">
        <v>43</v>
      </c>
      <c r="F3" s="14" t="s">
        <v>61</v>
      </c>
      <c r="G3" s="14" t="s">
        <v>62</v>
      </c>
      <c r="H3" s="14" t="s">
        <v>63</v>
      </c>
      <c r="I3" s="14" t="s">
        <v>64</v>
      </c>
      <c r="J3" s="14" t="s">
        <v>65</v>
      </c>
      <c r="K3" s="15">
        <v>29</v>
      </c>
      <c r="L3" s="16">
        <v>153799</v>
      </c>
      <c r="M3" s="17">
        <v>46028</v>
      </c>
      <c r="N3" s="18">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8">
        <v>46229</v>
      </c>
    </row>
    <row r="4" spans="1:40" thickTop="1" thickBot="1" x14ac:dyDescent="0.3">
      <c r="A4" s="13" t="s">
        <v>75</v>
      </c>
      <c r="B4" s="14" t="s">
        <v>76</v>
      </c>
      <c r="C4" s="14" t="s">
        <v>77</v>
      </c>
      <c r="D4" s="14">
        <v>50</v>
      </c>
      <c r="E4" s="14" t="s">
        <v>78</v>
      </c>
      <c r="F4" s="14" t="s">
        <v>79</v>
      </c>
      <c r="G4" s="14" t="s">
        <v>80</v>
      </c>
      <c r="H4" s="14" t="s">
        <v>81</v>
      </c>
      <c r="I4" s="14" t="s">
        <v>47</v>
      </c>
      <c r="J4" s="14" t="s">
        <v>48</v>
      </c>
      <c r="K4" s="15">
        <v>23</v>
      </c>
      <c r="L4" s="16">
        <v>218891</v>
      </c>
      <c r="M4" s="17">
        <v>45975</v>
      </c>
      <c r="N4" s="18">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8">
        <v>45828</v>
      </c>
    </row>
    <row r="5" spans="1:40" thickTop="1" thickBot="1" x14ac:dyDescent="0.3">
      <c r="A5" s="13" t="s">
        <v>88</v>
      </c>
      <c r="B5" s="14" t="s">
        <v>89</v>
      </c>
      <c r="C5" s="14" t="s">
        <v>90</v>
      </c>
      <c r="D5" s="14">
        <v>38</v>
      </c>
      <c r="E5" s="14" t="s">
        <v>91</v>
      </c>
      <c r="F5" s="14" t="s">
        <v>92</v>
      </c>
      <c r="G5" s="14" t="s">
        <v>93</v>
      </c>
      <c r="H5" s="14" t="s">
        <v>94</v>
      </c>
      <c r="I5" s="14" t="s">
        <v>95</v>
      </c>
      <c r="J5" s="14" t="s">
        <v>96</v>
      </c>
      <c r="K5" s="15">
        <v>2</v>
      </c>
      <c r="L5" s="16">
        <v>81194</v>
      </c>
      <c r="M5" s="17">
        <v>45812</v>
      </c>
      <c r="N5" s="18">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8">
        <v>45764</v>
      </c>
    </row>
    <row r="6" spans="1:40" thickTop="1" thickBot="1" x14ac:dyDescent="0.3">
      <c r="A6" s="13" t="s">
        <v>104</v>
      </c>
      <c r="B6" s="14" t="s">
        <v>105</v>
      </c>
      <c r="C6" s="14" t="s">
        <v>106</v>
      </c>
      <c r="D6" s="14">
        <v>49</v>
      </c>
      <c r="E6" s="14" t="s">
        <v>78</v>
      </c>
      <c r="F6" s="14" t="s">
        <v>79</v>
      </c>
      <c r="G6" s="14" t="s">
        <v>93</v>
      </c>
      <c r="H6" s="14" t="s">
        <v>107</v>
      </c>
      <c r="I6" s="14" t="s">
        <v>47</v>
      </c>
      <c r="J6" s="14" t="s">
        <v>48</v>
      </c>
      <c r="K6" s="15">
        <v>18</v>
      </c>
      <c r="L6" s="16">
        <v>74653</v>
      </c>
      <c r="M6" s="17">
        <v>46207</v>
      </c>
      <c r="N6" s="18">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8">
        <v>45929</v>
      </c>
    </row>
    <row r="7" spans="1:40" thickTop="1" thickBot="1" x14ac:dyDescent="0.3">
      <c r="A7" s="13" t="s">
        <v>114</v>
      </c>
      <c r="B7" s="14" t="s">
        <v>105</v>
      </c>
      <c r="C7" s="14" t="s">
        <v>115</v>
      </c>
      <c r="D7" s="14">
        <v>44</v>
      </c>
      <c r="E7" s="14" t="s">
        <v>78</v>
      </c>
      <c r="F7" s="14" t="s">
        <v>61</v>
      </c>
      <c r="G7" s="14" t="s">
        <v>45</v>
      </c>
      <c r="H7" s="14" t="s">
        <v>116</v>
      </c>
      <c r="I7" s="14" t="s">
        <v>47</v>
      </c>
      <c r="J7" s="14" t="s">
        <v>117</v>
      </c>
      <c r="K7" s="15">
        <v>16</v>
      </c>
      <c r="L7" s="16">
        <v>131128</v>
      </c>
      <c r="M7" s="17">
        <v>45829</v>
      </c>
      <c r="N7" s="18">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8">
        <v>46277</v>
      </c>
    </row>
    <row r="8" spans="1:40" thickTop="1" thickBot="1" x14ac:dyDescent="0.3">
      <c r="A8" s="13" t="s">
        <v>124</v>
      </c>
      <c r="B8" s="14" t="s">
        <v>59</v>
      </c>
      <c r="C8" s="14" t="s">
        <v>125</v>
      </c>
      <c r="D8" s="14">
        <v>26</v>
      </c>
      <c r="E8" s="14" t="s">
        <v>78</v>
      </c>
      <c r="F8" s="14" t="s">
        <v>79</v>
      </c>
      <c r="G8" s="14" t="s">
        <v>126</v>
      </c>
      <c r="H8" s="14" t="s">
        <v>81</v>
      </c>
      <c r="I8" s="14" t="s">
        <v>95</v>
      </c>
      <c r="J8" s="14" t="s">
        <v>117</v>
      </c>
      <c r="K8" s="15">
        <v>6</v>
      </c>
      <c r="L8" s="16">
        <v>161524</v>
      </c>
      <c r="M8" s="17">
        <v>45659</v>
      </c>
      <c r="N8" s="18">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8">
        <v>45812</v>
      </c>
    </row>
    <row r="9" spans="1:40" thickTop="1" thickBot="1" x14ac:dyDescent="0.3">
      <c r="A9" s="13" t="s">
        <v>132</v>
      </c>
      <c r="B9" s="14" t="s">
        <v>76</v>
      </c>
      <c r="C9" s="14" t="s">
        <v>125</v>
      </c>
      <c r="D9" s="14">
        <v>51</v>
      </c>
      <c r="E9" s="14" t="s">
        <v>91</v>
      </c>
      <c r="F9" s="14" t="s">
        <v>133</v>
      </c>
      <c r="G9" s="14" t="s">
        <v>134</v>
      </c>
      <c r="H9" s="14" t="s">
        <v>135</v>
      </c>
      <c r="I9" s="14" t="s">
        <v>47</v>
      </c>
      <c r="J9" s="14" t="s">
        <v>48</v>
      </c>
      <c r="K9" s="15">
        <v>25</v>
      </c>
      <c r="L9" s="16">
        <v>225413</v>
      </c>
      <c r="M9" s="17">
        <v>45763</v>
      </c>
      <c r="N9" s="18">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8">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5">
        <v>19</v>
      </c>
      <c r="L10" s="16">
        <v>225105</v>
      </c>
      <c r="M10" s="17">
        <v>45781</v>
      </c>
      <c r="N10" s="18">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8">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5">
        <v>13</v>
      </c>
      <c r="L11" s="16">
        <v>66882</v>
      </c>
      <c r="M11" s="17">
        <v>46059</v>
      </c>
      <c r="N11" s="18">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8">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5">
        <v>10</v>
      </c>
      <c r="L12" s="16">
        <v>180240</v>
      </c>
      <c r="M12" s="17">
        <v>46127</v>
      </c>
      <c r="N12" s="18">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8">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5">
        <v>8</v>
      </c>
      <c r="L13" s="16">
        <v>39412</v>
      </c>
      <c r="M13" s="17">
        <v>45748</v>
      </c>
      <c r="N13" s="18">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8">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5">
        <v>0</v>
      </c>
      <c r="L14" s="16">
        <v>227172</v>
      </c>
      <c r="M14" s="17">
        <v>46175</v>
      </c>
      <c r="N14" s="18">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8">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5">
        <v>14</v>
      </c>
      <c r="L15" s="16">
        <v>83588</v>
      </c>
      <c r="M15" s="17">
        <v>45819</v>
      </c>
      <c r="N15" s="18">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8">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5">
        <v>12</v>
      </c>
      <c r="L16" s="16">
        <v>235359</v>
      </c>
      <c r="M16" s="17">
        <v>45991</v>
      </c>
      <c r="N16" s="18">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8">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5">
        <v>25</v>
      </c>
      <c r="L17" s="16">
        <v>54516</v>
      </c>
      <c r="M17" s="17">
        <v>45929</v>
      </c>
      <c r="N17" s="18">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8">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5">
        <v>24</v>
      </c>
      <c r="L18" s="16">
        <v>66064</v>
      </c>
      <c r="M18" s="17">
        <v>46220</v>
      </c>
      <c r="N18" s="18">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9" t="s">
        <v>113</v>
      </c>
      <c r="AK18" s="14" t="s">
        <v>57</v>
      </c>
      <c r="AL18" s="14">
        <v>3.4</v>
      </c>
      <c r="AM18" s="14">
        <v>19</v>
      </c>
      <c r="AN18" s="18">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5">
        <v>23</v>
      </c>
      <c r="L19" s="16">
        <v>71885</v>
      </c>
      <c r="M19" s="17">
        <v>46084</v>
      </c>
      <c r="N19" s="18">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8">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5">
        <v>28</v>
      </c>
      <c r="L20" s="16">
        <v>42605</v>
      </c>
      <c r="M20" s="17">
        <v>46067</v>
      </c>
      <c r="N20" s="18">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8">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5">
        <v>24</v>
      </c>
      <c r="L21" s="16">
        <v>152954</v>
      </c>
      <c r="M21" s="17">
        <v>46095</v>
      </c>
      <c r="N21" s="18">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8">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5">
        <v>30</v>
      </c>
      <c r="L22" s="16">
        <v>116793</v>
      </c>
      <c r="M22" s="17">
        <v>45680</v>
      </c>
      <c r="N22" s="18">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8">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5">
        <v>16</v>
      </c>
      <c r="L23" s="16">
        <v>187801</v>
      </c>
      <c r="M23" s="17">
        <v>45854</v>
      </c>
      <c r="N23" s="18">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8">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5">
        <v>0</v>
      </c>
      <c r="L24" s="16">
        <v>243945</v>
      </c>
      <c r="M24" s="17">
        <v>45957</v>
      </c>
      <c r="N24" s="18">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8">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5">
        <v>23</v>
      </c>
      <c r="L25" s="16">
        <v>64676</v>
      </c>
      <c r="M25" s="17">
        <v>45739</v>
      </c>
      <c r="N25" s="18">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8">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5">
        <v>0</v>
      </c>
      <c r="L26" s="16">
        <v>200586</v>
      </c>
      <c r="M26" s="17">
        <v>46078</v>
      </c>
      <c r="N26" s="18">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8">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5">
        <v>0</v>
      </c>
      <c r="L27" s="16">
        <v>245388</v>
      </c>
      <c r="M27" s="17">
        <v>45968</v>
      </c>
      <c r="N27" s="18">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8">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5">
        <v>27</v>
      </c>
      <c r="L28" s="16">
        <v>237866</v>
      </c>
      <c r="M28" s="17">
        <v>45782</v>
      </c>
      <c r="N28" s="18">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8">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5">
        <v>28</v>
      </c>
      <c r="L29" s="16">
        <v>111985</v>
      </c>
      <c r="M29" s="17">
        <v>45896</v>
      </c>
      <c r="N29" s="18">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8">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5">
        <v>6</v>
      </c>
      <c r="L30" s="16">
        <v>43248</v>
      </c>
      <c r="M30" s="17">
        <v>46165</v>
      </c>
      <c r="N30" s="18">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8">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5">
        <v>18</v>
      </c>
      <c r="L31" s="16">
        <v>130611</v>
      </c>
      <c r="M31" s="17">
        <v>46129</v>
      </c>
      <c r="N31" s="18">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8">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5">
        <v>12</v>
      </c>
      <c r="L32" s="16">
        <v>196147</v>
      </c>
      <c r="M32" s="17">
        <v>45858</v>
      </c>
      <c r="N32" s="18">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8">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5">
        <v>0</v>
      </c>
      <c r="L33" s="16">
        <v>197238</v>
      </c>
      <c r="M33" s="17">
        <v>46159</v>
      </c>
      <c r="N33" s="18">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8">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5">
        <v>30</v>
      </c>
      <c r="L34" s="16">
        <v>247597</v>
      </c>
      <c r="M34" s="17">
        <v>45827</v>
      </c>
      <c r="N34" s="18">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8">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5">
        <v>17</v>
      </c>
      <c r="L35" s="16">
        <v>200092</v>
      </c>
      <c r="M35" s="17">
        <v>46061</v>
      </c>
      <c r="N35" s="18">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8">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5">
        <v>18</v>
      </c>
      <c r="L36" s="16">
        <v>128051</v>
      </c>
      <c r="M36" s="17">
        <v>45969</v>
      </c>
      <c r="N36" s="18">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8">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5">
        <v>1</v>
      </c>
      <c r="L37" s="16">
        <v>51129</v>
      </c>
      <c r="M37" s="17">
        <v>46202</v>
      </c>
      <c r="N37" s="18">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8">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5">
        <v>8</v>
      </c>
      <c r="L38" s="16">
        <v>201688</v>
      </c>
      <c r="M38" s="17">
        <v>46225</v>
      </c>
      <c r="N38" s="18">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8">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5">
        <v>28</v>
      </c>
      <c r="L39" s="16">
        <v>115675</v>
      </c>
      <c r="M39" s="17">
        <v>45875</v>
      </c>
      <c r="N39" s="18">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8">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5">
        <v>1</v>
      </c>
      <c r="L40" s="16">
        <v>247865</v>
      </c>
      <c r="M40" s="17">
        <v>45747</v>
      </c>
      <c r="N40" s="18">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8">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5">
        <v>13</v>
      </c>
      <c r="L41" s="16">
        <v>35340</v>
      </c>
      <c r="M41" s="17">
        <v>46194</v>
      </c>
      <c r="N41" s="18">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8">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5">
        <v>11</v>
      </c>
      <c r="L42" s="16">
        <v>89032</v>
      </c>
      <c r="M42" s="17">
        <v>45968</v>
      </c>
      <c r="N42" s="18">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8">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5">
        <v>23</v>
      </c>
      <c r="L43" s="16">
        <v>120606</v>
      </c>
      <c r="M43" s="17">
        <v>46192</v>
      </c>
      <c r="N43" s="18">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8">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5">
        <v>8</v>
      </c>
      <c r="L44" s="16">
        <v>193258</v>
      </c>
      <c r="M44" s="17">
        <v>46072</v>
      </c>
      <c r="N44" s="18">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8">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5">
        <v>29</v>
      </c>
      <c r="L45" s="16">
        <v>62886</v>
      </c>
      <c r="M45" s="17">
        <v>45697</v>
      </c>
      <c r="N45" s="18">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8">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5">
        <v>18</v>
      </c>
      <c r="L46" s="16">
        <v>104509</v>
      </c>
      <c r="M46" s="17">
        <v>45769</v>
      </c>
      <c r="N46" s="18">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8">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5">
        <v>15</v>
      </c>
      <c r="L47" s="16">
        <v>35706</v>
      </c>
      <c r="M47" s="17">
        <v>45945</v>
      </c>
      <c r="N47" s="18">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8">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5">
        <v>28</v>
      </c>
      <c r="L48" s="16">
        <v>140508</v>
      </c>
      <c r="M48" s="17">
        <v>46205</v>
      </c>
      <c r="N48" s="18">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8">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5">
        <v>22</v>
      </c>
      <c r="L49" s="16">
        <v>182474</v>
      </c>
      <c r="M49" s="17">
        <v>46167</v>
      </c>
      <c r="N49" s="18">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8">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5">
        <v>13</v>
      </c>
      <c r="L50" s="16">
        <v>100948</v>
      </c>
      <c r="M50" s="17">
        <v>46225</v>
      </c>
      <c r="N50" s="18">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8">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5">
        <v>28</v>
      </c>
      <c r="L51" s="16">
        <v>213514</v>
      </c>
      <c r="M51" s="17">
        <v>45742</v>
      </c>
      <c r="N51" s="18">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8">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5">
        <v>22</v>
      </c>
      <c r="L52" s="16">
        <v>141076</v>
      </c>
      <c r="M52" s="17">
        <v>46115</v>
      </c>
      <c r="N52" s="18">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8">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5">
        <v>9</v>
      </c>
      <c r="L53" s="16">
        <v>199789</v>
      </c>
      <c r="M53" s="17">
        <v>46228</v>
      </c>
      <c r="N53" s="18">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8">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5">
        <v>19</v>
      </c>
      <c r="L54" s="16">
        <v>205641</v>
      </c>
      <c r="M54" s="17">
        <v>45998</v>
      </c>
      <c r="N54" s="18">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8">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5">
        <v>6</v>
      </c>
      <c r="L55" s="16">
        <v>241488</v>
      </c>
      <c r="M55" s="17">
        <v>45897</v>
      </c>
      <c r="N55" s="18">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8">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5">
        <v>1</v>
      </c>
      <c r="L56" s="16">
        <v>164307</v>
      </c>
      <c r="M56" s="17">
        <v>46041</v>
      </c>
      <c r="N56" s="18">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8">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5">
        <v>11</v>
      </c>
      <c r="L57" s="16">
        <v>219961</v>
      </c>
      <c r="M57" s="17">
        <v>46127</v>
      </c>
      <c r="N57" s="18">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8">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5">
        <v>24</v>
      </c>
      <c r="L58" s="16">
        <v>36514</v>
      </c>
      <c r="M58" s="17">
        <v>45861</v>
      </c>
      <c r="N58" s="18">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8">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5">
        <v>10</v>
      </c>
      <c r="L59" s="16">
        <v>119558</v>
      </c>
      <c r="M59" s="17">
        <v>45897</v>
      </c>
      <c r="N59" s="18">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8">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5">
        <v>8</v>
      </c>
      <c r="L60" s="16">
        <v>232879</v>
      </c>
      <c r="M60" s="17">
        <v>45864</v>
      </c>
      <c r="N60" s="18">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8">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5">
        <v>6</v>
      </c>
      <c r="L61" s="16">
        <v>192457</v>
      </c>
      <c r="M61" s="17">
        <v>45739</v>
      </c>
      <c r="N61" s="18">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8">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5">
        <v>2</v>
      </c>
      <c r="L62" s="16">
        <v>66659</v>
      </c>
      <c r="M62" s="17">
        <v>46023</v>
      </c>
      <c r="N62" s="18">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8">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5">
        <v>22</v>
      </c>
      <c r="L63" s="16">
        <v>81916</v>
      </c>
      <c r="M63" s="17">
        <v>45704</v>
      </c>
      <c r="N63" s="18">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8">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5">
        <v>27</v>
      </c>
      <c r="L64" s="16">
        <v>182083</v>
      </c>
      <c r="M64" s="17">
        <v>45712</v>
      </c>
      <c r="N64" s="18">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8">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5">
        <v>16</v>
      </c>
      <c r="L65" s="16">
        <v>38582</v>
      </c>
      <c r="M65" s="17">
        <v>46102</v>
      </c>
      <c r="N65" s="18">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8">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5">
        <v>15</v>
      </c>
      <c r="L66" s="16">
        <v>157936</v>
      </c>
      <c r="M66" s="17">
        <v>45975</v>
      </c>
      <c r="N66" s="18">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8">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5">
        <v>10</v>
      </c>
      <c r="L67" s="16">
        <v>210175</v>
      </c>
      <c r="M67" s="17">
        <v>46018</v>
      </c>
      <c r="N67" s="18">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8">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5">
        <v>17</v>
      </c>
      <c r="L68" s="16">
        <v>191085</v>
      </c>
      <c r="M68" s="17">
        <v>46051</v>
      </c>
      <c r="N68" s="18">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8">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5">
        <v>11</v>
      </c>
      <c r="L69" s="16">
        <v>45672</v>
      </c>
      <c r="M69" s="17">
        <v>46017</v>
      </c>
      <c r="N69" s="18">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8">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5">
        <v>5</v>
      </c>
      <c r="L70" s="16">
        <v>50773</v>
      </c>
      <c r="M70" s="17">
        <v>46236</v>
      </c>
      <c r="N70" s="18">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8">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5">
        <v>5</v>
      </c>
      <c r="L71" s="16">
        <v>171968</v>
      </c>
      <c r="M71" s="17">
        <v>46160</v>
      </c>
      <c r="N71" s="18">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8">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5">
        <v>0</v>
      </c>
      <c r="L72" s="16">
        <v>248882</v>
      </c>
      <c r="M72" s="17">
        <v>46124</v>
      </c>
      <c r="N72" s="18">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8">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5">
        <v>7</v>
      </c>
      <c r="L73" s="16">
        <v>136545</v>
      </c>
      <c r="M73" s="17">
        <v>45853</v>
      </c>
      <c r="N73" s="18">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8">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5">
        <v>7</v>
      </c>
      <c r="L74" s="16">
        <v>140945</v>
      </c>
      <c r="M74" s="17">
        <v>46180</v>
      </c>
      <c r="N74" s="18">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8">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5">
        <v>26</v>
      </c>
      <c r="L75" s="16">
        <v>222876</v>
      </c>
      <c r="M75" s="17">
        <v>46066</v>
      </c>
      <c r="N75" s="18">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8">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5">
        <v>9</v>
      </c>
      <c r="L76" s="16">
        <v>200008</v>
      </c>
      <c r="M76" s="17">
        <v>45841</v>
      </c>
      <c r="N76" s="18">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8">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5">
        <v>21</v>
      </c>
      <c r="L77" s="16">
        <v>169186</v>
      </c>
      <c r="M77" s="17">
        <v>45788</v>
      </c>
      <c r="N77" s="18">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8">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5">
        <v>18</v>
      </c>
      <c r="L78" s="16">
        <v>98116</v>
      </c>
      <c r="M78" s="17">
        <v>45999</v>
      </c>
      <c r="N78" s="18">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8">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5">
        <v>24</v>
      </c>
      <c r="L79" s="16">
        <v>162277</v>
      </c>
      <c r="M79" s="17">
        <v>45743</v>
      </c>
      <c r="N79" s="18">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8">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5">
        <v>10</v>
      </c>
      <c r="L80" s="16">
        <v>95352</v>
      </c>
      <c r="M80" s="17">
        <v>46035</v>
      </c>
      <c r="N80" s="18">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8">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5">
        <v>21</v>
      </c>
      <c r="L81" s="16">
        <v>49496</v>
      </c>
      <c r="M81" s="17">
        <v>46184</v>
      </c>
      <c r="N81" s="18">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8">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5">
        <v>9</v>
      </c>
      <c r="L82" s="16">
        <v>125022</v>
      </c>
      <c r="M82" s="17">
        <v>46201</v>
      </c>
      <c r="N82" s="18">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8">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5">
        <v>17</v>
      </c>
      <c r="L83" s="16">
        <v>185131</v>
      </c>
      <c r="M83" s="17">
        <v>45773</v>
      </c>
      <c r="N83" s="18">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8">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5">
        <v>22</v>
      </c>
      <c r="L84" s="16">
        <v>70545</v>
      </c>
      <c r="M84" s="17">
        <v>46094</v>
      </c>
      <c r="N84" s="18">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8">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5">
        <v>25</v>
      </c>
      <c r="L85" s="16">
        <v>40493</v>
      </c>
      <c r="M85" s="17">
        <v>46157</v>
      </c>
      <c r="N85" s="18">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8">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5">
        <v>16</v>
      </c>
      <c r="L86" s="16">
        <v>54892</v>
      </c>
      <c r="M86" s="17">
        <v>46027</v>
      </c>
      <c r="N86" s="18">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8">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5">
        <v>29</v>
      </c>
      <c r="L87" s="16">
        <v>181965</v>
      </c>
      <c r="M87" s="17">
        <v>45755</v>
      </c>
      <c r="N87" s="18">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8">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5">
        <v>18</v>
      </c>
      <c r="L88" s="16">
        <v>237466</v>
      </c>
      <c r="M88" s="17">
        <v>45967</v>
      </c>
      <c r="N88" s="18">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8">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5">
        <v>6</v>
      </c>
      <c r="L89" s="16">
        <v>193047</v>
      </c>
      <c r="M89" s="17">
        <v>45947</v>
      </c>
      <c r="N89" s="18">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8">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5">
        <v>12</v>
      </c>
      <c r="L90" s="16">
        <v>102375</v>
      </c>
      <c r="M90" s="17">
        <v>46132</v>
      </c>
      <c r="N90" s="18">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8">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5">
        <v>16</v>
      </c>
      <c r="L91" s="16">
        <v>106808</v>
      </c>
      <c r="M91" s="17">
        <v>45793</v>
      </c>
      <c r="N91" s="18">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8">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5">
        <v>6</v>
      </c>
      <c r="L92" s="16">
        <v>119890</v>
      </c>
      <c r="M92" s="17">
        <v>45685</v>
      </c>
      <c r="N92" s="18">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8">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5">
        <v>26</v>
      </c>
      <c r="L93" s="16">
        <v>113665</v>
      </c>
      <c r="M93" s="17">
        <v>45947</v>
      </c>
      <c r="N93" s="18">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8">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5">
        <v>20</v>
      </c>
      <c r="L94" s="16">
        <v>209417</v>
      </c>
      <c r="M94" s="17">
        <v>46064</v>
      </c>
      <c r="N94" s="18">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8">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5">
        <v>6</v>
      </c>
      <c r="L95" s="16">
        <v>93709</v>
      </c>
      <c r="M95" s="17">
        <v>45732</v>
      </c>
      <c r="N95" s="18">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8">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5">
        <v>16</v>
      </c>
      <c r="L96" s="16">
        <v>101758</v>
      </c>
      <c r="M96" s="17">
        <v>46044</v>
      </c>
      <c r="N96" s="18">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8">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5">
        <v>21</v>
      </c>
      <c r="L97" s="16">
        <v>93527</v>
      </c>
      <c r="M97" s="17">
        <v>45929</v>
      </c>
      <c r="N97" s="18">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8">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5">
        <v>21</v>
      </c>
      <c r="L98" s="16">
        <v>245557</v>
      </c>
      <c r="M98" s="17">
        <v>46193</v>
      </c>
      <c r="N98" s="18">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8">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5">
        <v>7</v>
      </c>
      <c r="L99" s="16">
        <v>104574</v>
      </c>
      <c r="M99" s="17">
        <v>46106</v>
      </c>
      <c r="N99" s="18">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8">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5">
        <v>12</v>
      </c>
      <c r="L100" s="16">
        <v>138090</v>
      </c>
      <c r="M100" s="17">
        <v>46196</v>
      </c>
      <c r="N100" s="18">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8">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5">
        <v>27</v>
      </c>
      <c r="L101" s="16">
        <v>232476</v>
      </c>
      <c r="M101" s="17">
        <v>45878</v>
      </c>
      <c r="N101" s="18">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8">
        <v>46050</v>
      </c>
    </row>
    <row r="102" spans="1:40" ht="15" x14ac:dyDescent="0.25"/>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B3C3-248D-45A3-AA24-450B5755F8CE}">
  <dimension ref="A1:N43"/>
  <sheetViews>
    <sheetView zoomScale="85" zoomScaleNormal="85" workbookViewId="0">
      <selection activeCell="N28" sqref="N28"/>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 t="shared" ref="A4:A42" si="0">A3+5</f>
        <v>10</v>
      </c>
      <c r="B4" s="6">
        <f t="shared" ref="B4:B42" si="1">B3+5</f>
        <v>10</v>
      </c>
      <c r="C4" s="6">
        <f t="shared" ref="C4:C42" si="2">A4+B4</f>
        <v>20</v>
      </c>
      <c r="D4" s="6">
        <f t="shared" ref="D4:D42" si="3">SUM(A4,B4,C4)</f>
        <v>40</v>
      </c>
      <c r="E4" s="6">
        <f t="shared" ref="E4:E42" si="4">SUM(A4:D4)</f>
        <v>80</v>
      </c>
      <c r="F4" s="6">
        <f t="shared" ref="F4:F42" si="5">SUM(D4+E4)</f>
        <v>120</v>
      </c>
      <c r="G4" s="6">
        <f t="shared" ref="G4:G42" si="6">SUM(D4,E4)</f>
        <v>120</v>
      </c>
      <c r="H4" s="6">
        <f t="shared" ref="H4:H42" si="7">E4-D4</f>
        <v>40</v>
      </c>
      <c r="I4" s="6">
        <f t="shared" ref="I4:I42" si="8">G4*H4</f>
        <v>4800</v>
      </c>
      <c r="J4" s="6">
        <f t="shared" ref="J4:J42" si="9">PRODUCT(G4:H4)</f>
        <v>4800</v>
      </c>
      <c r="K4" s="6">
        <f t="shared" ref="K4:K42" si="10">H4/G4</f>
        <v>0.33333333333333331</v>
      </c>
      <c r="L4" s="6">
        <f t="shared" ref="L4:L42" si="11">AVERAGE(G4:H4)</f>
        <v>80</v>
      </c>
      <c r="M4" s="6">
        <f t="shared" ref="M4:M42" si="12">MAX(A4:K4)</f>
        <v>4800</v>
      </c>
      <c r="N4" s="6">
        <f t="shared" ref="N4:N42" si="13">MIN(A4:M4)</f>
        <v>0.33333333333333331</v>
      </c>
    </row>
    <row r="5" spans="1:14" thickTop="1" thickBot="1" x14ac:dyDescent="0.4">
      <c r="A5" s="5">
        <f t="shared" si="0"/>
        <v>15</v>
      </c>
      <c r="B5" s="6">
        <f t="shared" si="1"/>
        <v>15</v>
      </c>
      <c r="C5" s="6">
        <f t="shared" si="2"/>
        <v>30</v>
      </c>
      <c r="D5" s="6">
        <f t="shared" si="3"/>
        <v>60</v>
      </c>
      <c r="E5" s="6">
        <f t="shared" si="4"/>
        <v>120</v>
      </c>
      <c r="F5" s="6">
        <f t="shared" si="5"/>
        <v>180</v>
      </c>
      <c r="G5" s="6">
        <f t="shared" si="6"/>
        <v>180</v>
      </c>
      <c r="H5" s="6">
        <f t="shared" si="7"/>
        <v>60</v>
      </c>
      <c r="I5" s="6">
        <f t="shared" si="8"/>
        <v>10800</v>
      </c>
      <c r="J5" s="6">
        <f t="shared" si="9"/>
        <v>10800</v>
      </c>
      <c r="K5" s="6">
        <f t="shared" si="10"/>
        <v>0.33333333333333331</v>
      </c>
      <c r="L5" s="6">
        <f t="shared" si="11"/>
        <v>120</v>
      </c>
      <c r="M5" s="6">
        <f t="shared" si="12"/>
        <v>10800</v>
      </c>
      <c r="N5" s="6">
        <f t="shared" si="13"/>
        <v>0.33333333333333331</v>
      </c>
    </row>
    <row r="6" spans="1:14" thickTop="1" thickBot="1" x14ac:dyDescent="0.4">
      <c r="A6" s="5">
        <f t="shared" si="0"/>
        <v>20</v>
      </c>
      <c r="B6" s="6">
        <f t="shared" si="1"/>
        <v>20</v>
      </c>
      <c r="C6" s="6">
        <f t="shared" si="2"/>
        <v>40</v>
      </c>
      <c r="D6" s="6">
        <f t="shared" si="3"/>
        <v>80</v>
      </c>
      <c r="E6" s="6">
        <f t="shared" si="4"/>
        <v>160</v>
      </c>
      <c r="F6" s="6">
        <f t="shared" si="5"/>
        <v>240</v>
      </c>
      <c r="G6" s="6">
        <f t="shared" si="6"/>
        <v>240</v>
      </c>
      <c r="H6" s="6">
        <f t="shared" si="7"/>
        <v>80</v>
      </c>
      <c r="I6" s="6">
        <f t="shared" si="8"/>
        <v>19200</v>
      </c>
      <c r="J6" s="6">
        <f t="shared" si="9"/>
        <v>19200</v>
      </c>
      <c r="K6" s="6">
        <f t="shared" si="10"/>
        <v>0.33333333333333331</v>
      </c>
      <c r="L6" s="6">
        <f t="shared" si="11"/>
        <v>160</v>
      </c>
      <c r="M6" s="6">
        <f t="shared" si="12"/>
        <v>19200</v>
      </c>
      <c r="N6" s="6">
        <f t="shared" si="13"/>
        <v>0.33333333333333331</v>
      </c>
    </row>
    <row r="7" spans="1:14" thickTop="1" thickBot="1" x14ac:dyDescent="0.4">
      <c r="A7" s="5">
        <f t="shared" si="0"/>
        <v>25</v>
      </c>
      <c r="B7" s="6">
        <f t="shared" si="1"/>
        <v>25</v>
      </c>
      <c r="C7" s="6">
        <f t="shared" si="2"/>
        <v>50</v>
      </c>
      <c r="D7" s="6">
        <f t="shared" si="3"/>
        <v>100</v>
      </c>
      <c r="E7" s="6">
        <f t="shared" si="4"/>
        <v>200</v>
      </c>
      <c r="F7" s="6">
        <f t="shared" si="5"/>
        <v>300</v>
      </c>
      <c r="G7" s="6">
        <f t="shared" si="6"/>
        <v>300</v>
      </c>
      <c r="H7" s="6">
        <f t="shared" si="7"/>
        <v>100</v>
      </c>
      <c r="I7" s="6">
        <f t="shared" si="8"/>
        <v>30000</v>
      </c>
      <c r="J7" s="6">
        <f t="shared" si="9"/>
        <v>30000</v>
      </c>
      <c r="K7" s="6">
        <f t="shared" si="10"/>
        <v>0.33333333333333331</v>
      </c>
      <c r="L7" s="6">
        <f t="shared" si="11"/>
        <v>200</v>
      </c>
      <c r="M7" s="6">
        <f t="shared" si="12"/>
        <v>30000</v>
      </c>
      <c r="N7" s="6">
        <f t="shared" si="13"/>
        <v>0.33333333333333331</v>
      </c>
    </row>
    <row r="8" spans="1:14" thickTop="1" thickBot="1" x14ac:dyDescent="0.4">
      <c r="A8" s="5">
        <f t="shared" si="0"/>
        <v>30</v>
      </c>
      <c r="B8" s="6">
        <f t="shared" si="1"/>
        <v>30</v>
      </c>
      <c r="C8" s="6">
        <f t="shared" si="2"/>
        <v>60</v>
      </c>
      <c r="D8" s="6">
        <f t="shared" si="3"/>
        <v>120</v>
      </c>
      <c r="E8" s="6">
        <f t="shared" si="4"/>
        <v>240</v>
      </c>
      <c r="F8" s="6">
        <f t="shared" si="5"/>
        <v>360</v>
      </c>
      <c r="G8" s="6">
        <f t="shared" si="6"/>
        <v>360</v>
      </c>
      <c r="H8" s="6">
        <f t="shared" si="7"/>
        <v>120</v>
      </c>
      <c r="I8" s="6">
        <f t="shared" si="8"/>
        <v>43200</v>
      </c>
      <c r="J8" s="6">
        <f t="shared" si="9"/>
        <v>43200</v>
      </c>
      <c r="K8" s="6">
        <f t="shared" si="10"/>
        <v>0.33333333333333331</v>
      </c>
      <c r="L8" s="6">
        <f t="shared" si="11"/>
        <v>240</v>
      </c>
      <c r="M8" s="6">
        <f t="shared" si="12"/>
        <v>43200</v>
      </c>
      <c r="N8" s="6">
        <f t="shared" si="13"/>
        <v>0.33333333333333331</v>
      </c>
    </row>
    <row r="9" spans="1:14" thickTop="1" thickBot="1" x14ac:dyDescent="0.4">
      <c r="A9" s="5">
        <f t="shared" si="0"/>
        <v>35</v>
      </c>
      <c r="B9" s="6">
        <f t="shared" si="1"/>
        <v>35</v>
      </c>
      <c r="C9" s="6">
        <f t="shared" si="2"/>
        <v>70</v>
      </c>
      <c r="D9" s="6">
        <f t="shared" si="3"/>
        <v>140</v>
      </c>
      <c r="E9" s="6">
        <f t="shared" si="4"/>
        <v>280</v>
      </c>
      <c r="F9" s="6">
        <f t="shared" si="5"/>
        <v>420</v>
      </c>
      <c r="G9" s="6">
        <f t="shared" si="6"/>
        <v>420</v>
      </c>
      <c r="H9" s="6">
        <f t="shared" si="7"/>
        <v>140</v>
      </c>
      <c r="I9" s="6">
        <f t="shared" si="8"/>
        <v>58800</v>
      </c>
      <c r="J9" s="6">
        <f t="shared" si="9"/>
        <v>58800</v>
      </c>
      <c r="K9" s="6">
        <f t="shared" si="10"/>
        <v>0.33333333333333331</v>
      </c>
      <c r="L9" s="6">
        <f t="shared" si="11"/>
        <v>280</v>
      </c>
      <c r="M9" s="6">
        <f t="shared" si="12"/>
        <v>58800</v>
      </c>
      <c r="N9" s="6">
        <f t="shared" si="13"/>
        <v>0.33333333333333331</v>
      </c>
    </row>
    <row r="10" spans="1:14" thickTop="1" thickBot="1" x14ac:dyDescent="0.4">
      <c r="A10" s="5">
        <f t="shared" si="0"/>
        <v>40</v>
      </c>
      <c r="B10" s="6">
        <f t="shared" si="1"/>
        <v>40</v>
      </c>
      <c r="C10" s="6">
        <f t="shared" si="2"/>
        <v>80</v>
      </c>
      <c r="D10" s="6">
        <f t="shared" si="3"/>
        <v>160</v>
      </c>
      <c r="E10" s="6">
        <f t="shared" si="4"/>
        <v>320</v>
      </c>
      <c r="F10" s="6">
        <f t="shared" si="5"/>
        <v>480</v>
      </c>
      <c r="G10" s="6">
        <f t="shared" si="6"/>
        <v>480</v>
      </c>
      <c r="H10" s="6">
        <f t="shared" si="7"/>
        <v>160</v>
      </c>
      <c r="I10" s="6">
        <f t="shared" si="8"/>
        <v>76800</v>
      </c>
      <c r="J10" s="6">
        <f t="shared" si="9"/>
        <v>76800</v>
      </c>
      <c r="K10" s="6">
        <f t="shared" si="10"/>
        <v>0.33333333333333331</v>
      </c>
      <c r="L10" s="6">
        <f t="shared" si="11"/>
        <v>320</v>
      </c>
      <c r="M10" s="6">
        <f t="shared" si="12"/>
        <v>76800</v>
      </c>
      <c r="N10" s="6">
        <f t="shared" si="13"/>
        <v>0.33333333333333331</v>
      </c>
    </row>
    <row r="11" spans="1:14" thickTop="1" thickBot="1" x14ac:dyDescent="0.4">
      <c r="A11" s="5">
        <f t="shared" si="0"/>
        <v>45</v>
      </c>
      <c r="B11" s="6">
        <f t="shared" si="1"/>
        <v>45</v>
      </c>
      <c r="C11" s="6">
        <f t="shared" si="2"/>
        <v>90</v>
      </c>
      <c r="D11" s="6">
        <f t="shared" si="3"/>
        <v>180</v>
      </c>
      <c r="E11" s="6">
        <f t="shared" si="4"/>
        <v>360</v>
      </c>
      <c r="F11" s="6">
        <f t="shared" si="5"/>
        <v>540</v>
      </c>
      <c r="G11" s="6">
        <f t="shared" si="6"/>
        <v>540</v>
      </c>
      <c r="H11" s="6">
        <f t="shared" si="7"/>
        <v>180</v>
      </c>
      <c r="I11" s="6">
        <f t="shared" si="8"/>
        <v>97200</v>
      </c>
      <c r="J11" s="6">
        <f t="shared" si="9"/>
        <v>97200</v>
      </c>
      <c r="K11" s="6">
        <f t="shared" si="10"/>
        <v>0.33333333333333331</v>
      </c>
      <c r="L11" s="6">
        <f t="shared" si="11"/>
        <v>360</v>
      </c>
      <c r="M11" s="6">
        <f t="shared" si="12"/>
        <v>97200</v>
      </c>
      <c r="N11" s="6">
        <f t="shared" si="13"/>
        <v>0.33333333333333331</v>
      </c>
    </row>
    <row r="12" spans="1:14" thickTop="1" thickBot="1" x14ac:dyDescent="0.4">
      <c r="A12" s="5">
        <f t="shared" si="0"/>
        <v>50</v>
      </c>
      <c r="B12" s="6">
        <f t="shared" si="1"/>
        <v>50</v>
      </c>
      <c r="C12" s="6">
        <f t="shared" si="2"/>
        <v>100</v>
      </c>
      <c r="D12" s="6">
        <f t="shared" si="3"/>
        <v>200</v>
      </c>
      <c r="E12" s="6">
        <f t="shared" si="4"/>
        <v>400</v>
      </c>
      <c r="F12" s="6">
        <f t="shared" si="5"/>
        <v>600</v>
      </c>
      <c r="G12" s="6">
        <f t="shared" si="6"/>
        <v>600</v>
      </c>
      <c r="H12" s="6">
        <f t="shared" si="7"/>
        <v>200</v>
      </c>
      <c r="I12" s="6">
        <f t="shared" si="8"/>
        <v>120000</v>
      </c>
      <c r="J12" s="6">
        <f t="shared" si="9"/>
        <v>120000</v>
      </c>
      <c r="K12" s="6">
        <f t="shared" si="10"/>
        <v>0.33333333333333331</v>
      </c>
      <c r="L12" s="6">
        <f t="shared" si="11"/>
        <v>400</v>
      </c>
      <c r="M12" s="6">
        <f t="shared" si="12"/>
        <v>120000</v>
      </c>
      <c r="N12" s="6">
        <f t="shared" si="13"/>
        <v>0.33333333333333331</v>
      </c>
    </row>
    <row r="13" spans="1:14" thickTop="1" thickBot="1" x14ac:dyDescent="0.4">
      <c r="A13" s="5">
        <f t="shared" si="0"/>
        <v>55</v>
      </c>
      <c r="B13" s="6">
        <f t="shared" si="1"/>
        <v>55</v>
      </c>
      <c r="C13" s="6">
        <f t="shared" si="2"/>
        <v>110</v>
      </c>
      <c r="D13" s="6">
        <f t="shared" si="3"/>
        <v>220</v>
      </c>
      <c r="E13" s="6">
        <f t="shared" si="4"/>
        <v>440</v>
      </c>
      <c r="F13" s="6">
        <f t="shared" si="5"/>
        <v>660</v>
      </c>
      <c r="G13" s="6">
        <f t="shared" si="6"/>
        <v>660</v>
      </c>
      <c r="H13" s="6">
        <f t="shared" si="7"/>
        <v>220</v>
      </c>
      <c r="I13" s="6">
        <f t="shared" si="8"/>
        <v>145200</v>
      </c>
      <c r="J13" s="6">
        <f t="shared" si="9"/>
        <v>145200</v>
      </c>
      <c r="K13" s="6">
        <f t="shared" si="10"/>
        <v>0.33333333333333331</v>
      </c>
      <c r="L13" s="6">
        <f t="shared" si="11"/>
        <v>440</v>
      </c>
      <c r="M13" s="6">
        <f t="shared" si="12"/>
        <v>145200</v>
      </c>
      <c r="N13" s="6">
        <f t="shared" si="13"/>
        <v>0.33333333333333331</v>
      </c>
    </row>
    <row r="14" spans="1:14" thickTop="1" thickBot="1" x14ac:dyDescent="0.4">
      <c r="A14" s="5">
        <f t="shared" si="0"/>
        <v>60</v>
      </c>
      <c r="B14" s="6">
        <f t="shared" si="1"/>
        <v>60</v>
      </c>
      <c r="C14" s="6">
        <f t="shared" si="2"/>
        <v>120</v>
      </c>
      <c r="D14" s="6">
        <f t="shared" si="3"/>
        <v>240</v>
      </c>
      <c r="E14" s="6">
        <f t="shared" si="4"/>
        <v>480</v>
      </c>
      <c r="F14" s="6">
        <f t="shared" si="5"/>
        <v>720</v>
      </c>
      <c r="G14" s="6">
        <f t="shared" si="6"/>
        <v>720</v>
      </c>
      <c r="H14" s="6">
        <f t="shared" si="7"/>
        <v>240</v>
      </c>
      <c r="I14" s="6">
        <f t="shared" si="8"/>
        <v>172800</v>
      </c>
      <c r="J14" s="6">
        <f t="shared" si="9"/>
        <v>172800</v>
      </c>
      <c r="K14" s="6">
        <f t="shared" si="10"/>
        <v>0.33333333333333331</v>
      </c>
      <c r="L14" s="6">
        <f t="shared" si="11"/>
        <v>480</v>
      </c>
      <c r="M14" s="6">
        <f t="shared" si="12"/>
        <v>172800</v>
      </c>
      <c r="N14" s="6">
        <f t="shared" si="13"/>
        <v>0.33333333333333331</v>
      </c>
    </row>
    <row r="15" spans="1:14" thickTop="1" thickBot="1" x14ac:dyDescent="0.4">
      <c r="A15" s="5">
        <f t="shared" si="0"/>
        <v>65</v>
      </c>
      <c r="B15" s="6">
        <f t="shared" si="1"/>
        <v>65</v>
      </c>
      <c r="C15" s="6">
        <f t="shared" si="2"/>
        <v>130</v>
      </c>
      <c r="D15" s="6">
        <f t="shared" si="3"/>
        <v>260</v>
      </c>
      <c r="E15" s="6">
        <f t="shared" si="4"/>
        <v>520</v>
      </c>
      <c r="F15" s="6">
        <f t="shared" si="5"/>
        <v>780</v>
      </c>
      <c r="G15" s="6">
        <f t="shared" si="6"/>
        <v>780</v>
      </c>
      <c r="H15" s="6">
        <f t="shared" si="7"/>
        <v>260</v>
      </c>
      <c r="I15" s="6">
        <f t="shared" si="8"/>
        <v>202800</v>
      </c>
      <c r="J15" s="6">
        <f t="shared" si="9"/>
        <v>202800</v>
      </c>
      <c r="K15" s="6">
        <f t="shared" si="10"/>
        <v>0.33333333333333331</v>
      </c>
      <c r="L15" s="6">
        <f t="shared" si="11"/>
        <v>520</v>
      </c>
      <c r="M15" s="6">
        <f t="shared" si="12"/>
        <v>202800</v>
      </c>
      <c r="N15" s="6">
        <f t="shared" si="13"/>
        <v>0.33333333333333331</v>
      </c>
    </row>
    <row r="16" spans="1:14" thickTop="1" thickBot="1" x14ac:dyDescent="0.4">
      <c r="A16" s="5">
        <f t="shared" si="0"/>
        <v>70</v>
      </c>
      <c r="B16" s="6">
        <f t="shared" si="1"/>
        <v>70</v>
      </c>
      <c r="C16" s="6">
        <f t="shared" si="2"/>
        <v>140</v>
      </c>
      <c r="D16" s="6">
        <f t="shared" si="3"/>
        <v>280</v>
      </c>
      <c r="E16" s="6">
        <f t="shared" si="4"/>
        <v>560</v>
      </c>
      <c r="F16" s="6">
        <f t="shared" si="5"/>
        <v>840</v>
      </c>
      <c r="G16" s="6">
        <f t="shared" si="6"/>
        <v>840</v>
      </c>
      <c r="H16" s="6">
        <f t="shared" si="7"/>
        <v>280</v>
      </c>
      <c r="I16" s="6">
        <f t="shared" si="8"/>
        <v>235200</v>
      </c>
      <c r="J16" s="6">
        <f t="shared" si="9"/>
        <v>235200</v>
      </c>
      <c r="K16" s="6">
        <f t="shared" si="10"/>
        <v>0.33333333333333331</v>
      </c>
      <c r="L16" s="6">
        <f t="shared" si="11"/>
        <v>560</v>
      </c>
      <c r="M16" s="6">
        <f t="shared" si="12"/>
        <v>235200</v>
      </c>
      <c r="N16" s="6">
        <f t="shared" si="13"/>
        <v>0.33333333333333331</v>
      </c>
    </row>
    <row r="17" spans="1:14" thickTop="1" thickBot="1" x14ac:dyDescent="0.4">
      <c r="A17" s="5">
        <f t="shared" si="0"/>
        <v>75</v>
      </c>
      <c r="B17" s="6">
        <f t="shared" si="1"/>
        <v>75</v>
      </c>
      <c r="C17" s="6">
        <f t="shared" si="2"/>
        <v>150</v>
      </c>
      <c r="D17" s="6">
        <f t="shared" si="3"/>
        <v>300</v>
      </c>
      <c r="E17" s="6">
        <f t="shared" si="4"/>
        <v>600</v>
      </c>
      <c r="F17" s="6">
        <f t="shared" si="5"/>
        <v>900</v>
      </c>
      <c r="G17" s="6">
        <f t="shared" si="6"/>
        <v>900</v>
      </c>
      <c r="H17" s="6">
        <f t="shared" si="7"/>
        <v>300</v>
      </c>
      <c r="I17" s="6">
        <f t="shared" si="8"/>
        <v>270000</v>
      </c>
      <c r="J17" s="6">
        <f t="shared" si="9"/>
        <v>270000</v>
      </c>
      <c r="K17" s="6">
        <f t="shared" si="10"/>
        <v>0.33333333333333331</v>
      </c>
      <c r="L17" s="6">
        <f t="shared" si="11"/>
        <v>600</v>
      </c>
      <c r="M17" s="6">
        <f t="shared" si="12"/>
        <v>270000</v>
      </c>
      <c r="N17" s="6">
        <f t="shared" si="13"/>
        <v>0.33333333333333331</v>
      </c>
    </row>
    <row r="18" spans="1:14" thickTop="1" thickBot="1" x14ac:dyDescent="0.4">
      <c r="A18" s="5">
        <f t="shared" si="0"/>
        <v>80</v>
      </c>
      <c r="B18" s="6">
        <f t="shared" si="1"/>
        <v>80</v>
      </c>
      <c r="C18" s="6">
        <f t="shared" si="2"/>
        <v>160</v>
      </c>
      <c r="D18" s="6">
        <f t="shared" si="3"/>
        <v>320</v>
      </c>
      <c r="E18" s="6">
        <f t="shared" si="4"/>
        <v>640</v>
      </c>
      <c r="F18" s="6">
        <f t="shared" si="5"/>
        <v>960</v>
      </c>
      <c r="G18" s="6">
        <f t="shared" si="6"/>
        <v>960</v>
      </c>
      <c r="H18" s="6">
        <f t="shared" si="7"/>
        <v>320</v>
      </c>
      <c r="I18" s="6">
        <f t="shared" si="8"/>
        <v>307200</v>
      </c>
      <c r="J18" s="6">
        <f t="shared" si="9"/>
        <v>307200</v>
      </c>
      <c r="K18" s="6">
        <f t="shared" si="10"/>
        <v>0.33333333333333331</v>
      </c>
      <c r="L18" s="6">
        <f t="shared" si="11"/>
        <v>640</v>
      </c>
      <c r="M18" s="6">
        <f t="shared" si="12"/>
        <v>307200</v>
      </c>
      <c r="N18" s="6">
        <f t="shared" si="13"/>
        <v>0.33333333333333331</v>
      </c>
    </row>
    <row r="19" spans="1:14" thickTop="1" thickBot="1" x14ac:dyDescent="0.4">
      <c r="A19" s="5">
        <f t="shared" si="0"/>
        <v>85</v>
      </c>
      <c r="B19" s="6">
        <f t="shared" si="1"/>
        <v>85</v>
      </c>
      <c r="C19" s="6">
        <f t="shared" si="2"/>
        <v>170</v>
      </c>
      <c r="D19" s="6">
        <f t="shared" si="3"/>
        <v>340</v>
      </c>
      <c r="E19" s="6">
        <f t="shared" si="4"/>
        <v>680</v>
      </c>
      <c r="F19" s="6">
        <f t="shared" si="5"/>
        <v>1020</v>
      </c>
      <c r="G19" s="6">
        <f t="shared" si="6"/>
        <v>1020</v>
      </c>
      <c r="H19" s="6">
        <f t="shared" si="7"/>
        <v>340</v>
      </c>
      <c r="I19" s="6">
        <f t="shared" si="8"/>
        <v>346800</v>
      </c>
      <c r="J19" s="6">
        <f t="shared" si="9"/>
        <v>346800</v>
      </c>
      <c r="K19" s="6">
        <f t="shared" si="10"/>
        <v>0.33333333333333331</v>
      </c>
      <c r="L19" s="6">
        <f t="shared" si="11"/>
        <v>680</v>
      </c>
      <c r="M19" s="6">
        <f t="shared" si="12"/>
        <v>346800</v>
      </c>
      <c r="N19" s="6">
        <f t="shared" si="13"/>
        <v>0.33333333333333331</v>
      </c>
    </row>
    <row r="20" spans="1:14" thickTop="1" thickBot="1" x14ac:dyDescent="0.4">
      <c r="A20" s="5">
        <f t="shared" si="0"/>
        <v>90</v>
      </c>
      <c r="B20" s="6">
        <f t="shared" si="1"/>
        <v>90</v>
      </c>
      <c r="C20" s="6">
        <f t="shared" si="2"/>
        <v>180</v>
      </c>
      <c r="D20" s="6">
        <f t="shared" si="3"/>
        <v>360</v>
      </c>
      <c r="E20" s="6">
        <f t="shared" si="4"/>
        <v>720</v>
      </c>
      <c r="F20" s="6">
        <f t="shared" si="5"/>
        <v>1080</v>
      </c>
      <c r="G20" s="6">
        <f t="shared" si="6"/>
        <v>1080</v>
      </c>
      <c r="H20" s="6">
        <f t="shared" si="7"/>
        <v>360</v>
      </c>
      <c r="I20" s="6">
        <f t="shared" si="8"/>
        <v>388800</v>
      </c>
      <c r="J20" s="6">
        <f t="shared" si="9"/>
        <v>388800</v>
      </c>
      <c r="K20" s="6">
        <f t="shared" si="10"/>
        <v>0.33333333333333331</v>
      </c>
      <c r="L20" s="6">
        <f t="shared" si="11"/>
        <v>720</v>
      </c>
      <c r="M20" s="6">
        <f t="shared" si="12"/>
        <v>388800</v>
      </c>
      <c r="N20" s="6">
        <f t="shared" si="13"/>
        <v>0.33333333333333331</v>
      </c>
    </row>
    <row r="21" spans="1:14" thickTop="1" thickBot="1" x14ac:dyDescent="0.4">
      <c r="A21" s="5">
        <f t="shared" si="0"/>
        <v>95</v>
      </c>
      <c r="B21" s="6">
        <f t="shared" si="1"/>
        <v>95</v>
      </c>
      <c r="C21" s="6">
        <f t="shared" si="2"/>
        <v>190</v>
      </c>
      <c r="D21" s="6">
        <f t="shared" si="3"/>
        <v>380</v>
      </c>
      <c r="E21" s="6">
        <f t="shared" si="4"/>
        <v>760</v>
      </c>
      <c r="F21" s="6">
        <f t="shared" si="5"/>
        <v>1140</v>
      </c>
      <c r="G21" s="6">
        <f t="shared" si="6"/>
        <v>1140</v>
      </c>
      <c r="H21" s="6">
        <f t="shared" si="7"/>
        <v>380</v>
      </c>
      <c r="I21" s="6">
        <f t="shared" si="8"/>
        <v>433200</v>
      </c>
      <c r="J21" s="6">
        <f t="shared" si="9"/>
        <v>433200</v>
      </c>
      <c r="K21" s="6">
        <f t="shared" si="10"/>
        <v>0.33333333333333331</v>
      </c>
      <c r="L21" s="6">
        <f t="shared" si="11"/>
        <v>760</v>
      </c>
      <c r="M21" s="6">
        <f t="shared" si="12"/>
        <v>433200</v>
      </c>
      <c r="N21" s="6">
        <f t="shared" si="13"/>
        <v>0.33333333333333331</v>
      </c>
    </row>
    <row r="22" spans="1:14" thickTop="1" thickBot="1" x14ac:dyDescent="0.4">
      <c r="A22" s="5">
        <f t="shared" si="0"/>
        <v>100</v>
      </c>
      <c r="B22" s="6">
        <f t="shared" si="1"/>
        <v>100</v>
      </c>
      <c r="C22" s="6">
        <f t="shared" si="2"/>
        <v>200</v>
      </c>
      <c r="D22" s="6">
        <f t="shared" si="3"/>
        <v>400</v>
      </c>
      <c r="E22" s="6">
        <f t="shared" si="4"/>
        <v>800</v>
      </c>
      <c r="F22" s="6">
        <f t="shared" si="5"/>
        <v>1200</v>
      </c>
      <c r="G22" s="6">
        <f t="shared" si="6"/>
        <v>1200</v>
      </c>
      <c r="H22" s="6">
        <f t="shared" si="7"/>
        <v>400</v>
      </c>
      <c r="I22" s="6">
        <f t="shared" si="8"/>
        <v>480000</v>
      </c>
      <c r="J22" s="6">
        <f t="shared" si="9"/>
        <v>480000</v>
      </c>
      <c r="K22" s="6">
        <f t="shared" si="10"/>
        <v>0.33333333333333331</v>
      </c>
      <c r="L22" s="6">
        <f t="shared" si="11"/>
        <v>800</v>
      </c>
      <c r="M22" s="6">
        <f t="shared" si="12"/>
        <v>480000</v>
      </c>
      <c r="N22" s="6">
        <f t="shared" si="13"/>
        <v>0.33333333333333331</v>
      </c>
    </row>
    <row r="23" spans="1:14" thickTop="1" thickBot="1" x14ac:dyDescent="0.4">
      <c r="A23" s="5">
        <f t="shared" si="0"/>
        <v>105</v>
      </c>
      <c r="B23" s="6">
        <f t="shared" si="1"/>
        <v>105</v>
      </c>
      <c r="C23" s="6">
        <f t="shared" si="2"/>
        <v>210</v>
      </c>
      <c r="D23" s="6">
        <f t="shared" si="3"/>
        <v>420</v>
      </c>
      <c r="E23" s="6">
        <f t="shared" si="4"/>
        <v>840</v>
      </c>
      <c r="F23" s="6">
        <f t="shared" si="5"/>
        <v>1260</v>
      </c>
      <c r="G23" s="6">
        <f t="shared" si="6"/>
        <v>1260</v>
      </c>
      <c r="H23" s="6">
        <f t="shared" si="7"/>
        <v>420</v>
      </c>
      <c r="I23" s="6">
        <f t="shared" si="8"/>
        <v>529200</v>
      </c>
      <c r="J23" s="6">
        <f t="shared" si="9"/>
        <v>529200</v>
      </c>
      <c r="K23" s="6">
        <f t="shared" si="10"/>
        <v>0.33333333333333331</v>
      </c>
      <c r="L23" s="6">
        <f t="shared" si="11"/>
        <v>840</v>
      </c>
      <c r="M23" s="6">
        <f t="shared" si="12"/>
        <v>529200</v>
      </c>
      <c r="N23" s="6">
        <f t="shared" si="13"/>
        <v>0.33333333333333331</v>
      </c>
    </row>
    <row r="24" spans="1:14" thickTop="1" thickBot="1" x14ac:dyDescent="0.4">
      <c r="A24" s="5">
        <f t="shared" si="0"/>
        <v>110</v>
      </c>
      <c r="B24" s="6">
        <f t="shared" si="1"/>
        <v>110</v>
      </c>
      <c r="C24" s="6">
        <f t="shared" si="2"/>
        <v>220</v>
      </c>
      <c r="D24" s="6">
        <f t="shared" si="3"/>
        <v>440</v>
      </c>
      <c r="E24" s="6">
        <f t="shared" si="4"/>
        <v>880</v>
      </c>
      <c r="F24" s="6">
        <f t="shared" si="5"/>
        <v>1320</v>
      </c>
      <c r="G24" s="6">
        <f t="shared" si="6"/>
        <v>1320</v>
      </c>
      <c r="H24" s="6">
        <f t="shared" si="7"/>
        <v>440</v>
      </c>
      <c r="I24" s="6">
        <f t="shared" si="8"/>
        <v>580800</v>
      </c>
      <c r="J24" s="6">
        <f t="shared" si="9"/>
        <v>580800</v>
      </c>
      <c r="K24" s="6">
        <f t="shared" si="10"/>
        <v>0.33333333333333331</v>
      </c>
      <c r="L24" s="6">
        <f t="shared" si="11"/>
        <v>880</v>
      </c>
      <c r="M24" s="6">
        <f t="shared" si="12"/>
        <v>580800</v>
      </c>
      <c r="N24" s="6">
        <f t="shared" si="13"/>
        <v>0.33333333333333331</v>
      </c>
    </row>
    <row r="25" spans="1:14" thickTop="1" thickBot="1" x14ac:dyDescent="0.4">
      <c r="A25" s="5">
        <f t="shared" si="0"/>
        <v>115</v>
      </c>
      <c r="B25" s="6">
        <f t="shared" si="1"/>
        <v>115</v>
      </c>
      <c r="C25" s="6">
        <f t="shared" si="2"/>
        <v>230</v>
      </c>
      <c r="D25" s="6">
        <f t="shared" si="3"/>
        <v>460</v>
      </c>
      <c r="E25" s="6">
        <f t="shared" si="4"/>
        <v>920</v>
      </c>
      <c r="F25" s="6">
        <f t="shared" si="5"/>
        <v>1380</v>
      </c>
      <c r="G25" s="6">
        <f t="shared" si="6"/>
        <v>1380</v>
      </c>
      <c r="H25" s="6">
        <f t="shared" si="7"/>
        <v>460</v>
      </c>
      <c r="I25" s="6">
        <f t="shared" si="8"/>
        <v>634800</v>
      </c>
      <c r="J25" s="6">
        <f t="shared" si="9"/>
        <v>634800</v>
      </c>
      <c r="K25" s="6">
        <f t="shared" si="10"/>
        <v>0.33333333333333331</v>
      </c>
      <c r="L25" s="6">
        <f t="shared" si="11"/>
        <v>920</v>
      </c>
      <c r="M25" s="6">
        <f t="shared" si="12"/>
        <v>634800</v>
      </c>
      <c r="N25" s="6">
        <f t="shared" si="13"/>
        <v>0.33333333333333331</v>
      </c>
    </row>
    <row r="26" spans="1:14" thickTop="1" thickBot="1" x14ac:dyDescent="0.4">
      <c r="A26" s="5">
        <f t="shared" si="0"/>
        <v>120</v>
      </c>
      <c r="B26" s="6">
        <f t="shared" si="1"/>
        <v>120</v>
      </c>
      <c r="C26" s="6">
        <f t="shared" si="2"/>
        <v>240</v>
      </c>
      <c r="D26" s="6">
        <f t="shared" si="3"/>
        <v>480</v>
      </c>
      <c r="E26" s="6">
        <f t="shared" si="4"/>
        <v>960</v>
      </c>
      <c r="F26" s="6">
        <f t="shared" si="5"/>
        <v>1440</v>
      </c>
      <c r="G26" s="6">
        <f t="shared" si="6"/>
        <v>1440</v>
      </c>
      <c r="H26" s="6">
        <f t="shared" si="7"/>
        <v>480</v>
      </c>
      <c r="I26" s="6">
        <f t="shared" si="8"/>
        <v>691200</v>
      </c>
      <c r="J26" s="6">
        <f t="shared" si="9"/>
        <v>691200</v>
      </c>
      <c r="K26" s="6">
        <f t="shared" si="10"/>
        <v>0.33333333333333331</v>
      </c>
      <c r="L26" s="6">
        <f t="shared" si="11"/>
        <v>960</v>
      </c>
      <c r="M26" s="6">
        <f t="shared" si="12"/>
        <v>691200</v>
      </c>
      <c r="N26" s="6">
        <f t="shared" si="13"/>
        <v>0.33333333333333331</v>
      </c>
    </row>
    <row r="27" spans="1:14" thickTop="1" thickBot="1" x14ac:dyDescent="0.4">
      <c r="A27" s="5">
        <f t="shared" si="0"/>
        <v>125</v>
      </c>
      <c r="B27" s="6">
        <f t="shared" si="1"/>
        <v>125</v>
      </c>
      <c r="C27" s="6">
        <f t="shared" si="2"/>
        <v>250</v>
      </c>
      <c r="D27" s="6">
        <f t="shared" si="3"/>
        <v>500</v>
      </c>
      <c r="E27" s="6">
        <f t="shared" si="4"/>
        <v>1000</v>
      </c>
      <c r="F27" s="6">
        <f t="shared" si="5"/>
        <v>1500</v>
      </c>
      <c r="G27" s="6">
        <f t="shared" si="6"/>
        <v>1500</v>
      </c>
      <c r="H27" s="6">
        <f t="shared" si="7"/>
        <v>500</v>
      </c>
      <c r="I27" s="6">
        <f t="shared" si="8"/>
        <v>750000</v>
      </c>
      <c r="J27" s="6">
        <f t="shared" si="9"/>
        <v>750000</v>
      </c>
      <c r="K27" s="6">
        <f t="shared" si="10"/>
        <v>0.33333333333333331</v>
      </c>
      <c r="L27" s="6">
        <f t="shared" si="11"/>
        <v>1000</v>
      </c>
      <c r="M27" s="6">
        <f t="shared" si="12"/>
        <v>750000</v>
      </c>
      <c r="N27" s="6">
        <f t="shared" si="13"/>
        <v>0.33333333333333331</v>
      </c>
    </row>
    <row r="28" spans="1:14" thickTop="1" thickBot="1" x14ac:dyDescent="0.4">
      <c r="A28" s="5">
        <f t="shared" si="0"/>
        <v>130</v>
      </c>
      <c r="B28" s="6">
        <f t="shared" si="1"/>
        <v>130</v>
      </c>
      <c r="C28" s="6">
        <f t="shared" si="2"/>
        <v>260</v>
      </c>
      <c r="D28" s="6">
        <f t="shared" si="3"/>
        <v>520</v>
      </c>
      <c r="E28" s="6">
        <f t="shared" si="4"/>
        <v>1040</v>
      </c>
      <c r="F28" s="6">
        <f t="shared" si="5"/>
        <v>1560</v>
      </c>
      <c r="G28" s="6">
        <f t="shared" si="6"/>
        <v>1560</v>
      </c>
      <c r="H28" s="6">
        <f t="shared" si="7"/>
        <v>520</v>
      </c>
      <c r="I28" s="6">
        <f t="shared" si="8"/>
        <v>811200</v>
      </c>
      <c r="J28" s="6">
        <f t="shared" si="9"/>
        <v>811200</v>
      </c>
      <c r="K28" s="6">
        <f t="shared" si="10"/>
        <v>0.33333333333333331</v>
      </c>
      <c r="L28" s="6">
        <f t="shared" si="11"/>
        <v>1040</v>
      </c>
      <c r="M28" s="6">
        <f t="shared" si="12"/>
        <v>811200</v>
      </c>
      <c r="N28" s="6">
        <f t="shared" si="13"/>
        <v>0.33333333333333331</v>
      </c>
    </row>
    <row r="29" spans="1:14" thickTop="1" thickBot="1" x14ac:dyDescent="0.4">
      <c r="A29" s="5">
        <f t="shared" si="0"/>
        <v>135</v>
      </c>
      <c r="B29" s="6">
        <f t="shared" si="1"/>
        <v>135</v>
      </c>
      <c r="C29" s="6">
        <f t="shared" si="2"/>
        <v>270</v>
      </c>
      <c r="D29" s="6">
        <f t="shared" si="3"/>
        <v>540</v>
      </c>
      <c r="E29" s="6">
        <f t="shared" si="4"/>
        <v>1080</v>
      </c>
      <c r="F29" s="6">
        <f t="shared" si="5"/>
        <v>1620</v>
      </c>
      <c r="G29" s="6">
        <f t="shared" si="6"/>
        <v>1620</v>
      </c>
      <c r="H29" s="6">
        <f t="shared" si="7"/>
        <v>540</v>
      </c>
      <c r="I29" s="6">
        <f t="shared" si="8"/>
        <v>874800</v>
      </c>
      <c r="J29" s="6">
        <f t="shared" si="9"/>
        <v>874800</v>
      </c>
      <c r="K29" s="6">
        <f t="shared" si="10"/>
        <v>0.33333333333333331</v>
      </c>
      <c r="L29" s="6">
        <f t="shared" si="11"/>
        <v>1080</v>
      </c>
      <c r="M29" s="6">
        <f t="shared" si="12"/>
        <v>874800</v>
      </c>
      <c r="N29" s="6">
        <f t="shared" si="13"/>
        <v>0.33333333333333331</v>
      </c>
    </row>
    <row r="30" spans="1:14" thickTop="1" thickBot="1" x14ac:dyDescent="0.4">
      <c r="A30" s="5">
        <f t="shared" si="0"/>
        <v>140</v>
      </c>
      <c r="B30" s="6">
        <f t="shared" si="1"/>
        <v>140</v>
      </c>
      <c r="C30" s="6">
        <f t="shared" si="2"/>
        <v>280</v>
      </c>
      <c r="D30" s="6">
        <f t="shared" si="3"/>
        <v>560</v>
      </c>
      <c r="E30" s="6">
        <f t="shared" si="4"/>
        <v>1120</v>
      </c>
      <c r="F30" s="6">
        <f t="shared" si="5"/>
        <v>1680</v>
      </c>
      <c r="G30" s="6">
        <f t="shared" si="6"/>
        <v>1680</v>
      </c>
      <c r="H30" s="6">
        <f t="shared" si="7"/>
        <v>560</v>
      </c>
      <c r="I30" s="6">
        <f t="shared" si="8"/>
        <v>940800</v>
      </c>
      <c r="J30" s="6">
        <f t="shared" si="9"/>
        <v>940800</v>
      </c>
      <c r="K30" s="6">
        <f t="shared" si="10"/>
        <v>0.33333333333333331</v>
      </c>
      <c r="L30" s="6">
        <f t="shared" si="11"/>
        <v>1120</v>
      </c>
      <c r="M30" s="6">
        <f t="shared" si="12"/>
        <v>940800</v>
      </c>
      <c r="N30" s="6">
        <f t="shared" si="13"/>
        <v>0.33333333333333331</v>
      </c>
    </row>
    <row r="31" spans="1:14" thickTop="1" thickBot="1" x14ac:dyDescent="0.4">
      <c r="A31" s="5">
        <f t="shared" si="0"/>
        <v>145</v>
      </c>
      <c r="B31" s="6">
        <f t="shared" si="1"/>
        <v>145</v>
      </c>
      <c r="C31" s="6">
        <f t="shared" si="2"/>
        <v>290</v>
      </c>
      <c r="D31" s="6">
        <f t="shared" si="3"/>
        <v>580</v>
      </c>
      <c r="E31" s="6">
        <f t="shared" si="4"/>
        <v>1160</v>
      </c>
      <c r="F31" s="6">
        <f t="shared" si="5"/>
        <v>1740</v>
      </c>
      <c r="G31" s="6">
        <f t="shared" si="6"/>
        <v>1740</v>
      </c>
      <c r="H31" s="6">
        <f t="shared" si="7"/>
        <v>580</v>
      </c>
      <c r="I31" s="6">
        <f t="shared" si="8"/>
        <v>1009200</v>
      </c>
      <c r="J31" s="6">
        <f t="shared" si="9"/>
        <v>1009200</v>
      </c>
      <c r="K31" s="6">
        <f t="shared" si="10"/>
        <v>0.33333333333333331</v>
      </c>
      <c r="L31" s="6">
        <f t="shared" si="11"/>
        <v>1160</v>
      </c>
      <c r="M31" s="6">
        <f t="shared" si="12"/>
        <v>1009200</v>
      </c>
      <c r="N31" s="6">
        <f t="shared" si="13"/>
        <v>0.33333333333333331</v>
      </c>
    </row>
    <row r="32" spans="1:14" thickTop="1" thickBot="1" x14ac:dyDescent="0.4">
      <c r="A32" s="5">
        <f t="shared" si="0"/>
        <v>150</v>
      </c>
      <c r="B32" s="6">
        <f t="shared" si="1"/>
        <v>150</v>
      </c>
      <c r="C32" s="6">
        <f t="shared" si="2"/>
        <v>300</v>
      </c>
      <c r="D32" s="6">
        <f t="shared" si="3"/>
        <v>600</v>
      </c>
      <c r="E32" s="6">
        <f t="shared" si="4"/>
        <v>1200</v>
      </c>
      <c r="F32" s="6">
        <f t="shared" si="5"/>
        <v>1800</v>
      </c>
      <c r="G32" s="6">
        <f t="shared" si="6"/>
        <v>1800</v>
      </c>
      <c r="H32" s="6">
        <f t="shared" si="7"/>
        <v>600</v>
      </c>
      <c r="I32" s="6">
        <f t="shared" si="8"/>
        <v>1080000</v>
      </c>
      <c r="J32" s="6">
        <f t="shared" si="9"/>
        <v>1080000</v>
      </c>
      <c r="K32" s="6">
        <f t="shared" si="10"/>
        <v>0.33333333333333331</v>
      </c>
      <c r="L32" s="6">
        <f t="shared" si="11"/>
        <v>1200</v>
      </c>
      <c r="M32" s="6">
        <f t="shared" si="12"/>
        <v>1080000</v>
      </c>
      <c r="N32" s="6">
        <f t="shared" si="13"/>
        <v>0.33333333333333331</v>
      </c>
    </row>
    <row r="33" spans="1:14" thickTop="1" thickBot="1" x14ac:dyDescent="0.4">
      <c r="A33" s="5">
        <f t="shared" si="0"/>
        <v>155</v>
      </c>
      <c r="B33" s="6">
        <f t="shared" si="1"/>
        <v>155</v>
      </c>
      <c r="C33" s="6">
        <f t="shared" si="2"/>
        <v>310</v>
      </c>
      <c r="D33" s="6">
        <f t="shared" si="3"/>
        <v>620</v>
      </c>
      <c r="E33" s="6">
        <f t="shared" si="4"/>
        <v>1240</v>
      </c>
      <c r="F33" s="6">
        <f t="shared" si="5"/>
        <v>1860</v>
      </c>
      <c r="G33" s="6">
        <f t="shared" si="6"/>
        <v>1860</v>
      </c>
      <c r="H33" s="6">
        <f t="shared" si="7"/>
        <v>620</v>
      </c>
      <c r="I33" s="6">
        <f t="shared" si="8"/>
        <v>1153200</v>
      </c>
      <c r="J33" s="6">
        <f t="shared" si="9"/>
        <v>1153200</v>
      </c>
      <c r="K33" s="6">
        <f t="shared" si="10"/>
        <v>0.33333333333333331</v>
      </c>
      <c r="L33" s="6">
        <f t="shared" si="11"/>
        <v>1240</v>
      </c>
      <c r="M33" s="6">
        <f t="shared" si="12"/>
        <v>1153200</v>
      </c>
      <c r="N33" s="6">
        <f t="shared" si="13"/>
        <v>0.33333333333333331</v>
      </c>
    </row>
    <row r="34" spans="1:14" thickTop="1" thickBot="1" x14ac:dyDescent="0.4">
      <c r="A34" s="5">
        <f t="shared" si="0"/>
        <v>160</v>
      </c>
      <c r="B34" s="6">
        <f t="shared" si="1"/>
        <v>160</v>
      </c>
      <c r="C34" s="6">
        <f t="shared" si="2"/>
        <v>320</v>
      </c>
      <c r="D34" s="6">
        <f t="shared" si="3"/>
        <v>640</v>
      </c>
      <c r="E34" s="6">
        <f t="shared" si="4"/>
        <v>1280</v>
      </c>
      <c r="F34" s="6">
        <f t="shared" si="5"/>
        <v>1920</v>
      </c>
      <c r="G34" s="6">
        <f t="shared" si="6"/>
        <v>1920</v>
      </c>
      <c r="H34" s="6">
        <f t="shared" si="7"/>
        <v>640</v>
      </c>
      <c r="I34" s="6">
        <f t="shared" si="8"/>
        <v>1228800</v>
      </c>
      <c r="J34" s="6">
        <f t="shared" si="9"/>
        <v>1228800</v>
      </c>
      <c r="K34" s="6">
        <f t="shared" si="10"/>
        <v>0.33333333333333331</v>
      </c>
      <c r="L34" s="6">
        <f t="shared" si="11"/>
        <v>1280</v>
      </c>
      <c r="M34" s="6">
        <f t="shared" si="12"/>
        <v>1228800</v>
      </c>
      <c r="N34" s="6">
        <f t="shared" si="13"/>
        <v>0.33333333333333331</v>
      </c>
    </row>
    <row r="35" spans="1:14" thickTop="1" thickBot="1" x14ac:dyDescent="0.4">
      <c r="A35" s="5">
        <f t="shared" si="0"/>
        <v>165</v>
      </c>
      <c r="B35" s="6">
        <f t="shared" si="1"/>
        <v>165</v>
      </c>
      <c r="C35" s="6">
        <f t="shared" si="2"/>
        <v>330</v>
      </c>
      <c r="D35" s="6">
        <f t="shared" si="3"/>
        <v>660</v>
      </c>
      <c r="E35" s="6">
        <f t="shared" si="4"/>
        <v>1320</v>
      </c>
      <c r="F35" s="6">
        <f t="shared" si="5"/>
        <v>1980</v>
      </c>
      <c r="G35" s="6">
        <f t="shared" si="6"/>
        <v>1980</v>
      </c>
      <c r="H35" s="6">
        <f t="shared" si="7"/>
        <v>660</v>
      </c>
      <c r="I35" s="6">
        <f t="shared" si="8"/>
        <v>1306800</v>
      </c>
      <c r="J35" s="6">
        <f t="shared" si="9"/>
        <v>1306800</v>
      </c>
      <c r="K35" s="6">
        <f t="shared" si="10"/>
        <v>0.33333333333333331</v>
      </c>
      <c r="L35" s="6">
        <f t="shared" si="11"/>
        <v>1320</v>
      </c>
      <c r="M35" s="6">
        <f t="shared" si="12"/>
        <v>1306800</v>
      </c>
      <c r="N35" s="6">
        <f t="shared" si="13"/>
        <v>0.33333333333333331</v>
      </c>
    </row>
    <row r="36" spans="1:14" thickTop="1" thickBot="1" x14ac:dyDescent="0.4">
      <c r="A36" s="5">
        <f t="shared" si="0"/>
        <v>170</v>
      </c>
      <c r="B36" s="6">
        <f t="shared" si="1"/>
        <v>170</v>
      </c>
      <c r="C36" s="6">
        <f t="shared" si="2"/>
        <v>340</v>
      </c>
      <c r="D36" s="6">
        <f t="shared" si="3"/>
        <v>680</v>
      </c>
      <c r="E36" s="6">
        <f t="shared" si="4"/>
        <v>1360</v>
      </c>
      <c r="F36" s="6">
        <f t="shared" si="5"/>
        <v>2040</v>
      </c>
      <c r="G36" s="6">
        <f t="shared" si="6"/>
        <v>2040</v>
      </c>
      <c r="H36" s="6">
        <f t="shared" si="7"/>
        <v>680</v>
      </c>
      <c r="I36" s="6">
        <f t="shared" si="8"/>
        <v>1387200</v>
      </c>
      <c r="J36" s="6">
        <f t="shared" si="9"/>
        <v>1387200</v>
      </c>
      <c r="K36" s="6">
        <f t="shared" si="10"/>
        <v>0.33333333333333331</v>
      </c>
      <c r="L36" s="6">
        <f t="shared" si="11"/>
        <v>1360</v>
      </c>
      <c r="M36" s="6">
        <f t="shared" si="12"/>
        <v>1387200</v>
      </c>
      <c r="N36" s="6">
        <f t="shared" si="13"/>
        <v>0.33333333333333331</v>
      </c>
    </row>
    <row r="37" spans="1:14" thickTop="1" thickBot="1" x14ac:dyDescent="0.4">
      <c r="A37" s="5">
        <f t="shared" si="0"/>
        <v>175</v>
      </c>
      <c r="B37" s="6">
        <f t="shared" si="1"/>
        <v>175</v>
      </c>
      <c r="C37" s="6">
        <f t="shared" si="2"/>
        <v>350</v>
      </c>
      <c r="D37" s="6">
        <f t="shared" si="3"/>
        <v>700</v>
      </c>
      <c r="E37" s="6">
        <f t="shared" si="4"/>
        <v>1400</v>
      </c>
      <c r="F37" s="6">
        <f t="shared" si="5"/>
        <v>2100</v>
      </c>
      <c r="G37" s="6">
        <f t="shared" si="6"/>
        <v>2100</v>
      </c>
      <c r="H37" s="6">
        <f t="shared" si="7"/>
        <v>700</v>
      </c>
      <c r="I37" s="6">
        <f t="shared" si="8"/>
        <v>1470000</v>
      </c>
      <c r="J37" s="6">
        <f t="shared" si="9"/>
        <v>1470000</v>
      </c>
      <c r="K37" s="6">
        <f t="shared" si="10"/>
        <v>0.33333333333333331</v>
      </c>
      <c r="L37" s="6">
        <f t="shared" si="11"/>
        <v>1400</v>
      </c>
      <c r="M37" s="6">
        <f t="shared" si="12"/>
        <v>1470000</v>
      </c>
      <c r="N37" s="6">
        <f t="shared" si="13"/>
        <v>0.33333333333333331</v>
      </c>
    </row>
    <row r="38" spans="1:14" thickTop="1" thickBot="1" x14ac:dyDescent="0.4">
      <c r="A38" s="5">
        <f t="shared" si="0"/>
        <v>180</v>
      </c>
      <c r="B38" s="6">
        <f t="shared" si="1"/>
        <v>180</v>
      </c>
      <c r="C38" s="6">
        <f t="shared" si="2"/>
        <v>360</v>
      </c>
      <c r="D38" s="6">
        <f t="shared" si="3"/>
        <v>720</v>
      </c>
      <c r="E38" s="6">
        <f t="shared" si="4"/>
        <v>1440</v>
      </c>
      <c r="F38" s="6">
        <f t="shared" si="5"/>
        <v>2160</v>
      </c>
      <c r="G38" s="6">
        <f t="shared" si="6"/>
        <v>2160</v>
      </c>
      <c r="H38" s="6">
        <f t="shared" si="7"/>
        <v>720</v>
      </c>
      <c r="I38" s="6">
        <f t="shared" si="8"/>
        <v>1555200</v>
      </c>
      <c r="J38" s="6">
        <f t="shared" si="9"/>
        <v>1555200</v>
      </c>
      <c r="K38" s="6">
        <f t="shared" si="10"/>
        <v>0.33333333333333331</v>
      </c>
      <c r="L38" s="6">
        <f t="shared" si="11"/>
        <v>1440</v>
      </c>
      <c r="M38" s="6">
        <f t="shared" si="12"/>
        <v>1555200</v>
      </c>
      <c r="N38" s="6">
        <f t="shared" si="13"/>
        <v>0.33333333333333331</v>
      </c>
    </row>
    <row r="39" spans="1:14" thickTop="1" thickBot="1" x14ac:dyDescent="0.4">
      <c r="A39" s="5">
        <f t="shared" si="0"/>
        <v>185</v>
      </c>
      <c r="B39" s="6">
        <f t="shared" si="1"/>
        <v>185</v>
      </c>
      <c r="C39" s="6">
        <f t="shared" si="2"/>
        <v>370</v>
      </c>
      <c r="D39" s="6">
        <f t="shared" si="3"/>
        <v>740</v>
      </c>
      <c r="E39" s="6">
        <f t="shared" si="4"/>
        <v>1480</v>
      </c>
      <c r="F39" s="6">
        <f t="shared" si="5"/>
        <v>2220</v>
      </c>
      <c r="G39" s="6">
        <f t="shared" si="6"/>
        <v>2220</v>
      </c>
      <c r="H39" s="6">
        <f t="shared" si="7"/>
        <v>740</v>
      </c>
      <c r="I39" s="6">
        <f t="shared" si="8"/>
        <v>1642800</v>
      </c>
      <c r="J39" s="6">
        <f t="shared" si="9"/>
        <v>1642800</v>
      </c>
      <c r="K39" s="6">
        <f t="shared" si="10"/>
        <v>0.33333333333333331</v>
      </c>
      <c r="L39" s="6">
        <f t="shared" si="11"/>
        <v>1480</v>
      </c>
      <c r="M39" s="6">
        <f t="shared" si="12"/>
        <v>1642800</v>
      </c>
      <c r="N39" s="6">
        <f t="shared" si="13"/>
        <v>0.33333333333333331</v>
      </c>
    </row>
    <row r="40" spans="1:14" thickTop="1" thickBot="1" x14ac:dyDescent="0.4">
      <c r="A40" s="5">
        <f t="shared" si="0"/>
        <v>190</v>
      </c>
      <c r="B40" s="6">
        <f t="shared" si="1"/>
        <v>190</v>
      </c>
      <c r="C40" s="6">
        <f t="shared" si="2"/>
        <v>380</v>
      </c>
      <c r="D40" s="6">
        <f t="shared" si="3"/>
        <v>760</v>
      </c>
      <c r="E40" s="6">
        <f t="shared" si="4"/>
        <v>1520</v>
      </c>
      <c r="F40" s="6">
        <f t="shared" si="5"/>
        <v>2280</v>
      </c>
      <c r="G40" s="6">
        <f t="shared" si="6"/>
        <v>2280</v>
      </c>
      <c r="H40" s="6">
        <f t="shared" si="7"/>
        <v>760</v>
      </c>
      <c r="I40" s="6">
        <f t="shared" si="8"/>
        <v>1732800</v>
      </c>
      <c r="J40" s="6">
        <f t="shared" si="9"/>
        <v>1732800</v>
      </c>
      <c r="K40" s="6">
        <f t="shared" si="10"/>
        <v>0.33333333333333331</v>
      </c>
      <c r="L40" s="6">
        <f t="shared" si="11"/>
        <v>1520</v>
      </c>
      <c r="M40" s="6">
        <f t="shared" si="12"/>
        <v>1732800</v>
      </c>
      <c r="N40" s="6">
        <f t="shared" si="13"/>
        <v>0.33333333333333331</v>
      </c>
    </row>
    <row r="41" spans="1:14" thickTop="1" thickBot="1" x14ac:dyDescent="0.4">
      <c r="A41" s="5">
        <f t="shared" si="0"/>
        <v>195</v>
      </c>
      <c r="B41" s="6">
        <f t="shared" si="1"/>
        <v>195</v>
      </c>
      <c r="C41" s="6">
        <f t="shared" si="2"/>
        <v>390</v>
      </c>
      <c r="D41" s="6">
        <f t="shared" si="3"/>
        <v>780</v>
      </c>
      <c r="E41" s="6">
        <f t="shared" si="4"/>
        <v>1560</v>
      </c>
      <c r="F41" s="6">
        <f t="shared" si="5"/>
        <v>2340</v>
      </c>
      <c r="G41" s="6">
        <f t="shared" si="6"/>
        <v>2340</v>
      </c>
      <c r="H41" s="6">
        <f t="shared" si="7"/>
        <v>780</v>
      </c>
      <c r="I41" s="6">
        <f t="shared" si="8"/>
        <v>1825200</v>
      </c>
      <c r="J41" s="6">
        <f t="shared" si="9"/>
        <v>1825200</v>
      </c>
      <c r="K41" s="6">
        <f t="shared" si="10"/>
        <v>0.33333333333333331</v>
      </c>
      <c r="L41" s="6">
        <f t="shared" si="11"/>
        <v>1560</v>
      </c>
      <c r="M41" s="6">
        <f t="shared" si="12"/>
        <v>1825200</v>
      </c>
      <c r="N41" s="6">
        <f t="shared" si="13"/>
        <v>0.33333333333333331</v>
      </c>
    </row>
    <row r="42" spans="1:14" thickTop="1" thickBot="1" x14ac:dyDescent="0.4">
      <c r="A42" s="5">
        <f t="shared" si="0"/>
        <v>200</v>
      </c>
      <c r="B42" s="6">
        <f t="shared" si="1"/>
        <v>200</v>
      </c>
      <c r="C42" s="6">
        <f t="shared" si="2"/>
        <v>400</v>
      </c>
      <c r="D42" s="6">
        <f t="shared" si="3"/>
        <v>800</v>
      </c>
      <c r="E42" s="6">
        <f t="shared" si="4"/>
        <v>1600</v>
      </c>
      <c r="F42" s="6">
        <f t="shared" si="5"/>
        <v>2400</v>
      </c>
      <c r="G42" s="6">
        <f t="shared" si="6"/>
        <v>2400</v>
      </c>
      <c r="H42" s="6">
        <f t="shared" si="7"/>
        <v>800</v>
      </c>
      <c r="I42" s="6">
        <f t="shared" si="8"/>
        <v>1920000</v>
      </c>
      <c r="J42" s="6">
        <f t="shared" si="9"/>
        <v>1920000</v>
      </c>
      <c r="K42" s="6">
        <f t="shared" si="10"/>
        <v>0.33333333333333331</v>
      </c>
      <c r="L42" s="6">
        <f t="shared" si="11"/>
        <v>1600</v>
      </c>
      <c r="M42" s="6">
        <f t="shared" si="12"/>
        <v>1920000</v>
      </c>
      <c r="N42" s="6">
        <f t="shared" si="13"/>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BE4C-0BFA-4642-89B1-6613C81D96E9}">
  <dimension ref="B1:I97"/>
  <sheetViews>
    <sheetView zoomScale="70" zoomScaleNormal="70" workbookViewId="0">
      <selection activeCell="I2" sqref="I2"/>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20" t="s">
        <v>1</v>
      </c>
      <c r="C1" s="22" t="s">
        <v>461</v>
      </c>
      <c r="D1" s="22" t="s">
        <v>462</v>
      </c>
      <c r="E1" s="22" t="s">
        <v>463</v>
      </c>
      <c r="F1" s="22" t="s">
        <v>464</v>
      </c>
      <c r="G1" s="22" t="s">
        <v>465</v>
      </c>
      <c r="H1" s="22" t="s">
        <v>466</v>
      </c>
      <c r="I1" s="23" t="s">
        <v>467</v>
      </c>
    </row>
    <row r="2" spans="2:9" ht="33" thickTop="1" thickBot="1" x14ac:dyDescent="0.55000000000000004">
      <c r="B2" s="24" t="s">
        <v>41</v>
      </c>
      <c r="C2" s="25" t="s">
        <v>468</v>
      </c>
      <c r="D2" s="25">
        <f t="shared" ref="C2:F15" ca="1" si="0">RANDBETWEEN(0,100)</f>
        <v>50</v>
      </c>
      <c r="E2" s="25">
        <f t="shared" ca="1" si="0"/>
        <v>90</v>
      </c>
      <c r="F2" s="25"/>
      <c r="G2" s="28">
        <f ca="1">COUNT(C2:F2)</f>
        <v>2</v>
      </c>
      <c r="H2" s="28">
        <f ca="1">COUNTA(C2:F2)</f>
        <v>3</v>
      </c>
      <c r="I2" s="29">
        <f ca="1">COUNTBLANK(C2:F2)</f>
        <v>1</v>
      </c>
    </row>
    <row r="3" spans="2:9" ht="33" thickTop="1" thickBot="1" x14ac:dyDescent="0.55000000000000004">
      <c r="B3" s="24" t="s">
        <v>89</v>
      </c>
      <c r="C3" s="25">
        <f t="shared" ca="1" si="0"/>
        <v>96</v>
      </c>
      <c r="D3" s="25">
        <f t="shared" ca="1" si="0"/>
        <v>65</v>
      </c>
      <c r="E3" s="25"/>
      <c r="F3" s="25">
        <f t="shared" ca="1" si="0"/>
        <v>20</v>
      </c>
      <c r="G3" s="28">
        <f t="shared" ref="G3:G15" ca="1" si="1">COUNT(C3:F3)</f>
        <v>3</v>
      </c>
      <c r="H3" s="28">
        <f t="shared" ref="H3:H15" ca="1" si="2">COUNTA(C3:F3)</f>
        <v>3</v>
      </c>
      <c r="I3" s="29">
        <f t="shared" ref="I3:I15" ca="1" si="3">COUNTBLANK(C3:F3)</f>
        <v>1</v>
      </c>
    </row>
    <row r="4" spans="2:9" ht="33" thickTop="1" thickBot="1" x14ac:dyDescent="0.55000000000000004">
      <c r="B4" s="24" t="s">
        <v>105</v>
      </c>
      <c r="C4" s="25"/>
      <c r="D4" s="25">
        <f t="shared" ca="1" si="0"/>
        <v>82</v>
      </c>
      <c r="E4" s="25">
        <f t="shared" ca="1" si="0"/>
        <v>7</v>
      </c>
      <c r="F4" s="25"/>
      <c r="G4" s="28">
        <f t="shared" ca="1" si="1"/>
        <v>2</v>
      </c>
      <c r="H4" s="28">
        <f t="shared" ca="1" si="2"/>
        <v>2</v>
      </c>
      <c r="I4" s="29">
        <f t="shared" ca="1" si="3"/>
        <v>2</v>
      </c>
    </row>
    <row r="5" spans="2:9" ht="33" thickTop="1" thickBot="1" x14ac:dyDescent="0.55000000000000004">
      <c r="B5" s="24" t="s">
        <v>59</v>
      </c>
      <c r="C5" s="25">
        <f t="shared" ca="1" si="0"/>
        <v>1</v>
      </c>
      <c r="D5" s="25">
        <f t="shared" ca="1" si="0"/>
        <v>93</v>
      </c>
      <c r="E5" s="25"/>
      <c r="F5" s="25">
        <f t="shared" ca="1" si="0"/>
        <v>47</v>
      </c>
      <c r="G5" s="28">
        <f t="shared" ca="1" si="1"/>
        <v>3</v>
      </c>
      <c r="H5" s="28">
        <f t="shared" ca="1" si="2"/>
        <v>3</v>
      </c>
      <c r="I5" s="29">
        <f t="shared" ca="1" si="3"/>
        <v>1</v>
      </c>
    </row>
    <row r="6" spans="2:9" ht="33" thickTop="1" thickBot="1" x14ac:dyDescent="0.55000000000000004">
      <c r="B6" s="24" t="s">
        <v>76</v>
      </c>
      <c r="C6" s="25">
        <f t="shared" ca="1" si="0"/>
        <v>8</v>
      </c>
      <c r="D6" s="25">
        <f t="shared" ca="1" si="0"/>
        <v>6</v>
      </c>
      <c r="E6" s="25"/>
      <c r="F6" s="25">
        <f t="shared" ca="1" si="0"/>
        <v>82</v>
      </c>
      <c r="G6" s="28">
        <f t="shared" ca="1" si="1"/>
        <v>3</v>
      </c>
      <c r="H6" s="28">
        <f t="shared" ca="1" si="2"/>
        <v>3</v>
      </c>
      <c r="I6" s="29">
        <f t="shared" ca="1" si="3"/>
        <v>1</v>
      </c>
    </row>
    <row r="7" spans="2:9" ht="33" thickTop="1" thickBot="1" x14ac:dyDescent="0.55000000000000004">
      <c r="B7" s="24" t="s">
        <v>142</v>
      </c>
      <c r="C7" s="25"/>
      <c r="D7" s="25">
        <f t="shared" ca="1" si="0"/>
        <v>74</v>
      </c>
      <c r="E7" s="25">
        <f t="shared" ca="1" si="0"/>
        <v>27</v>
      </c>
      <c r="F7" s="25">
        <f t="shared" ca="1" si="0"/>
        <v>76</v>
      </c>
      <c r="G7" s="28">
        <f t="shared" ca="1" si="1"/>
        <v>3</v>
      </c>
      <c r="H7" s="28">
        <f t="shared" ca="1" si="2"/>
        <v>3</v>
      </c>
      <c r="I7" s="29">
        <f t="shared" ca="1" si="3"/>
        <v>1</v>
      </c>
    </row>
    <row r="8" spans="2:9" ht="33" thickTop="1" thickBot="1" x14ac:dyDescent="0.55000000000000004">
      <c r="B8" s="24" t="s">
        <v>152</v>
      </c>
      <c r="C8" s="25">
        <f t="shared" ca="1" si="0"/>
        <v>13</v>
      </c>
      <c r="D8" s="25" t="s">
        <v>468</v>
      </c>
      <c r="E8" s="25" t="s">
        <v>468</v>
      </c>
      <c r="F8" s="25">
        <f t="shared" ca="1" si="0"/>
        <v>26</v>
      </c>
      <c r="G8" s="28">
        <f t="shared" ca="1" si="1"/>
        <v>2</v>
      </c>
      <c r="H8" s="28">
        <f t="shared" ca="1" si="2"/>
        <v>4</v>
      </c>
      <c r="I8" s="29">
        <f t="shared" ca="1" si="3"/>
        <v>0</v>
      </c>
    </row>
    <row r="9" spans="2:9" ht="33" thickTop="1" thickBot="1" x14ac:dyDescent="0.55000000000000004">
      <c r="B9" s="24" t="s">
        <v>156</v>
      </c>
      <c r="C9" s="25">
        <f t="shared" ca="1" si="0"/>
        <v>77</v>
      </c>
      <c r="D9" s="25">
        <f t="shared" ca="1" si="0"/>
        <v>48</v>
      </c>
      <c r="E9" s="25">
        <f t="shared" ca="1" si="0"/>
        <v>3</v>
      </c>
      <c r="F9" s="25">
        <f t="shared" ca="1" si="0"/>
        <v>70</v>
      </c>
      <c r="G9" s="28">
        <f t="shared" ca="1" si="1"/>
        <v>4</v>
      </c>
      <c r="H9" s="28">
        <f t="shared" ca="1" si="2"/>
        <v>4</v>
      </c>
      <c r="I9" s="29">
        <f t="shared" ca="1" si="3"/>
        <v>0</v>
      </c>
    </row>
    <row r="10" spans="2:9" ht="33" thickTop="1" thickBot="1" x14ac:dyDescent="0.55000000000000004">
      <c r="B10" s="24" t="s">
        <v>164</v>
      </c>
      <c r="C10" s="25">
        <f t="shared" ca="1" si="0"/>
        <v>70</v>
      </c>
      <c r="D10" s="25"/>
      <c r="E10" s="25">
        <f t="shared" ca="1" si="0"/>
        <v>19</v>
      </c>
      <c r="F10" s="25"/>
      <c r="G10" s="28">
        <f t="shared" ca="1" si="1"/>
        <v>2</v>
      </c>
      <c r="H10" s="28">
        <f t="shared" ca="1" si="2"/>
        <v>2</v>
      </c>
      <c r="I10" s="29">
        <f t="shared" ca="1" si="3"/>
        <v>2</v>
      </c>
    </row>
    <row r="11" spans="2:9" ht="33" thickTop="1" thickBot="1" x14ac:dyDescent="0.55000000000000004">
      <c r="B11" s="24" t="s">
        <v>171</v>
      </c>
      <c r="C11" s="25">
        <f t="shared" ca="1" si="0"/>
        <v>6</v>
      </c>
      <c r="D11" s="25">
        <f t="shared" ca="1" si="0"/>
        <v>26</v>
      </c>
      <c r="E11" s="25">
        <f t="shared" ca="1" si="0"/>
        <v>82</v>
      </c>
      <c r="F11" s="25">
        <f t="shared" ca="1" si="0"/>
        <v>76</v>
      </c>
      <c r="G11" s="28">
        <f t="shared" ca="1" si="1"/>
        <v>4</v>
      </c>
      <c r="H11" s="28">
        <f t="shared" ca="1" si="2"/>
        <v>4</v>
      </c>
      <c r="I11" s="29">
        <f t="shared" ca="1" si="3"/>
        <v>0</v>
      </c>
    </row>
    <row r="12" spans="2:9" ht="33" thickTop="1" thickBot="1" x14ac:dyDescent="0.55000000000000004">
      <c r="B12" s="24" t="s">
        <v>176</v>
      </c>
      <c r="C12" s="25">
        <f t="shared" ca="1" si="0"/>
        <v>57</v>
      </c>
      <c r="D12" s="25">
        <f t="shared" ca="1" si="0"/>
        <v>52</v>
      </c>
      <c r="E12" s="25">
        <f t="shared" ca="1" si="0"/>
        <v>99</v>
      </c>
      <c r="F12" s="25"/>
      <c r="G12" s="28">
        <f t="shared" ca="1" si="1"/>
        <v>3</v>
      </c>
      <c r="H12" s="28">
        <f t="shared" ca="1" si="2"/>
        <v>3</v>
      </c>
      <c r="I12" s="29">
        <f t="shared" ca="1" si="3"/>
        <v>1</v>
      </c>
    </row>
    <row r="13" spans="2:9" ht="33" thickTop="1" thickBot="1" x14ac:dyDescent="0.55000000000000004">
      <c r="B13" s="24" t="s">
        <v>181</v>
      </c>
      <c r="C13" s="25">
        <f t="shared" ca="1" si="0"/>
        <v>5</v>
      </c>
      <c r="D13" s="25">
        <f t="shared" ca="1" si="0"/>
        <v>0</v>
      </c>
      <c r="E13" s="25"/>
      <c r="F13" s="25">
        <f t="shared" ca="1" si="0"/>
        <v>89</v>
      </c>
      <c r="G13" s="28">
        <f t="shared" ca="1" si="1"/>
        <v>3</v>
      </c>
      <c r="H13" s="28">
        <f t="shared" ca="1" si="2"/>
        <v>3</v>
      </c>
      <c r="I13" s="29">
        <f t="shared" ca="1" si="3"/>
        <v>1</v>
      </c>
    </row>
    <row r="14" spans="2:9" ht="33" thickTop="1" thickBot="1" x14ac:dyDescent="0.55000000000000004">
      <c r="B14" s="24" t="s">
        <v>42</v>
      </c>
      <c r="C14" s="25">
        <f t="shared" ca="1" si="0"/>
        <v>5</v>
      </c>
      <c r="D14" s="25">
        <f t="shared" ca="1" si="0"/>
        <v>57</v>
      </c>
      <c r="E14" s="25" t="s">
        <v>468</v>
      </c>
      <c r="F14" s="25">
        <f t="shared" ca="1" si="0"/>
        <v>57</v>
      </c>
      <c r="G14" s="28">
        <f t="shared" ca="1" si="1"/>
        <v>3</v>
      </c>
      <c r="H14" s="28">
        <f t="shared" ca="1" si="2"/>
        <v>4</v>
      </c>
      <c r="I14" s="29">
        <f t="shared" ca="1" si="3"/>
        <v>0</v>
      </c>
    </row>
    <row r="15" spans="2:9" ht="33" thickTop="1" thickBot="1" x14ac:dyDescent="0.55000000000000004">
      <c r="B15" s="26" t="s">
        <v>196</v>
      </c>
      <c r="C15" s="27" t="s">
        <v>468</v>
      </c>
      <c r="D15" s="27"/>
      <c r="E15" s="27">
        <f t="shared" ca="1" si="0"/>
        <v>33</v>
      </c>
      <c r="F15" s="27" t="s">
        <v>468</v>
      </c>
      <c r="G15" s="28">
        <f t="shared" ca="1" si="1"/>
        <v>1</v>
      </c>
      <c r="H15" s="28">
        <f t="shared" ca="1" si="2"/>
        <v>3</v>
      </c>
      <c r="I15" s="29">
        <f t="shared" ca="1" si="3"/>
        <v>1</v>
      </c>
    </row>
    <row r="16" spans="2:9" ht="29.25" thickTop="1" x14ac:dyDescent="0.45">
      <c r="B16" s="21"/>
      <c r="C16" s="21"/>
      <c r="D16" s="21"/>
      <c r="E16" s="21"/>
      <c r="F16" s="21"/>
    </row>
    <row r="17" spans="2:6" ht="28.5" x14ac:dyDescent="0.45">
      <c r="B17" s="21"/>
      <c r="C17" s="21"/>
      <c r="D17" s="21"/>
      <c r="E17" s="21"/>
      <c r="F17" s="21"/>
    </row>
    <row r="18" spans="2:6" ht="28.5" x14ac:dyDescent="0.45">
      <c r="B18" s="21"/>
      <c r="C18" s="21"/>
      <c r="D18" s="21"/>
      <c r="E18" s="21"/>
      <c r="F18" s="21"/>
    </row>
    <row r="19" spans="2:6" ht="28.5" x14ac:dyDescent="0.45">
      <c r="B19" s="21"/>
      <c r="C19" s="21"/>
      <c r="D19" s="21"/>
      <c r="E19" s="21"/>
      <c r="F19" s="21"/>
    </row>
    <row r="20" spans="2:6" ht="28.5" x14ac:dyDescent="0.45">
      <c r="B20" s="21"/>
      <c r="C20" s="21"/>
      <c r="D20" s="21"/>
      <c r="E20" s="21"/>
      <c r="F20" s="21"/>
    </row>
    <row r="21" spans="2:6" ht="28.5" x14ac:dyDescent="0.45">
      <c r="B21" s="21"/>
      <c r="C21" s="21"/>
      <c r="D21" s="21"/>
      <c r="E21" s="21"/>
      <c r="F21" s="21"/>
    </row>
    <row r="22" spans="2:6" ht="28.5" x14ac:dyDescent="0.45">
      <c r="B22" s="21"/>
      <c r="C22" s="21"/>
      <c r="D22" s="21"/>
      <c r="E22" s="21"/>
      <c r="F22" s="21"/>
    </row>
    <row r="23" spans="2:6" ht="28.5" x14ac:dyDescent="0.45">
      <c r="B23" s="21"/>
      <c r="C23" s="21"/>
      <c r="D23" s="21"/>
      <c r="E23" s="21"/>
      <c r="F23" s="21"/>
    </row>
    <row r="24" spans="2:6" ht="28.5" x14ac:dyDescent="0.45">
      <c r="B24" s="21"/>
      <c r="C24" s="21"/>
      <c r="D24" s="21"/>
      <c r="E24" s="21"/>
      <c r="F24" s="21"/>
    </row>
    <row r="25" spans="2:6" ht="28.5" x14ac:dyDescent="0.45">
      <c r="B25" s="21"/>
      <c r="C25" s="21"/>
      <c r="D25" s="21"/>
      <c r="E25" s="21"/>
      <c r="F25" s="21"/>
    </row>
    <row r="26" spans="2:6" ht="28.5" x14ac:dyDescent="0.45">
      <c r="B26" s="21"/>
      <c r="C26" s="21"/>
      <c r="D26" s="21"/>
      <c r="E26" s="21"/>
      <c r="F26" s="21"/>
    </row>
    <row r="27" spans="2:6" ht="28.5" x14ac:dyDescent="0.45">
      <c r="B27" s="21"/>
      <c r="C27" s="21"/>
      <c r="D27" s="21"/>
      <c r="E27" s="21"/>
      <c r="F27" s="21"/>
    </row>
    <row r="28" spans="2:6" ht="28.5" x14ac:dyDescent="0.45">
      <c r="B28" s="21"/>
      <c r="C28" s="21"/>
      <c r="D28" s="21"/>
      <c r="E28" s="21"/>
      <c r="F28" s="21"/>
    </row>
    <row r="29" spans="2:6" ht="28.5" x14ac:dyDescent="0.45">
      <c r="B29" s="21"/>
      <c r="C29" s="21"/>
      <c r="D29" s="21"/>
      <c r="E29" s="21"/>
      <c r="F29" s="21"/>
    </row>
    <row r="30" spans="2:6" ht="28.5" x14ac:dyDescent="0.45">
      <c r="B30" s="21"/>
      <c r="C30" s="21"/>
      <c r="D30" s="21"/>
      <c r="E30" s="21"/>
      <c r="F30" s="21"/>
    </row>
    <row r="31" spans="2:6" ht="28.5" x14ac:dyDescent="0.45">
      <c r="B31" s="21"/>
      <c r="C31" s="21"/>
      <c r="D31" s="21"/>
      <c r="E31" s="21"/>
      <c r="F31" s="21"/>
    </row>
    <row r="32" spans="2:6" ht="28.5" x14ac:dyDescent="0.45">
      <c r="B32" s="21"/>
      <c r="C32" s="21"/>
      <c r="D32" s="21"/>
      <c r="E32" s="21"/>
      <c r="F32" s="21"/>
    </row>
    <row r="33" spans="2:6" ht="28.5" x14ac:dyDescent="0.45">
      <c r="B33" s="21"/>
      <c r="C33" s="21"/>
      <c r="D33" s="21"/>
      <c r="E33" s="21"/>
      <c r="F33" s="21"/>
    </row>
    <row r="34" spans="2:6" ht="28.5" x14ac:dyDescent="0.45">
      <c r="B34" s="21"/>
      <c r="C34" s="21"/>
      <c r="D34" s="21"/>
      <c r="E34" s="21"/>
      <c r="F34" s="21"/>
    </row>
    <row r="35" spans="2:6" ht="28.5" x14ac:dyDescent="0.45">
      <c r="B35" s="21"/>
      <c r="C35" s="21"/>
      <c r="D35" s="21"/>
      <c r="E35" s="21"/>
      <c r="F35" s="21"/>
    </row>
    <row r="36" spans="2:6" ht="28.5" x14ac:dyDescent="0.45">
      <c r="B36" s="21"/>
      <c r="C36" s="21"/>
      <c r="D36" s="21"/>
      <c r="E36" s="21"/>
      <c r="F36" s="21"/>
    </row>
    <row r="37" spans="2:6" ht="28.5" x14ac:dyDescent="0.45">
      <c r="B37" s="21"/>
      <c r="C37" s="21"/>
      <c r="D37" s="21"/>
      <c r="E37" s="21"/>
      <c r="F37" s="21"/>
    </row>
    <row r="38" spans="2:6" ht="28.5" x14ac:dyDescent="0.45">
      <c r="B38" s="21"/>
      <c r="C38" s="21"/>
      <c r="D38" s="21"/>
      <c r="E38" s="21"/>
      <c r="F38" s="21"/>
    </row>
    <row r="39" spans="2:6" ht="28.5" x14ac:dyDescent="0.45">
      <c r="B39" s="21"/>
      <c r="C39" s="21"/>
      <c r="D39" s="21"/>
      <c r="E39" s="21"/>
      <c r="F39" s="21"/>
    </row>
    <row r="40" spans="2:6" ht="28.5" x14ac:dyDescent="0.45">
      <c r="B40" s="21"/>
      <c r="C40" s="21"/>
      <c r="D40" s="21"/>
      <c r="E40" s="21"/>
      <c r="F40" s="21"/>
    </row>
    <row r="41" spans="2:6" ht="28.5" x14ac:dyDescent="0.45">
      <c r="B41" s="21"/>
      <c r="C41" s="21"/>
      <c r="D41" s="21"/>
      <c r="E41" s="21"/>
      <c r="F41" s="21"/>
    </row>
    <row r="42" spans="2:6" ht="28.5" x14ac:dyDescent="0.45">
      <c r="B42" s="21"/>
      <c r="C42" s="21"/>
      <c r="D42" s="21"/>
      <c r="E42" s="21"/>
      <c r="F42" s="21"/>
    </row>
    <row r="43" spans="2:6" ht="28.5" x14ac:dyDescent="0.45">
      <c r="B43" s="21"/>
      <c r="C43" s="21"/>
      <c r="D43" s="21"/>
      <c r="E43" s="21"/>
      <c r="F43" s="21"/>
    </row>
    <row r="44" spans="2:6" ht="28.5" x14ac:dyDescent="0.45">
      <c r="B44" s="21"/>
      <c r="C44" s="21"/>
      <c r="D44" s="21"/>
      <c r="E44" s="21"/>
      <c r="F44" s="21"/>
    </row>
    <row r="45" spans="2:6" ht="28.5" x14ac:dyDescent="0.45">
      <c r="B45" s="21"/>
      <c r="C45" s="21"/>
      <c r="D45" s="21"/>
      <c r="E45" s="21"/>
      <c r="F45" s="21"/>
    </row>
    <row r="46" spans="2:6" ht="28.5" x14ac:dyDescent="0.45">
      <c r="B46" s="21"/>
      <c r="C46" s="21"/>
      <c r="D46" s="21"/>
      <c r="E46" s="21"/>
      <c r="F46" s="21"/>
    </row>
    <row r="47" spans="2:6" ht="28.5" x14ac:dyDescent="0.45">
      <c r="B47" s="21"/>
      <c r="C47" s="21"/>
      <c r="D47" s="21"/>
      <c r="E47" s="21"/>
      <c r="F47" s="21"/>
    </row>
    <row r="48" spans="2:6" ht="28.5" x14ac:dyDescent="0.45">
      <c r="B48" s="21"/>
      <c r="C48" s="21"/>
      <c r="D48" s="21"/>
      <c r="E48" s="21"/>
      <c r="F48" s="21"/>
    </row>
    <row r="49" spans="2:6" ht="28.5" x14ac:dyDescent="0.45">
      <c r="B49" s="21"/>
      <c r="C49" s="21"/>
      <c r="D49" s="21"/>
      <c r="E49" s="21"/>
      <c r="F49" s="21"/>
    </row>
    <row r="50" spans="2:6" ht="28.5" x14ac:dyDescent="0.45">
      <c r="B50" s="21"/>
      <c r="C50" s="21"/>
      <c r="D50" s="21"/>
      <c r="E50" s="21"/>
      <c r="F50" s="21"/>
    </row>
    <row r="51" spans="2:6" ht="28.5" x14ac:dyDescent="0.45">
      <c r="B51" s="21"/>
      <c r="C51" s="21"/>
      <c r="D51" s="21"/>
      <c r="E51" s="21"/>
      <c r="F51" s="21"/>
    </row>
    <row r="52" spans="2:6" ht="28.5" x14ac:dyDescent="0.45">
      <c r="B52" s="21"/>
      <c r="C52" s="21"/>
      <c r="D52" s="21"/>
      <c r="E52" s="21"/>
      <c r="F52" s="21"/>
    </row>
    <row r="53" spans="2:6" ht="28.5" x14ac:dyDescent="0.45">
      <c r="B53" s="21"/>
      <c r="C53" s="21"/>
      <c r="D53" s="21"/>
      <c r="E53" s="21"/>
      <c r="F53" s="21"/>
    </row>
    <row r="54" spans="2:6" ht="28.5" x14ac:dyDescent="0.45">
      <c r="B54" s="21"/>
      <c r="C54" s="21"/>
      <c r="D54" s="21"/>
      <c r="E54" s="21"/>
      <c r="F54" s="21"/>
    </row>
    <row r="55" spans="2:6" ht="28.5" x14ac:dyDescent="0.45">
      <c r="B55" s="21"/>
      <c r="C55" s="21"/>
      <c r="D55" s="21"/>
      <c r="E55" s="21"/>
      <c r="F55" s="21"/>
    </row>
    <row r="56" spans="2:6" ht="28.5" x14ac:dyDescent="0.45">
      <c r="B56" s="21"/>
      <c r="C56" s="21"/>
      <c r="D56" s="21"/>
      <c r="E56" s="21"/>
      <c r="F56" s="21"/>
    </row>
    <row r="57" spans="2:6" ht="28.5" x14ac:dyDescent="0.45">
      <c r="B57" s="21"/>
      <c r="C57" s="21"/>
      <c r="D57" s="21"/>
      <c r="E57" s="21"/>
      <c r="F57" s="21"/>
    </row>
    <row r="58" spans="2:6" ht="28.5" x14ac:dyDescent="0.45">
      <c r="B58" s="21"/>
      <c r="C58" s="21"/>
      <c r="D58" s="21"/>
      <c r="E58" s="21"/>
      <c r="F58" s="21"/>
    </row>
    <row r="59" spans="2:6" ht="28.5" x14ac:dyDescent="0.45">
      <c r="B59" s="21"/>
      <c r="C59" s="21"/>
      <c r="D59" s="21"/>
      <c r="E59" s="21"/>
      <c r="F59" s="21"/>
    </row>
    <row r="60" spans="2:6" ht="28.5" x14ac:dyDescent="0.45">
      <c r="B60" s="21"/>
      <c r="C60" s="21"/>
      <c r="D60" s="21"/>
      <c r="E60" s="21"/>
      <c r="F60" s="21"/>
    </row>
    <row r="61" spans="2:6" ht="28.5" x14ac:dyDescent="0.45">
      <c r="B61" s="21"/>
      <c r="C61" s="21"/>
      <c r="D61" s="21"/>
      <c r="E61" s="21"/>
      <c r="F61" s="21"/>
    </row>
    <row r="62" spans="2:6" ht="28.5" x14ac:dyDescent="0.45">
      <c r="B62" s="21"/>
      <c r="C62" s="21"/>
      <c r="D62" s="21"/>
      <c r="E62" s="21"/>
      <c r="F62" s="21"/>
    </row>
    <row r="63" spans="2:6" ht="28.5" x14ac:dyDescent="0.45">
      <c r="B63" s="21"/>
      <c r="C63" s="21"/>
      <c r="D63" s="21"/>
      <c r="E63" s="21"/>
      <c r="F63" s="21"/>
    </row>
    <row r="64" spans="2:6" ht="28.5" x14ac:dyDescent="0.45">
      <c r="B64" s="21"/>
      <c r="C64" s="21"/>
      <c r="D64" s="21"/>
      <c r="E64" s="21"/>
      <c r="F64" s="21"/>
    </row>
    <row r="65" spans="2:6" ht="28.5" x14ac:dyDescent="0.45">
      <c r="B65" s="21"/>
      <c r="C65" s="21"/>
      <c r="D65" s="21"/>
      <c r="E65" s="21"/>
      <c r="F65" s="21"/>
    </row>
    <row r="66" spans="2:6" ht="28.5" x14ac:dyDescent="0.45">
      <c r="B66" s="21"/>
      <c r="C66" s="21"/>
      <c r="D66" s="21"/>
      <c r="E66" s="21"/>
      <c r="F66" s="21"/>
    </row>
    <row r="67" spans="2:6" ht="28.5" x14ac:dyDescent="0.45">
      <c r="B67" s="21"/>
      <c r="C67" s="21"/>
      <c r="D67" s="21"/>
      <c r="E67" s="21"/>
      <c r="F67" s="21"/>
    </row>
    <row r="68" spans="2:6" ht="28.5" x14ac:dyDescent="0.45">
      <c r="B68" s="21"/>
      <c r="C68" s="21"/>
      <c r="D68" s="21"/>
      <c r="E68" s="21"/>
      <c r="F68" s="21"/>
    </row>
    <row r="69" spans="2:6" ht="28.5" x14ac:dyDescent="0.45">
      <c r="B69" s="21"/>
      <c r="C69" s="21"/>
      <c r="D69" s="21"/>
      <c r="E69" s="21"/>
      <c r="F69" s="21"/>
    </row>
    <row r="70" spans="2:6" ht="28.5" x14ac:dyDescent="0.45">
      <c r="B70" s="21"/>
      <c r="C70" s="21"/>
      <c r="D70" s="21"/>
      <c r="E70" s="21"/>
      <c r="F70" s="21"/>
    </row>
    <row r="71" spans="2:6" ht="28.5" x14ac:dyDescent="0.45">
      <c r="B71" s="21"/>
      <c r="C71" s="21"/>
      <c r="D71" s="21"/>
      <c r="E71" s="21"/>
      <c r="F71" s="21"/>
    </row>
    <row r="72" spans="2:6" ht="28.5" x14ac:dyDescent="0.45">
      <c r="B72" s="21"/>
      <c r="C72" s="21"/>
      <c r="D72" s="21"/>
      <c r="E72" s="21"/>
      <c r="F72" s="21"/>
    </row>
    <row r="73" spans="2:6" ht="28.5" x14ac:dyDescent="0.45">
      <c r="B73" s="21"/>
      <c r="C73" s="21"/>
      <c r="D73" s="21"/>
      <c r="E73" s="21"/>
      <c r="F73" s="21"/>
    </row>
    <row r="74" spans="2:6" ht="28.5" x14ac:dyDescent="0.45">
      <c r="B74" s="21"/>
      <c r="C74" s="21"/>
      <c r="D74" s="21"/>
      <c r="E74" s="21"/>
      <c r="F74" s="21"/>
    </row>
    <row r="75" spans="2:6" ht="28.5" x14ac:dyDescent="0.45">
      <c r="B75" s="21"/>
      <c r="C75" s="21"/>
      <c r="D75" s="21"/>
      <c r="E75" s="21"/>
      <c r="F75" s="21"/>
    </row>
    <row r="76" spans="2:6" ht="28.5" x14ac:dyDescent="0.45">
      <c r="B76" s="21"/>
      <c r="C76" s="21"/>
      <c r="D76" s="21"/>
      <c r="E76" s="21"/>
      <c r="F76" s="21"/>
    </row>
    <row r="77" spans="2:6" ht="28.5" x14ac:dyDescent="0.45">
      <c r="B77" s="21"/>
      <c r="C77" s="21"/>
      <c r="D77" s="21"/>
      <c r="E77" s="21"/>
      <c r="F77" s="21"/>
    </row>
    <row r="78" spans="2:6" ht="28.5" x14ac:dyDescent="0.45">
      <c r="B78" s="21"/>
      <c r="C78" s="21"/>
      <c r="D78" s="21"/>
      <c r="E78" s="21"/>
      <c r="F78" s="21"/>
    </row>
    <row r="79" spans="2:6" ht="28.5" x14ac:dyDescent="0.45">
      <c r="B79" s="21"/>
      <c r="C79" s="21"/>
      <c r="D79" s="21"/>
      <c r="E79" s="21"/>
      <c r="F79" s="21"/>
    </row>
    <row r="80" spans="2:6" ht="28.5" x14ac:dyDescent="0.45">
      <c r="B80" s="21"/>
      <c r="C80" s="21"/>
      <c r="D80" s="21"/>
      <c r="E80" s="21"/>
      <c r="F80" s="21"/>
    </row>
    <row r="81" spans="2:6" ht="28.5" x14ac:dyDescent="0.45">
      <c r="B81" s="21"/>
      <c r="C81" s="21"/>
      <c r="D81" s="21"/>
      <c r="E81" s="21"/>
      <c r="F81" s="21"/>
    </row>
    <row r="82" spans="2:6" ht="28.5" x14ac:dyDescent="0.45">
      <c r="B82" s="21"/>
      <c r="C82" s="21"/>
      <c r="D82" s="21"/>
      <c r="E82" s="21"/>
      <c r="F82" s="21"/>
    </row>
    <row r="83" spans="2:6" ht="28.5" x14ac:dyDescent="0.45">
      <c r="B83" s="21"/>
      <c r="C83" s="21"/>
      <c r="D83" s="21"/>
      <c r="E83" s="21"/>
      <c r="F83" s="21"/>
    </row>
    <row r="84" spans="2:6" ht="28.5" x14ac:dyDescent="0.45">
      <c r="B84" s="21"/>
      <c r="C84" s="21"/>
      <c r="D84" s="21"/>
      <c r="E84" s="21"/>
      <c r="F84" s="21"/>
    </row>
    <row r="85" spans="2:6" ht="28.5" x14ac:dyDescent="0.45">
      <c r="B85" s="21"/>
      <c r="C85" s="21"/>
      <c r="D85" s="21"/>
      <c r="E85" s="21"/>
      <c r="F85" s="21"/>
    </row>
    <row r="86" spans="2:6" ht="28.5" x14ac:dyDescent="0.45">
      <c r="B86" s="21"/>
      <c r="C86" s="21"/>
      <c r="D86" s="21"/>
      <c r="E86" s="21"/>
      <c r="F86" s="21"/>
    </row>
    <row r="87" spans="2:6" ht="28.5" x14ac:dyDescent="0.45">
      <c r="B87" s="21"/>
      <c r="C87" s="21"/>
      <c r="D87" s="21"/>
      <c r="E87" s="21"/>
      <c r="F87" s="21"/>
    </row>
    <row r="88" spans="2:6" ht="28.5" x14ac:dyDescent="0.45">
      <c r="B88" s="21"/>
      <c r="C88" s="21"/>
      <c r="D88" s="21"/>
      <c r="E88" s="21"/>
      <c r="F88" s="21"/>
    </row>
    <row r="89" spans="2:6" ht="28.5" x14ac:dyDescent="0.45">
      <c r="B89" s="21"/>
      <c r="C89" s="21"/>
      <c r="D89" s="21"/>
      <c r="E89" s="21"/>
      <c r="F89" s="21"/>
    </row>
    <row r="90" spans="2:6" ht="28.5" x14ac:dyDescent="0.45">
      <c r="B90" s="21"/>
      <c r="C90" s="21"/>
      <c r="D90" s="21"/>
      <c r="E90" s="21"/>
      <c r="F90" s="21"/>
    </row>
    <row r="91" spans="2:6" ht="28.5" x14ac:dyDescent="0.45">
      <c r="B91" s="21"/>
      <c r="C91" s="21"/>
      <c r="D91" s="21"/>
      <c r="E91" s="21"/>
      <c r="F91" s="21"/>
    </row>
    <row r="92" spans="2:6" ht="28.5" x14ac:dyDescent="0.45">
      <c r="B92" s="21"/>
      <c r="C92" s="21"/>
      <c r="D92" s="21"/>
      <c r="E92" s="21"/>
      <c r="F92" s="21"/>
    </row>
    <row r="93" spans="2:6" ht="28.5" x14ac:dyDescent="0.45">
      <c r="B93" s="21"/>
      <c r="C93" s="21"/>
      <c r="D93" s="21"/>
      <c r="E93" s="21"/>
      <c r="F93" s="21"/>
    </row>
    <row r="94" spans="2:6" ht="28.5" x14ac:dyDescent="0.45">
      <c r="B94" s="21"/>
      <c r="C94" s="21"/>
      <c r="D94" s="21"/>
      <c r="E94" s="21"/>
      <c r="F94" s="21"/>
    </row>
    <row r="95" spans="2:6" ht="28.5" x14ac:dyDescent="0.45">
      <c r="B95" s="21"/>
      <c r="C95" s="21"/>
      <c r="D95" s="21"/>
      <c r="E95" s="21"/>
      <c r="F95" s="21"/>
    </row>
    <row r="96" spans="2:6" ht="28.5" x14ac:dyDescent="0.45">
      <c r="B96" s="21"/>
      <c r="C96" s="21"/>
      <c r="D96" s="21"/>
      <c r="E96" s="21"/>
      <c r="F96" s="21"/>
    </row>
    <row r="97" spans="2:6" ht="28.5" x14ac:dyDescent="0.45">
      <c r="B97" s="21"/>
      <c r="C97" s="21"/>
      <c r="D97" s="21"/>
      <c r="E97" s="21"/>
      <c r="F9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A2E3-3F5E-4B6B-B679-EEB2AAE9033B}">
  <dimension ref="A1:M30"/>
  <sheetViews>
    <sheetView workbookViewId="0">
      <selection sqref="A1:B23"/>
    </sheetView>
  </sheetViews>
  <sheetFormatPr defaultRowHeight="15" x14ac:dyDescent="0.25"/>
  <cols>
    <col min="1" max="1" width="17.85546875" customWidth="1"/>
    <col min="2" max="2" width="36.28515625" style="63" customWidth="1"/>
    <col min="6" max="6" width="16.5703125" customWidth="1"/>
    <col min="7" max="7" width="19.140625" customWidth="1"/>
    <col min="11" max="11" width="21.5703125" customWidth="1"/>
  </cols>
  <sheetData>
    <row r="1" spans="1:13" ht="15.75" x14ac:dyDescent="0.25">
      <c r="A1" s="64" t="s">
        <v>469</v>
      </c>
      <c r="B1" s="61" t="s">
        <v>470</v>
      </c>
      <c r="F1" s="64" t="s">
        <v>469</v>
      </c>
      <c r="G1" s="61" t="s">
        <v>470</v>
      </c>
      <c r="K1" s="61" t="s">
        <v>470</v>
      </c>
      <c r="M1" s="67"/>
    </row>
    <row r="2" spans="1:13" x14ac:dyDescent="0.25">
      <c r="A2" s="65">
        <v>46304</v>
      </c>
      <c r="B2" s="62" t="s">
        <v>473</v>
      </c>
      <c r="F2" s="65">
        <v>46304</v>
      </c>
      <c r="G2" s="62" t="s">
        <v>473</v>
      </c>
      <c r="K2" s="62" t="s">
        <v>473</v>
      </c>
      <c r="M2" s="67"/>
    </row>
    <row r="3" spans="1:13" x14ac:dyDescent="0.25">
      <c r="A3" s="66">
        <f>A2+1</f>
        <v>46305</v>
      </c>
      <c r="B3" s="62" t="s">
        <v>474</v>
      </c>
      <c r="F3" s="66">
        <f>F2+1</f>
        <v>46305</v>
      </c>
      <c r="G3" s="62" t="s">
        <v>474</v>
      </c>
      <c r="K3" s="62" t="s">
        <v>474</v>
      </c>
      <c r="M3" s="67"/>
    </row>
    <row r="4" spans="1:13" x14ac:dyDescent="0.25">
      <c r="A4" s="66">
        <f t="shared" ref="A4:A23" si="0">A3+1</f>
        <v>46306</v>
      </c>
      <c r="B4" s="62" t="s">
        <v>475</v>
      </c>
      <c r="F4" s="66">
        <f t="shared" ref="F4:F23" si="1">F3+1</f>
        <v>46306</v>
      </c>
      <c r="G4" s="62" t="s">
        <v>475</v>
      </c>
      <c r="K4" s="62" t="s">
        <v>475</v>
      </c>
      <c r="M4" s="67"/>
    </row>
    <row r="5" spans="1:13" x14ac:dyDescent="0.25">
      <c r="A5" s="66">
        <f t="shared" si="0"/>
        <v>46307</v>
      </c>
      <c r="B5" s="62" t="s">
        <v>476</v>
      </c>
      <c r="F5" s="66">
        <f t="shared" si="1"/>
        <v>46307</v>
      </c>
      <c r="G5" s="62" t="s">
        <v>476</v>
      </c>
      <c r="K5" s="62" t="s">
        <v>476</v>
      </c>
      <c r="M5" s="67"/>
    </row>
    <row r="6" spans="1:13" x14ac:dyDescent="0.25">
      <c r="A6" s="66">
        <f t="shared" si="0"/>
        <v>46308</v>
      </c>
      <c r="B6" s="62" t="s">
        <v>477</v>
      </c>
      <c r="F6" s="66">
        <f t="shared" si="1"/>
        <v>46308</v>
      </c>
      <c r="G6" s="62" t="s">
        <v>477</v>
      </c>
      <c r="K6" s="62" t="s">
        <v>477</v>
      </c>
    </row>
    <row r="7" spans="1:13" x14ac:dyDescent="0.25">
      <c r="A7" s="66">
        <f t="shared" si="0"/>
        <v>46309</v>
      </c>
      <c r="B7" s="62" t="s">
        <v>478</v>
      </c>
      <c r="F7" s="66">
        <f t="shared" si="1"/>
        <v>46309</v>
      </c>
      <c r="G7" s="62" t="s">
        <v>478</v>
      </c>
      <c r="K7" s="62" t="s">
        <v>478</v>
      </c>
    </row>
    <row r="8" spans="1:13" x14ac:dyDescent="0.25">
      <c r="A8" s="66">
        <f t="shared" si="0"/>
        <v>46310</v>
      </c>
      <c r="B8" s="62" t="s">
        <v>479</v>
      </c>
      <c r="F8" s="66">
        <f t="shared" si="1"/>
        <v>46310</v>
      </c>
      <c r="G8" s="62" t="s">
        <v>479</v>
      </c>
    </row>
    <row r="9" spans="1:13" x14ac:dyDescent="0.25">
      <c r="A9" s="66">
        <f t="shared" si="0"/>
        <v>46311</v>
      </c>
      <c r="B9" s="62" t="s">
        <v>480</v>
      </c>
      <c r="F9" s="66">
        <f t="shared" si="1"/>
        <v>46311</v>
      </c>
      <c r="G9" s="62" t="s">
        <v>480</v>
      </c>
    </row>
    <row r="10" spans="1:13" x14ac:dyDescent="0.25">
      <c r="A10" s="66">
        <f t="shared" si="0"/>
        <v>46312</v>
      </c>
      <c r="B10" s="62" t="s">
        <v>481</v>
      </c>
      <c r="F10" s="66">
        <f t="shared" si="1"/>
        <v>46312</v>
      </c>
      <c r="G10" s="62" t="s">
        <v>481</v>
      </c>
    </row>
    <row r="11" spans="1:13" x14ac:dyDescent="0.25">
      <c r="A11" s="66">
        <f t="shared" si="0"/>
        <v>46313</v>
      </c>
      <c r="B11" s="62" t="s">
        <v>482</v>
      </c>
      <c r="F11" s="66">
        <f t="shared" si="1"/>
        <v>46313</v>
      </c>
      <c r="G11" s="62" t="s">
        <v>482</v>
      </c>
    </row>
    <row r="12" spans="1:13" x14ac:dyDescent="0.25">
      <c r="A12" s="66">
        <f t="shared" si="0"/>
        <v>46314</v>
      </c>
      <c r="B12" s="62" t="s">
        <v>483</v>
      </c>
      <c r="F12" s="66">
        <f t="shared" si="1"/>
        <v>46314</v>
      </c>
      <c r="G12" s="62" t="s">
        <v>483</v>
      </c>
    </row>
    <row r="13" spans="1:13" x14ac:dyDescent="0.25">
      <c r="A13" s="66">
        <f t="shared" si="0"/>
        <v>46315</v>
      </c>
      <c r="B13" s="62" t="s">
        <v>484</v>
      </c>
      <c r="F13" s="66">
        <f t="shared" si="1"/>
        <v>46315</v>
      </c>
      <c r="G13" s="62" t="s">
        <v>484</v>
      </c>
    </row>
    <row r="14" spans="1:13" x14ac:dyDescent="0.25">
      <c r="A14" s="66">
        <f t="shared" si="0"/>
        <v>46316</v>
      </c>
      <c r="B14" s="62" t="s">
        <v>485</v>
      </c>
      <c r="F14" s="66">
        <f t="shared" si="1"/>
        <v>46316</v>
      </c>
      <c r="G14" s="62" t="s">
        <v>485</v>
      </c>
    </row>
    <row r="15" spans="1:13" x14ac:dyDescent="0.25">
      <c r="A15" s="66">
        <f t="shared" si="0"/>
        <v>46317</v>
      </c>
      <c r="B15" s="62" t="s">
        <v>486</v>
      </c>
      <c r="F15" s="66">
        <f t="shared" si="1"/>
        <v>46317</v>
      </c>
      <c r="G15" s="62" t="s">
        <v>486</v>
      </c>
    </row>
    <row r="16" spans="1:13" x14ac:dyDescent="0.25">
      <c r="A16" s="66">
        <f t="shared" si="0"/>
        <v>46318</v>
      </c>
      <c r="B16" s="62" t="s">
        <v>487</v>
      </c>
      <c r="F16" s="66">
        <f t="shared" si="1"/>
        <v>46318</v>
      </c>
      <c r="G16" s="62" t="s">
        <v>487</v>
      </c>
    </row>
    <row r="17" spans="1:7" x14ac:dyDescent="0.25">
      <c r="A17" s="66">
        <f t="shared" si="0"/>
        <v>46319</v>
      </c>
      <c r="B17" s="62" t="s">
        <v>488</v>
      </c>
      <c r="F17" s="66">
        <f t="shared" si="1"/>
        <v>46319</v>
      </c>
      <c r="G17" s="62" t="s">
        <v>488</v>
      </c>
    </row>
    <row r="18" spans="1:7" x14ac:dyDescent="0.25">
      <c r="A18" s="66">
        <f t="shared" si="0"/>
        <v>46320</v>
      </c>
      <c r="B18" s="62" t="s">
        <v>489</v>
      </c>
      <c r="F18" s="66">
        <f t="shared" si="1"/>
        <v>46320</v>
      </c>
      <c r="G18" s="62" t="s">
        <v>489</v>
      </c>
    </row>
    <row r="19" spans="1:7" x14ac:dyDescent="0.25">
      <c r="A19" s="66">
        <f t="shared" si="0"/>
        <v>46321</v>
      </c>
      <c r="B19" s="62" t="s">
        <v>490</v>
      </c>
      <c r="F19" s="66">
        <f t="shared" si="1"/>
        <v>46321</v>
      </c>
      <c r="G19" s="62" t="s">
        <v>490</v>
      </c>
    </row>
    <row r="20" spans="1:7" x14ac:dyDescent="0.25">
      <c r="A20" s="66">
        <f t="shared" si="0"/>
        <v>46322</v>
      </c>
      <c r="B20" s="62" t="s">
        <v>491</v>
      </c>
      <c r="F20" s="66">
        <f t="shared" si="1"/>
        <v>46322</v>
      </c>
      <c r="G20" s="62" t="s">
        <v>491</v>
      </c>
    </row>
    <row r="21" spans="1:7" x14ac:dyDescent="0.25">
      <c r="A21" s="66">
        <f t="shared" si="0"/>
        <v>46323</v>
      </c>
      <c r="B21" s="62" t="s">
        <v>492</v>
      </c>
      <c r="F21" s="66">
        <f t="shared" si="1"/>
        <v>46323</v>
      </c>
      <c r="G21" s="62" t="s">
        <v>492</v>
      </c>
    </row>
    <row r="22" spans="1:7" x14ac:dyDescent="0.25">
      <c r="A22" s="66">
        <f t="shared" si="0"/>
        <v>46324</v>
      </c>
      <c r="B22" s="62" t="s">
        <v>493</v>
      </c>
      <c r="F22" s="66">
        <f t="shared" si="1"/>
        <v>46324</v>
      </c>
      <c r="G22" s="62" t="s">
        <v>493</v>
      </c>
    </row>
    <row r="23" spans="1:7" x14ac:dyDescent="0.25">
      <c r="A23" s="66">
        <f t="shared" si="0"/>
        <v>46325</v>
      </c>
      <c r="B23" s="62" t="s">
        <v>494</v>
      </c>
      <c r="F23" s="66">
        <f t="shared" si="1"/>
        <v>46325</v>
      </c>
      <c r="G23" s="62" t="s">
        <v>494</v>
      </c>
    </row>
    <row r="30" spans="1:7" x14ac:dyDescent="0.25">
      <c r="B30" s="67"/>
    </row>
  </sheetData>
  <conditionalFormatting sqref="B1:B23">
    <cfRule type="dataBar" priority="9">
      <dataBar>
        <cfvo type="min"/>
        <cfvo type="max"/>
        <color rgb="FF638EC6"/>
      </dataBar>
      <extLst>
        <ext xmlns:x14="http://schemas.microsoft.com/office/spreadsheetml/2009/9/main" uri="{B025F937-C7B1-47D3-B67F-A62EFF666E3E}">
          <x14:id>{08312C70-1622-4F45-BECC-214E47D065B7}</x14:id>
        </ext>
      </extLst>
    </cfRule>
  </conditionalFormatting>
  <conditionalFormatting sqref="B1:B23">
    <cfRule type="iconSet" priority="10">
      <iconSet>
        <cfvo type="percent" val="0"/>
        <cfvo type="percent" val="33"/>
        <cfvo type="percent" val="67"/>
      </iconSet>
    </cfRule>
  </conditionalFormatting>
  <conditionalFormatting sqref="G1:G23">
    <cfRule type="dataBar" priority="7">
      <dataBar>
        <cfvo type="min"/>
        <cfvo type="max"/>
        <color rgb="FF638EC6"/>
      </dataBar>
      <extLst>
        <ext xmlns:x14="http://schemas.microsoft.com/office/spreadsheetml/2009/9/main" uri="{B025F937-C7B1-47D3-B67F-A62EFF666E3E}">
          <x14:id>{583A5FC0-6EBD-4762-AD4D-738938C11A25}</x14:id>
        </ext>
      </extLst>
    </cfRule>
  </conditionalFormatting>
  <conditionalFormatting sqref="G1:G23">
    <cfRule type="iconSet" priority="8">
      <iconSet>
        <cfvo type="percent" val="0"/>
        <cfvo type="percent" val="33"/>
        <cfvo type="percent" val="67"/>
      </iconSet>
    </cfRule>
  </conditionalFormatting>
  <conditionalFormatting sqref="M1:M5 B30">
    <cfRule type="dataBar" priority="5">
      <dataBar>
        <cfvo type="min"/>
        <cfvo type="max"/>
        <color rgb="FF638EC6"/>
      </dataBar>
      <extLst>
        <ext xmlns:x14="http://schemas.microsoft.com/office/spreadsheetml/2009/9/main" uri="{B025F937-C7B1-47D3-B67F-A62EFF666E3E}">
          <x14:id>{8B2F77C6-1236-4800-BFDD-88722FDE8EF2}</x14:id>
        </ext>
      </extLst>
    </cfRule>
  </conditionalFormatting>
  <conditionalFormatting sqref="B30 M1:M5">
    <cfRule type="iconSet" priority="6">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{F43DD3B3-4270-4AC4-AF84-75C624BDCC33}</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8312C70-1622-4F45-BECC-214E47D065B7}">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583A5FC0-6EBD-4762-AD4D-738938C11A25}">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8B2F77C6-1236-4800-BFDD-88722FDE8EF2}">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F43DD3B3-4270-4AC4-AF84-75C624BDCC33}">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F018-D40B-44C0-A20E-BE7FCCDA205D}">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30"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35" t="s">
        <v>469</v>
      </c>
      <c r="B1" s="36" t="s">
        <v>470</v>
      </c>
      <c r="C1" s="36" t="s">
        <v>6</v>
      </c>
      <c r="D1" s="36" t="s">
        <v>36</v>
      </c>
      <c r="E1" s="37" t="s">
        <v>471</v>
      </c>
      <c r="F1" s="38" t="s">
        <v>472</v>
      </c>
      <c r="K1" s="48" t="s">
        <v>469</v>
      </c>
      <c r="L1" s="49" t="s">
        <v>470</v>
      </c>
      <c r="M1" s="49" t="s">
        <v>6</v>
      </c>
      <c r="N1" s="49" t="s">
        <v>36</v>
      </c>
      <c r="O1" s="50" t="s">
        <v>471</v>
      </c>
      <c r="P1" s="51" t="s">
        <v>472</v>
      </c>
    </row>
    <row r="2" spans="1:16" x14ac:dyDescent="0.25">
      <c r="A2" s="43">
        <v>46304</v>
      </c>
      <c r="B2" s="31" t="s">
        <v>473</v>
      </c>
      <c r="C2" s="31" t="s">
        <v>93</v>
      </c>
      <c r="D2" s="31" t="s">
        <v>74</v>
      </c>
      <c r="E2" s="32">
        <v>38278</v>
      </c>
      <c r="F2" s="39">
        <v>137196</v>
      </c>
      <c r="K2" s="52">
        <v>46304</v>
      </c>
      <c r="L2" s="53" t="s">
        <v>473</v>
      </c>
      <c r="M2" s="53" t="s">
        <v>93</v>
      </c>
      <c r="N2" s="53" t="s">
        <v>74</v>
      </c>
      <c r="O2" s="54">
        <v>38278</v>
      </c>
      <c r="P2" s="55">
        <v>137196</v>
      </c>
    </row>
    <row r="3" spans="1:16" x14ac:dyDescent="0.25">
      <c r="A3" s="40">
        <f>A2+1</f>
        <v>46305</v>
      </c>
      <c r="B3" s="31" t="s">
        <v>474</v>
      </c>
      <c r="C3" s="31" t="s">
        <v>185</v>
      </c>
      <c r="D3" s="31" t="s">
        <v>57</v>
      </c>
      <c r="E3" s="32">
        <v>64256</v>
      </c>
      <c r="F3" s="39">
        <v>58289</v>
      </c>
      <c r="K3" s="56">
        <f>K2+1</f>
        <v>46305</v>
      </c>
      <c r="L3" s="53" t="s">
        <v>474</v>
      </c>
      <c r="M3" s="53" t="s">
        <v>185</v>
      </c>
      <c r="N3" s="53" t="s">
        <v>57</v>
      </c>
      <c r="O3" s="54">
        <v>64256</v>
      </c>
      <c r="P3" s="55">
        <v>58289</v>
      </c>
    </row>
    <row r="4" spans="1:16" x14ac:dyDescent="0.25">
      <c r="A4" s="40">
        <f t="shared" ref="A4:A51" si="0">A3+1</f>
        <v>46306</v>
      </c>
      <c r="B4" s="31" t="s">
        <v>475</v>
      </c>
      <c r="C4" s="31" t="s">
        <v>93</v>
      </c>
      <c r="D4" s="31" t="s">
        <v>74</v>
      </c>
      <c r="E4" s="32">
        <v>123696</v>
      </c>
      <c r="F4" s="39">
        <v>137080</v>
      </c>
      <c r="K4" s="56">
        <f t="shared" ref="K4:K51" si="1">K3+1</f>
        <v>46306</v>
      </c>
      <c r="L4" s="53" t="s">
        <v>475</v>
      </c>
      <c r="M4" s="53" t="s">
        <v>93</v>
      </c>
      <c r="N4" s="53" t="s">
        <v>74</v>
      </c>
      <c r="O4" s="54">
        <v>123696</v>
      </c>
      <c r="P4" s="55">
        <v>137080</v>
      </c>
    </row>
    <row r="5" spans="1:16" x14ac:dyDescent="0.25">
      <c r="A5" s="40">
        <f t="shared" si="0"/>
        <v>46307</v>
      </c>
      <c r="B5" s="31" t="s">
        <v>476</v>
      </c>
      <c r="C5" s="31" t="s">
        <v>80</v>
      </c>
      <c r="D5" s="31" t="s">
        <v>74</v>
      </c>
      <c r="E5" s="32">
        <v>112397</v>
      </c>
      <c r="F5" s="39">
        <v>95302</v>
      </c>
      <c r="K5" s="56">
        <f t="shared" si="1"/>
        <v>46307</v>
      </c>
      <c r="L5" s="53" t="s">
        <v>476</v>
      </c>
      <c r="M5" s="53" t="s">
        <v>80</v>
      </c>
      <c r="N5" s="53" t="s">
        <v>74</v>
      </c>
      <c r="O5" s="54">
        <v>112397</v>
      </c>
      <c r="P5" s="55">
        <v>95302</v>
      </c>
    </row>
    <row r="6" spans="1:16" x14ac:dyDescent="0.25">
      <c r="A6" s="40">
        <f t="shared" si="0"/>
        <v>46308</v>
      </c>
      <c r="B6" s="31" t="s">
        <v>477</v>
      </c>
      <c r="C6" s="31" t="s">
        <v>134</v>
      </c>
      <c r="D6" s="31" t="s">
        <v>74</v>
      </c>
      <c r="E6" s="32">
        <v>47280</v>
      </c>
      <c r="F6" s="39">
        <v>68657</v>
      </c>
      <c r="K6" s="56">
        <f t="shared" si="1"/>
        <v>46308</v>
      </c>
      <c r="L6" s="53" t="s">
        <v>477</v>
      </c>
      <c r="M6" s="53" t="s">
        <v>134</v>
      </c>
      <c r="N6" s="53" t="s">
        <v>74</v>
      </c>
      <c r="O6" s="54">
        <v>47280</v>
      </c>
      <c r="P6" s="55">
        <v>68657</v>
      </c>
    </row>
    <row r="7" spans="1:16" x14ac:dyDescent="0.25">
      <c r="A7" s="40">
        <f t="shared" si="0"/>
        <v>46309</v>
      </c>
      <c r="B7" s="31" t="s">
        <v>478</v>
      </c>
      <c r="C7" s="31" t="s">
        <v>45</v>
      </c>
      <c r="D7" s="31" t="s">
        <v>74</v>
      </c>
      <c r="E7" s="32">
        <v>108563</v>
      </c>
      <c r="F7" s="39">
        <v>66062</v>
      </c>
      <c r="K7" s="56">
        <f t="shared" si="1"/>
        <v>46309</v>
      </c>
      <c r="L7" s="53" t="s">
        <v>478</v>
      </c>
      <c r="M7" s="53" t="s">
        <v>45</v>
      </c>
      <c r="N7" s="53" t="s">
        <v>74</v>
      </c>
      <c r="O7" s="54">
        <v>108563</v>
      </c>
      <c r="P7" s="55">
        <v>66062</v>
      </c>
    </row>
    <row r="8" spans="1:16" x14ac:dyDescent="0.25">
      <c r="A8" s="40">
        <f t="shared" si="0"/>
        <v>46310</v>
      </c>
      <c r="B8" s="31" t="s">
        <v>479</v>
      </c>
      <c r="C8" s="31" t="s">
        <v>93</v>
      </c>
      <c r="D8" s="31" t="s">
        <v>87</v>
      </c>
      <c r="E8" s="32">
        <v>63893</v>
      </c>
      <c r="F8" s="39">
        <v>98878</v>
      </c>
      <c r="K8" s="56">
        <f t="shared" si="1"/>
        <v>46310</v>
      </c>
      <c r="L8" s="53" t="s">
        <v>479</v>
      </c>
      <c r="M8" s="53" t="s">
        <v>93</v>
      </c>
      <c r="N8" s="53" t="s">
        <v>87</v>
      </c>
      <c r="O8" s="54">
        <v>63893</v>
      </c>
      <c r="P8" s="55">
        <v>98878</v>
      </c>
    </row>
    <row r="9" spans="1:16" x14ac:dyDescent="0.25">
      <c r="A9" s="40">
        <f t="shared" si="0"/>
        <v>46311</v>
      </c>
      <c r="B9" s="31" t="s">
        <v>480</v>
      </c>
      <c r="C9" s="31" t="s">
        <v>80</v>
      </c>
      <c r="D9" s="31" t="s">
        <v>123</v>
      </c>
      <c r="E9" s="32">
        <v>141093</v>
      </c>
      <c r="F9" s="39">
        <v>40851</v>
      </c>
      <c r="K9" s="56">
        <f t="shared" si="1"/>
        <v>46311</v>
      </c>
      <c r="L9" s="53" t="s">
        <v>480</v>
      </c>
      <c r="M9" s="53" t="s">
        <v>80</v>
      </c>
      <c r="N9" s="53" t="s">
        <v>123</v>
      </c>
      <c r="O9" s="54">
        <v>141093</v>
      </c>
      <c r="P9" s="55">
        <v>40851</v>
      </c>
    </row>
    <row r="10" spans="1:16" x14ac:dyDescent="0.25">
      <c r="A10" s="40">
        <f t="shared" si="0"/>
        <v>46312</v>
      </c>
      <c r="B10" s="31" t="s">
        <v>481</v>
      </c>
      <c r="C10" s="31" t="s">
        <v>45</v>
      </c>
      <c r="D10" s="31" t="s">
        <v>87</v>
      </c>
      <c r="E10" s="32">
        <v>79597</v>
      </c>
      <c r="F10" s="39">
        <v>76421</v>
      </c>
      <c r="K10" s="56">
        <f t="shared" si="1"/>
        <v>46312</v>
      </c>
      <c r="L10" s="53" t="s">
        <v>481</v>
      </c>
      <c r="M10" s="53" t="s">
        <v>45</v>
      </c>
      <c r="N10" s="53" t="s">
        <v>87</v>
      </c>
      <c r="O10" s="54">
        <v>79597</v>
      </c>
      <c r="P10" s="55">
        <v>76421</v>
      </c>
    </row>
    <row r="11" spans="1:16" x14ac:dyDescent="0.25">
      <c r="A11" s="40">
        <f t="shared" si="0"/>
        <v>46313</v>
      </c>
      <c r="B11" s="31" t="s">
        <v>482</v>
      </c>
      <c r="C11" s="31" t="s">
        <v>45</v>
      </c>
      <c r="D11" s="31" t="s">
        <v>57</v>
      </c>
      <c r="E11" s="32">
        <v>135072</v>
      </c>
      <c r="F11" s="39">
        <v>84118</v>
      </c>
      <c r="K11" s="56">
        <f t="shared" si="1"/>
        <v>46313</v>
      </c>
      <c r="L11" s="53" t="s">
        <v>482</v>
      </c>
      <c r="M11" s="53" t="s">
        <v>45</v>
      </c>
      <c r="N11" s="53" t="s">
        <v>57</v>
      </c>
      <c r="O11" s="54">
        <v>135072</v>
      </c>
      <c r="P11" s="55">
        <v>84118</v>
      </c>
    </row>
    <row r="12" spans="1:16" x14ac:dyDescent="0.25">
      <c r="A12" s="40">
        <f t="shared" si="0"/>
        <v>46314</v>
      </c>
      <c r="B12" s="31" t="s">
        <v>483</v>
      </c>
      <c r="C12" s="31" t="s">
        <v>134</v>
      </c>
      <c r="D12" s="31" t="s">
        <v>74</v>
      </c>
      <c r="E12" s="32">
        <v>84797</v>
      </c>
      <c r="F12" s="39">
        <v>52676</v>
      </c>
      <c r="K12" s="56">
        <f t="shared" si="1"/>
        <v>46314</v>
      </c>
      <c r="L12" s="53" t="s">
        <v>483</v>
      </c>
      <c r="M12" s="53" t="s">
        <v>134</v>
      </c>
      <c r="N12" s="53" t="s">
        <v>74</v>
      </c>
      <c r="O12" s="54">
        <v>84797</v>
      </c>
      <c r="P12" s="55">
        <v>52676</v>
      </c>
    </row>
    <row r="13" spans="1:16" x14ac:dyDescent="0.25">
      <c r="A13" s="40">
        <f t="shared" si="0"/>
        <v>46315</v>
      </c>
      <c r="B13" s="31" t="s">
        <v>484</v>
      </c>
      <c r="C13" s="31" t="s">
        <v>185</v>
      </c>
      <c r="D13" s="31" t="s">
        <v>123</v>
      </c>
      <c r="E13" s="32">
        <v>20000</v>
      </c>
      <c r="F13" s="39">
        <v>74671</v>
      </c>
      <c r="K13" s="56">
        <f t="shared" si="1"/>
        <v>46315</v>
      </c>
      <c r="L13" s="53" t="s">
        <v>484</v>
      </c>
      <c r="M13" s="53" t="s">
        <v>185</v>
      </c>
      <c r="N13" s="53" t="s">
        <v>123</v>
      </c>
      <c r="O13" s="54">
        <v>20000</v>
      </c>
      <c r="P13" s="55">
        <v>74671</v>
      </c>
    </row>
    <row r="14" spans="1:16" x14ac:dyDescent="0.25">
      <c r="A14" s="40">
        <f t="shared" si="0"/>
        <v>46316</v>
      </c>
      <c r="B14" s="31" t="s">
        <v>485</v>
      </c>
      <c r="C14" s="31" t="s">
        <v>134</v>
      </c>
      <c r="D14" s="31" t="s">
        <v>87</v>
      </c>
      <c r="E14" s="32">
        <v>105284</v>
      </c>
      <c r="F14" s="39">
        <v>56361</v>
      </c>
      <c r="K14" s="56">
        <f t="shared" si="1"/>
        <v>46316</v>
      </c>
      <c r="L14" s="53" t="s">
        <v>485</v>
      </c>
      <c r="M14" s="53" t="s">
        <v>134</v>
      </c>
      <c r="N14" s="53" t="s">
        <v>87</v>
      </c>
      <c r="O14" s="54">
        <v>105284</v>
      </c>
      <c r="P14" s="55">
        <v>56361</v>
      </c>
    </row>
    <row r="15" spans="1:16" x14ac:dyDescent="0.25">
      <c r="A15" s="40">
        <f t="shared" si="0"/>
        <v>46317</v>
      </c>
      <c r="B15" s="31" t="s">
        <v>486</v>
      </c>
      <c r="C15" s="31" t="s">
        <v>126</v>
      </c>
      <c r="D15" s="31" t="s">
        <v>74</v>
      </c>
      <c r="E15" s="32">
        <v>20000</v>
      </c>
      <c r="F15" s="39">
        <v>78427</v>
      </c>
      <c r="K15" s="56">
        <f t="shared" si="1"/>
        <v>46317</v>
      </c>
      <c r="L15" s="53" t="s">
        <v>486</v>
      </c>
      <c r="M15" s="53" t="s">
        <v>126</v>
      </c>
      <c r="N15" s="53" t="s">
        <v>74</v>
      </c>
      <c r="O15" s="54">
        <v>20000</v>
      </c>
      <c r="P15" s="55">
        <v>78427</v>
      </c>
    </row>
    <row r="16" spans="1:16" x14ac:dyDescent="0.25">
      <c r="A16" s="40">
        <f t="shared" si="0"/>
        <v>46318</v>
      </c>
      <c r="B16" s="31" t="s">
        <v>487</v>
      </c>
      <c r="C16" s="31" t="s">
        <v>93</v>
      </c>
      <c r="D16" s="31" t="s">
        <v>123</v>
      </c>
      <c r="E16" s="32">
        <v>110674</v>
      </c>
      <c r="F16" s="39">
        <v>65203</v>
      </c>
      <c r="K16" s="56">
        <f t="shared" si="1"/>
        <v>46318</v>
      </c>
      <c r="L16" s="53" t="s">
        <v>487</v>
      </c>
      <c r="M16" s="53" t="s">
        <v>93</v>
      </c>
      <c r="N16" s="53" t="s">
        <v>123</v>
      </c>
      <c r="O16" s="54">
        <v>110674</v>
      </c>
      <c r="P16" s="55">
        <v>65203</v>
      </c>
    </row>
    <row r="17" spans="1:16" x14ac:dyDescent="0.25">
      <c r="A17" s="40">
        <f t="shared" si="0"/>
        <v>46319</v>
      </c>
      <c r="B17" s="31" t="s">
        <v>488</v>
      </c>
      <c r="C17" s="31" t="s">
        <v>93</v>
      </c>
      <c r="D17" s="31" t="s">
        <v>74</v>
      </c>
      <c r="E17" s="32">
        <v>41006</v>
      </c>
      <c r="F17" s="39">
        <v>126673</v>
      </c>
      <c r="K17" s="56">
        <f t="shared" si="1"/>
        <v>46319</v>
      </c>
      <c r="L17" s="53" t="s">
        <v>488</v>
      </c>
      <c r="M17" s="53" t="s">
        <v>93</v>
      </c>
      <c r="N17" s="53" t="s">
        <v>74</v>
      </c>
      <c r="O17" s="54">
        <v>41006</v>
      </c>
      <c r="P17" s="55">
        <v>126673</v>
      </c>
    </row>
    <row r="18" spans="1:16" x14ac:dyDescent="0.25">
      <c r="A18" s="40">
        <f t="shared" si="0"/>
        <v>46320</v>
      </c>
      <c r="B18" s="31" t="s">
        <v>489</v>
      </c>
      <c r="C18" s="31" t="s">
        <v>45</v>
      </c>
      <c r="D18" s="31" t="s">
        <v>123</v>
      </c>
      <c r="E18" s="32">
        <v>45458</v>
      </c>
      <c r="F18" s="39">
        <v>70512</v>
      </c>
      <c r="K18" s="56">
        <f t="shared" si="1"/>
        <v>46320</v>
      </c>
      <c r="L18" s="53" t="s">
        <v>489</v>
      </c>
      <c r="M18" s="53" t="s">
        <v>45</v>
      </c>
      <c r="N18" s="53" t="s">
        <v>123</v>
      </c>
      <c r="O18" s="54">
        <v>45458</v>
      </c>
      <c r="P18" s="55">
        <v>70512</v>
      </c>
    </row>
    <row r="19" spans="1:16" x14ac:dyDescent="0.25">
      <c r="A19" s="40">
        <f t="shared" si="0"/>
        <v>46321</v>
      </c>
      <c r="B19" s="31" t="s">
        <v>490</v>
      </c>
      <c r="C19" s="31" t="s">
        <v>134</v>
      </c>
      <c r="D19" s="31" t="s">
        <v>87</v>
      </c>
      <c r="E19" s="32">
        <v>71434</v>
      </c>
      <c r="F19" s="39">
        <v>99429</v>
      </c>
      <c r="K19" s="56">
        <f t="shared" si="1"/>
        <v>46321</v>
      </c>
      <c r="L19" s="53" t="s">
        <v>490</v>
      </c>
      <c r="M19" s="53" t="s">
        <v>134</v>
      </c>
      <c r="N19" s="53" t="s">
        <v>87</v>
      </c>
      <c r="O19" s="54">
        <v>71434</v>
      </c>
      <c r="P19" s="55">
        <v>99429</v>
      </c>
    </row>
    <row r="20" spans="1:16" x14ac:dyDescent="0.25">
      <c r="A20" s="40">
        <f t="shared" si="0"/>
        <v>46322</v>
      </c>
      <c r="B20" s="31" t="s">
        <v>491</v>
      </c>
      <c r="C20" s="31" t="s">
        <v>93</v>
      </c>
      <c r="D20" s="31" t="s">
        <v>123</v>
      </c>
      <c r="E20" s="32">
        <v>56319</v>
      </c>
      <c r="F20" s="39">
        <v>88520</v>
      </c>
      <c r="K20" s="56">
        <f t="shared" si="1"/>
        <v>46322</v>
      </c>
      <c r="L20" s="53" t="s">
        <v>491</v>
      </c>
      <c r="M20" s="53" t="s">
        <v>93</v>
      </c>
      <c r="N20" s="53" t="s">
        <v>123</v>
      </c>
      <c r="O20" s="54">
        <v>56319</v>
      </c>
      <c r="P20" s="55">
        <v>88520</v>
      </c>
    </row>
    <row r="21" spans="1:16" x14ac:dyDescent="0.25">
      <c r="A21" s="40">
        <f t="shared" si="0"/>
        <v>46323</v>
      </c>
      <c r="B21" s="31" t="s">
        <v>492</v>
      </c>
      <c r="C21" s="31" t="s">
        <v>185</v>
      </c>
      <c r="D21" s="31" t="s">
        <v>57</v>
      </c>
      <c r="E21" s="32">
        <v>122841</v>
      </c>
      <c r="F21" s="39">
        <v>74993</v>
      </c>
      <c r="K21" s="56">
        <f t="shared" si="1"/>
        <v>46323</v>
      </c>
      <c r="L21" s="53" t="s">
        <v>492</v>
      </c>
      <c r="M21" s="53" t="s">
        <v>185</v>
      </c>
      <c r="N21" s="53" t="s">
        <v>57</v>
      </c>
      <c r="O21" s="54">
        <v>122841</v>
      </c>
      <c r="P21" s="55">
        <v>74993</v>
      </c>
    </row>
    <row r="22" spans="1:16" x14ac:dyDescent="0.25">
      <c r="A22" s="40">
        <f t="shared" si="0"/>
        <v>46324</v>
      </c>
      <c r="B22" s="31" t="s">
        <v>493</v>
      </c>
      <c r="C22" s="31" t="s">
        <v>93</v>
      </c>
      <c r="D22" s="31" t="s">
        <v>74</v>
      </c>
      <c r="E22" s="32">
        <v>114840</v>
      </c>
      <c r="F22" s="39">
        <v>123227</v>
      </c>
      <c r="K22" s="56">
        <f t="shared" si="1"/>
        <v>46324</v>
      </c>
      <c r="L22" s="53" t="s">
        <v>493</v>
      </c>
      <c r="M22" s="53" t="s">
        <v>93</v>
      </c>
      <c r="N22" s="53" t="s">
        <v>74</v>
      </c>
      <c r="O22" s="54">
        <v>114840</v>
      </c>
      <c r="P22" s="55">
        <v>123227</v>
      </c>
    </row>
    <row r="23" spans="1:16" x14ac:dyDescent="0.25">
      <c r="A23" s="40">
        <f t="shared" si="0"/>
        <v>46325</v>
      </c>
      <c r="B23" s="31" t="s">
        <v>494</v>
      </c>
      <c r="C23" s="31" t="s">
        <v>45</v>
      </c>
      <c r="D23" s="31" t="s">
        <v>57</v>
      </c>
      <c r="E23" s="32">
        <v>56417</v>
      </c>
      <c r="F23" s="39">
        <v>100589</v>
      </c>
      <c r="K23" s="56">
        <f t="shared" si="1"/>
        <v>46325</v>
      </c>
      <c r="L23" s="53" t="s">
        <v>494</v>
      </c>
      <c r="M23" s="53" t="s">
        <v>45</v>
      </c>
      <c r="N23" s="53" t="s">
        <v>57</v>
      </c>
      <c r="O23" s="54">
        <v>56417</v>
      </c>
      <c r="P23" s="55">
        <v>100589</v>
      </c>
    </row>
    <row r="24" spans="1:16" x14ac:dyDescent="0.25">
      <c r="A24" s="40">
        <f t="shared" si="0"/>
        <v>46326</v>
      </c>
      <c r="B24" s="31" t="s">
        <v>495</v>
      </c>
      <c r="C24" s="31" t="s">
        <v>126</v>
      </c>
      <c r="D24" s="31" t="s">
        <v>123</v>
      </c>
      <c r="E24" s="32">
        <v>118886</v>
      </c>
      <c r="F24" s="39">
        <v>130198</v>
      </c>
      <c r="K24" s="56">
        <f t="shared" si="1"/>
        <v>46326</v>
      </c>
      <c r="L24" s="53" t="s">
        <v>495</v>
      </c>
      <c r="M24" s="53" t="s">
        <v>126</v>
      </c>
      <c r="N24" s="53" t="s">
        <v>123</v>
      </c>
      <c r="O24" s="54">
        <v>118886</v>
      </c>
      <c r="P24" s="55">
        <v>130198</v>
      </c>
    </row>
    <row r="25" spans="1:16" x14ac:dyDescent="0.25">
      <c r="A25" s="40">
        <f t="shared" si="0"/>
        <v>46327</v>
      </c>
      <c r="B25" s="31" t="s">
        <v>496</v>
      </c>
      <c r="C25" s="31" t="s">
        <v>80</v>
      </c>
      <c r="D25" s="31" t="s">
        <v>57</v>
      </c>
      <c r="E25" s="32">
        <v>124733</v>
      </c>
      <c r="F25" s="39">
        <v>82504</v>
      </c>
      <c r="K25" s="56">
        <f t="shared" si="1"/>
        <v>46327</v>
      </c>
      <c r="L25" s="53" t="s">
        <v>496</v>
      </c>
      <c r="M25" s="53" t="s">
        <v>80</v>
      </c>
      <c r="N25" s="53" t="s">
        <v>57</v>
      </c>
      <c r="O25" s="54">
        <v>124733</v>
      </c>
      <c r="P25" s="55">
        <v>82504</v>
      </c>
    </row>
    <row r="26" spans="1:16" x14ac:dyDescent="0.25">
      <c r="A26" s="40">
        <f t="shared" si="0"/>
        <v>46328</v>
      </c>
      <c r="B26" s="31" t="s">
        <v>497</v>
      </c>
      <c r="C26" s="31" t="s">
        <v>134</v>
      </c>
      <c r="D26" s="31" t="s">
        <v>57</v>
      </c>
      <c r="E26" s="32">
        <v>142715</v>
      </c>
      <c r="F26" s="39">
        <v>44207</v>
      </c>
      <c r="K26" s="56">
        <f t="shared" si="1"/>
        <v>46328</v>
      </c>
      <c r="L26" s="53" t="s">
        <v>497</v>
      </c>
      <c r="M26" s="53" t="s">
        <v>134</v>
      </c>
      <c r="N26" s="53" t="s">
        <v>57</v>
      </c>
      <c r="O26" s="54">
        <v>142715</v>
      </c>
      <c r="P26" s="55">
        <v>44207</v>
      </c>
    </row>
    <row r="27" spans="1:16" x14ac:dyDescent="0.25">
      <c r="A27" s="40">
        <f t="shared" si="0"/>
        <v>46329</v>
      </c>
      <c r="B27" s="31" t="s">
        <v>498</v>
      </c>
      <c r="C27" s="31" t="s">
        <v>185</v>
      </c>
      <c r="D27" s="31" t="s">
        <v>87</v>
      </c>
      <c r="E27" s="32">
        <v>70093</v>
      </c>
      <c r="F27" s="39">
        <v>48675</v>
      </c>
      <c r="K27" s="56">
        <f t="shared" si="1"/>
        <v>46329</v>
      </c>
      <c r="L27" s="53" t="s">
        <v>498</v>
      </c>
      <c r="M27" s="53" t="s">
        <v>185</v>
      </c>
      <c r="N27" s="53" t="s">
        <v>87</v>
      </c>
      <c r="O27" s="54">
        <v>70093</v>
      </c>
      <c r="P27" s="55">
        <v>48675</v>
      </c>
    </row>
    <row r="28" spans="1:16" x14ac:dyDescent="0.25">
      <c r="A28" s="40">
        <f t="shared" si="0"/>
        <v>46330</v>
      </c>
      <c r="B28" s="31" t="s">
        <v>499</v>
      </c>
      <c r="C28" s="31" t="s">
        <v>45</v>
      </c>
      <c r="D28" s="31" t="s">
        <v>123</v>
      </c>
      <c r="E28" s="32">
        <v>62869</v>
      </c>
      <c r="F28" s="39">
        <v>125909</v>
      </c>
      <c r="K28" s="56">
        <f t="shared" si="1"/>
        <v>46330</v>
      </c>
      <c r="L28" s="53" t="s">
        <v>499</v>
      </c>
      <c r="M28" s="53" t="s">
        <v>45</v>
      </c>
      <c r="N28" s="53" t="s">
        <v>123</v>
      </c>
      <c r="O28" s="54">
        <v>62869</v>
      </c>
      <c r="P28" s="55">
        <v>125909</v>
      </c>
    </row>
    <row r="29" spans="1:16" x14ac:dyDescent="0.25">
      <c r="A29" s="40">
        <f t="shared" si="0"/>
        <v>46331</v>
      </c>
      <c r="B29" s="31" t="s">
        <v>500</v>
      </c>
      <c r="C29" s="31" t="s">
        <v>126</v>
      </c>
      <c r="D29" s="31" t="s">
        <v>87</v>
      </c>
      <c r="E29" s="32">
        <v>119259</v>
      </c>
      <c r="F29" s="39">
        <v>100142</v>
      </c>
      <c r="K29" s="56">
        <f t="shared" si="1"/>
        <v>46331</v>
      </c>
      <c r="L29" s="53" t="s">
        <v>500</v>
      </c>
      <c r="M29" s="53" t="s">
        <v>126</v>
      </c>
      <c r="N29" s="53" t="s">
        <v>87</v>
      </c>
      <c r="O29" s="54">
        <v>119259</v>
      </c>
      <c r="P29" s="55">
        <v>100142</v>
      </c>
    </row>
    <row r="30" spans="1:16" x14ac:dyDescent="0.25">
      <c r="A30" s="40">
        <f t="shared" si="0"/>
        <v>46332</v>
      </c>
      <c r="B30" s="31" t="s">
        <v>501</v>
      </c>
      <c r="C30" s="31" t="s">
        <v>45</v>
      </c>
      <c r="D30" s="31" t="s">
        <v>123</v>
      </c>
      <c r="E30" s="32">
        <v>53301</v>
      </c>
      <c r="F30" s="39">
        <v>72325</v>
      </c>
      <c r="K30" s="56">
        <f t="shared" si="1"/>
        <v>46332</v>
      </c>
      <c r="L30" s="53" t="s">
        <v>501</v>
      </c>
      <c r="M30" s="53" t="s">
        <v>45</v>
      </c>
      <c r="N30" s="53" t="s">
        <v>123</v>
      </c>
      <c r="O30" s="54">
        <v>53301</v>
      </c>
      <c r="P30" s="55">
        <v>72325</v>
      </c>
    </row>
    <row r="31" spans="1:16" x14ac:dyDescent="0.25">
      <c r="A31" s="40">
        <f t="shared" si="0"/>
        <v>46333</v>
      </c>
      <c r="B31" s="31" t="s">
        <v>502</v>
      </c>
      <c r="C31" s="31" t="s">
        <v>93</v>
      </c>
      <c r="D31" s="31" t="s">
        <v>123</v>
      </c>
      <c r="E31" s="32">
        <v>132912</v>
      </c>
      <c r="F31" s="39">
        <v>116622</v>
      </c>
      <c r="K31" s="56">
        <f t="shared" si="1"/>
        <v>46333</v>
      </c>
      <c r="L31" s="53" t="s">
        <v>502</v>
      </c>
      <c r="M31" s="53" t="s">
        <v>93</v>
      </c>
      <c r="N31" s="53" t="s">
        <v>123</v>
      </c>
      <c r="O31" s="54">
        <v>132912</v>
      </c>
      <c r="P31" s="55">
        <v>116622</v>
      </c>
    </row>
    <row r="32" spans="1:16" x14ac:dyDescent="0.25">
      <c r="A32" s="40">
        <f t="shared" si="0"/>
        <v>46334</v>
      </c>
      <c r="B32" s="31" t="s">
        <v>503</v>
      </c>
      <c r="C32" s="31" t="s">
        <v>126</v>
      </c>
      <c r="D32" s="31" t="s">
        <v>87</v>
      </c>
      <c r="E32" s="32">
        <v>82447</v>
      </c>
      <c r="F32" s="39">
        <v>68746</v>
      </c>
      <c r="K32" s="56">
        <f t="shared" si="1"/>
        <v>46334</v>
      </c>
      <c r="L32" s="53" t="s">
        <v>503</v>
      </c>
      <c r="M32" s="53" t="s">
        <v>126</v>
      </c>
      <c r="N32" s="53" t="s">
        <v>87</v>
      </c>
      <c r="O32" s="54">
        <v>82447</v>
      </c>
      <c r="P32" s="55">
        <v>68746</v>
      </c>
    </row>
    <row r="33" spans="1:16" x14ac:dyDescent="0.25">
      <c r="A33" s="40">
        <f t="shared" si="0"/>
        <v>46335</v>
      </c>
      <c r="B33" s="31" t="s">
        <v>504</v>
      </c>
      <c r="C33" s="31" t="s">
        <v>45</v>
      </c>
      <c r="D33" s="31" t="s">
        <v>87</v>
      </c>
      <c r="E33" s="32">
        <v>46915</v>
      </c>
      <c r="F33" s="39">
        <v>139061</v>
      </c>
      <c r="K33" s="56">
        <f t="shared" si="1"/>
        <v>46335</v>
      </c>
      <c r="L33" s="53" t="s">
        <v>504</v>
      </c>
      <c r="M33" s="53" t="s">
        <v>45</v>
      </c>
      <c r="N33" s="53" t="s">
        <v>87</v>
      </c>
      <c r="O33" s="54">
        <v>46915</v>
      </c>
      <c r="P33" s="55">
        <v>139061</v>
      </c>
    </row>
    <row r="34" spans="1:16" x14ac:dyDescent="0.25">
      <c r="A34" s="40">
        <f t="shared" si="0"/>
        <v>46336</v>
      </c>
      <c r="B34" s="31" t="s">
        <v>505</v>
      </c>
      <c r="C34" s="31" t="s">
        <v>134</v>
      </c>
      <c r="D34" s="31" t="s">
        <v>74</v>
      </c>
      <c r="E34" s="32">
        <v>55033</v>
      </c>
      <c r="F34" s="39">
        <v>122240</v>
      </c>
      <c r="K34" s="56">
        <f t="shared" si="1"/>
        <v>46336</v>
      </c>
      <c r="L34" s="53" t="s">
        <v>505</v>
      </c>
      <c r="M34" s="53" t="s">
        <v>134</v>
      </c>
      <c r="N34" s="53" t="s">
        <v>74</v>
      </c>
      <c r="O34" s="54">
        <v>55033</v>
      </c>
      <c r="P34" s="55">
        <v>122240</v>
      </c>
    </row>
    <row r="35" spans="1:16" x14ac:dyDescent="0.25">
      <c r="A35" s="40">
        <f t="shared" si="0"/>
        <v>46337</v>
      </c>
      <c r="B35" s="31" t="s">
        <v>506</v>
      </c>
      <c r="C35" s="31" t="s">
        <v>45</v>
      </c>
      <c r="D35" s="31" t="s">
        <v>87</v>
      </c>
      <c r="E35" s="32">
        <v>113172</v>
      </c>
      <c r="F35" s="39">
        <v>48326</v>
      </c>
      <c r="K35" s="56">
        <f t="shared" si="1"/>
        <v>46337</v>
      </c>
      <c r="L35" s="53" t="s">
        <v>506</v>
      </c>
      <c r="M35" s="53" t="s">
        <v>45</v>
      </c>
      <c r="N35" s="53" t="s">
        <v>87</v>
      </c>
      <c r="O35" s="54">
        <v>113172</v>
      </c>
      <c r="P35" s="55">
        <v>48326</v>
      </c>
    </row>
    <row r="36" spans="1:16" x14ac:dyDescent="0.25">
      <c r="A36" s="40">
        <f t="shared" si="0"/>
        <v>46338</v>
      </c>
      <c r="B36" s="31" t="s">
        <v>507</v>
      </c>
      <c r="C36" s="31" t="s">
        <v>126</v>
      </c>
      <c r="D36" s="31" t="s">
        <v>87</v>
      </c>
      <c r="E36" s="32">
        <v>113104</v>
      </c>
      <c r="F36" s="39">
        <v>101348</v>
      </c>
      <c r="K36" s="56">
        <f t="shared" si="1"/>
        <v>46338</v>
      </c>
      <c r="L36" s="53" t="s">
        <v>507</v>
      </c>
      <c r="M36" s="53" t="s">
        <v>126</v>
      </c>
      <c r="N36" s="53" t="s">
        <v>87</v>
      </c>
      <c r="O36" s="54">
        <v>113104</v>
      </c>
      <c r="P36" s="55">
        <v>101348</v>
      </c>
    </row>
    <row r="37" spans="1:16" x14ac:dyDescent="0.25">
      <c r="A37" s="40">
        <f t="shared" si="0"/>
        <v>46339</v>
      </c>
      <c r="B37" s="31" t="s">
        <v>508</v>
      </c>
      <c r="C37" s="31" t="s">
        <v>80</v>
      </c>
      <c r="D37" s="31" t="s">
        <v>123</v>
      </c>
      <c r="E37" s="32">
        <v>20000</v>
      </c>
      <c r="F37" s="39">
        <v>41504</v>
      </c>
      <c r="K37" s="56">
        <f t="shared" si="1"/>
        <v>46339</v>
      </c>
      <c r="L37" s="53" t="s">
        <v>508</v>
      </c>
      <c r="M37" s="53" t="s">
        <v>80</v>
      </c>
      <c r="N37" s="53" t="s">
        <v>123</v>
      </c>
      <c r="O37" s="54">
        <v>20000</v>
      </c>
      <c r="P37" s="55">
        <v>41504</v>
      </c>
    </row>
    <row r="38" spans="1:16" x14ac:dyDescent="0.25">
      <c r="A38" s="40">
        <f t="shared" si="0"/>
        <v>46340</v>
      </c>
      <c r="B38" s="31" t="s">
        <v>509</v>
      </c>
      <c r="C38" s="31" t="s">
        <v>93</v>
      </c>
      <c r="D38" s="31" t="s">
        <v>74</v>
      </c>
      <c r="E38" s="32">
        <v>124353</v>
      </c>
      <c r="F38" s="39">
        <v>109163</v>
      </c>
      <c r="K38" s="56">
        <f t="shared" si="1"/>
        <v>46340</v>
      </c>
      <c r="L38" s="53" t="s">
        <v>509</v>
      </c>
      <c r="M38" s="53" t="s">
        <v>93</v>
      </c>
      <c r="N38" s="53" t="s">
        <v>74</v>
      </c>
      <c r="O38" s="54">
        <v>124353</v>
      </c>
      <c r="P38" s="55">
        <v>109163</v>
      </c>
    </row>
    <row r="39" spans="1:16" x14ac:dyDescent="0.25">
      <c r="A39" s="40">
        <f t="shared" si="0"/>
        <v>46341</v>
      </c>
      <c r="B39" s="31" t="s">
        <v>510</v>
      </c>
      <c r="C39" s="31" t="s">
        <v>185</v>
      </c>
      <c r="D39" s="31" t="s">
        <v>123</v>
      </c>
      <c r="E39" s="32">
        <v>49621</v>
      </c>
      <c r="F39" s="39">
        <v>78469</v>
      </c>
      <c r="K39" s="56">
        <f t="shared" si="1"/>
        <v>46341</v>
      </c>
      <c r="L39" s="53" t="s">
        <v>510</v>
      </c>
      <c r="M39" s="53" t="s">
        <v>185</v>
      </c>
      <c r="N39" s="53" t="s">
        <v>123</v>
      </c>
      <c r="O39" s="54">
        <v>49621</v>
      </c>
      <c r="P39" s="55">
        <v>78469</v>
      </c>
    </row>
    <row r="40" spans="1:16" x14ac:dyDescent="0.25">
      <c r="A40" s="40">
        <f t="shared" si="0"/>
        <v>46342</v>
      </c>
      <c r="B40" s="31" t="s">
        <v>511</v>
      </c>
      <c r="C40" s="31" t="s">
        <v>126</v>
      </c>
      <c r="D40" s="31" t="s">
        <v>57</v>
      </c>
      <c r="E40" s="32">
        <v>94470</v>
      </c>
      <c r="F40" s="39">
        <v>40425</v>
      </c>
      <c r="K40" s="56">
        <f t="shared" si="1"/>
        <v>46342</v>
      </c>
      <c r="L40" s="53" t="s">
        <v>511</v>
      </c>
      <c r="M40" s="53" t="s">
        <v>126</v>
      </c>
      <c r="N40" s="53" t="s">
        <v>57</v>
      </c>
      <c r="O40" s="54">
        <v>94470</v>
      </c>
      <c r="P40" s="55">
        <v>40425</v>
      </c>
    </row>
    <row r="41" spans="1:16" x14ac:dyDescent="0.25">
      <c r="A41" s="40">
        <f t="shared" si="0"/>
        <v>46343</v>
      </c>
      <c r="B41" s="31" t="s">
        <v>512</v>
      </c>
      <c r="C41" s="31" t="s">
        <v>93</v>
      </c>
      <c r="D41" s="31" t="s">
        <v>123</v>
      </c>
      <c r="E41" s="32">
        <v>100612</v>
      </c>
      <c r="F41" s="39">
        <v>139871</v>
      </c>
      <c r="K41" s="56">
        <f t="shared" si="1"/>
        <v>46343</v>
      </c>
      <c r="L41" s="53" t="s">
        <v>512</v>
      </c>
      <c r="M41" s="53" t="s">
        <v>93</v>
      </c>
      <c r="N41" s="53" t="s">
        <v>123</v>
      </c>
      <c r="O41" s="54">
        <v>100612</v>
      </c>
      <c r="P41" s="55">
        <v>139871</v>
      </c>
    </row>
    <row r="42" spans="1:16" x14ac:dyDescent="0.25">
      <c r="A42" s="40">
        <f>A41+1</f>
        <v>46344</v>
      </c>
      <c r="B42" s="31" t="s">
        <v>513</v>
      </c>
      <c r="C42" s="31" t="s">
        <v>45</v>
      </c>
      <c r="D42" s="31" t="s">
        <v>74</v>
      </c>
      <c r="E42" s="32">
        <v>149100</v>
      </c>
      <c r="F42" s="39">
        <v>121959</v>
      </c>
      <c r="K42" s="56">
        <f>K41+1</f>
        <v>46344</v>
      </c>
      <c r="L42" s="53" t="s">
        <v>513</v>
      </c>
      <c r="M42" s="53" t="s">
        <v>45</v>
      </c>
      <c r="N42" s="53" t="s">
        <v>74</v>
      </c>
      <c r="O42" s="54">
        <v>149100</v>
      </c>
      <c r="P42" s="55">
        <v>121959</v>
      </c>
    </row>
    <row r="43" spans="1:16" x14ac:dyDescent="0.25">
      <c r="A43" s="40">
        <f t="shared" si="0"/>
        <v>46345</v>
      </c>
      <c r="B43" s="31" t="s">
        <v>514</v>
      </c>
      <c r="C43" s="31" t="s">
        <v>185</v>
      </c>
      <c r="D43" s="31" t="s">
        <v>57</v>
      </c>
      <c r="E43" s="32">
        <v>55032</v>
      </c>
      <c r="F43" s="39">
        <v>89009</v>
      </c>
      <c r="K43" s="56">
        <f t="shared" si="1"/>
        <v>46345</v>
      </c>
      <c r="L43" s="53" t="s">
        <v>514</v>
      </c>
      <c r="M43" s="53" t="s">
        <v>185</v>
      </c>
      <c r="N43" s="53" t="s">
        <v>57</v>
      </c>
      <c r="O43" s="54">
        <v>55032</v>
      </c>
      <c r="P43" s="55">
        <v>89009</v>
      </c>
    </row>
    <row r="44" spans="1:16" x14ac:dyDescent="0.25">
      <c r="A44" s="40">
        <f t="shared" si="0"/>
        <v>46346</v>
      </c>
      <c r="B44" s="31" t="s">
        <v>515</v>
      </c>
      <c r="C44" s="31" t="s">
        <v>45</v>
      </c>
      <c r="D44" s="31" t="s">
        <v>74</v>
      </c>
      <c r="E44" s="32">
        <v>113504</v>
      </c>
      <c r="F44" s="39">
        <v>82487</v>
      </c>
      <c r="K44" s="56">
        <f t="shared" si="1"/>
        <v>46346</v>
      </c>
      <c r="L44" s="53" t="s">
        <v>515</v>
      </c>
      <c r="M44" s="53" t="s">
        <v>45</v>
      </c>
      <c r="N44" s="53" t="s">
        <v>74</v>
      </c>
      <c r="O44" s="54">
        <v>113504</v>
      </c>
      <c r="P44" s="55">
        <v>82487</v>
      </c>
    </row>
    <row r="45" spans="1:16" x14ac:dyDescent="0.25">
      <c r="A45" s="40">
        <f t="shared" si="0"/>
        <v>46347</v>
      </c>
      <c r="B45" s="31" t="s">
        <v>516</v>
      </c>
      <c r="C45" s="31" t="s">
        <v>126</v>
      </c>
      <c r="D45" s="31" t="s">
        <v>74</v>
      </c>
      <c r="E45" s="32">
        <v>49662</v>
      </c>
      <c r="F45" s="39">
        <v>87576</v>
      </c>
      <c r="K45" s="56">
        <f t="shared" si="1"/>
        <v>46347</v>
      </c>
      <c r="L45" s="53" t="s">
        <v>516</v>
      </c>
      <c r="M45" s="53" t="s">
        <v>126</v>
      </c>
      <c r="N45" s="53" t="s">
        <v>74</v>
      </c>
      <c r="O45" s="54">
        <v>49662</v>
      </c>
      <c r="P45" s="55">
        <v>87576</v>
      </c>
    </row>
    <row r="46" spans="1:16" x14ac:dyDescent="0.25">
      <c r="A46" s="40">
        <f t="shared" si="0"/>
        <v>46348</v>
      </c>
      <c r="B46" s="31" t="s">
        <v>517</v>
      </c>
      <c r="C46" s="31" t="s">
        <v>185</v>
      </c>
      <c r="D46" s="31" t="s">
        <v>57</v>
      </c>
      <c r="E46" s="32">
        <v>42592</v>
      </c>
      <c r="F46" s="39">
        <v>71571</v>
      </c>
      <c r="K46" s="56">
        <f t="shared" si="1"/>
        <v>46348</v>
      </c>
      <c r="L46" s="53" t="s">
        <v>517</v>
      </c>
      <c r="M46" s="53" t="s">
        <v>185</v>
      </c>
      <c r="N46" s="53" t="s">
        <v>57</v>
      </c>
      <c r="O46" s="54">
        <v>42592</v>
      </c>
      <c r="P46" s="55">
        <v>71571</v>
      </c>
    </row>
    <row r="47" spans="1:16" x14ac:dyDescent="0.25">
      <c r="A47" s="40">
        <f t="shared" si="0"/>
        <v>46349</v>
      </c>
      <c r="B47" s="31" t="s">
        <v>518</v>
      </c>
      <c r="C47" s="31" t="s">
        <v>80</v>
      </c>
      <c r="D47" s="31" t="s">
        <v>74</v>
      </c>
      <c r="E47" s="32">
        <v>46226</v>
      </c>
      <c r="F47" s="39">
        <v>135932</v>
      </c>
      <c r="K47" s="56">
        <f t="shared" si="1"/>
        <v>46349</v>
      </c>
      <c r="L47" s="53" t="s">
        <v>518</v>
      </c>
      <c r="M47" s="53" t="s">
        <v>80</v>
      </c>
      <c r="N47" s="53" t="s">
        <v>74</v>
      </c>
      <c r="O47" s="54">
        <v>46226</v>
      </c>
      <c r="P47" s="55">
        <v>135932</v>
      </c>
    </row>
    <row r="48" spans="1:16" x14ac:dyDescent="0.25">
      <c r="A48" s="40">
        <f t="shared" si="0"/>
        <v>46350</v>
      </c>
      <c r="B48" s="31" t="s">
        <v>519</v>
      </c>
      <c r="C48" s="31" t="s">
        <v>126</v>
      </c>
      <c r="D48" s="31" t="s">
        <v>74</v>
      </c>
      <c r="E48" s="32">
        <v>20000</v>
      </c>
      <c r="F48" s="39">
        <v>109822</v>
      </c>
      <c r="K48" s="56">
        <f t="shared" si="1"/>
        <v>46350</v>
      </c>
      <c r="L48" s="53" t="s">
        <v>519</v>
      </c>
      <c r="M48" s="53" t="s">
        <v>126</v>
      </c>
      <c r="N48" s="53" t="s">
        <v>74</v>
      </c>
      <c r="O48" s="54">
        <v>20000</v>
      </c>
      <c r="P48" s="55">
        <v>109822</v>
      </c>
    </row>
    <row r="49" spans="1:16" x14ac:dyDescent="0.25">
      <c r="A49" s="40">
        <f t="shared" si="0"/>
        <v>46351</v>
      </c>
      <c r="B49" s="31" t="s">
        <v>520</v>
      </c>
      <c r="C49" s="31" t="s">
        <v>45</v>
      </c>
      <c r="D49" s="31" t="s">
        <v>57</v>
      </c>
      <c r="E49" s="32">
        <v>121474</v>
      </c>
      <c r="F49" s="39">
        <v>102296</v>
      </c>
      <c r="K49" s="56">
        <f t="shared" si="1"/>
        <v>46351</v>
      </c>
      <c r="L49" s="53" t="s">
        <v>520</v>
      </c>
      <c r="M49" s="53" t="s">
        <v>45</v>
      </c>
      <c r="N49" s="53" t="s">
        <v>57</v>
      </c>
      <c r="O49" s="54">
        <v>121474</v>
      </c>
      <c r="P49" s="55">
        <v>102296</v>
      </c>
    </row>
    <row r="50" spans="1:16" x14ac:dyDescent="0.25">
      <c r="A50" s="40">
        <f t="shared" si="0"/>
        <v>46352</v>
      </c>
      <c r="B50" s="31" t="s">
        <v>521</v>
      </c>
      <c r="C50" s="31" t="s">
        <v>80</v>
      </c>
      <c r="D50" s="31" t="s">
        <v>57</v>
      </c>
      <c r="E50" s="32">
        <v>69741</v>
      </c>
      <c r="F50" s="39">
        <v>109163</v>
      </c>
      <c r="K50" s="56">
        <f t="shared" si="1"/>
        <v>46352</v>
      </c>
      <c r="L50" s="53" t="s">
        <v>521</v>
      </c>
      <c r="M50" s="53" t="s">
        <v>80</v>
      </c>
      <c r="N50" s="53" t="s">
        <v>57</v>
      </c>
      <c r="O50" s="54">
        <v>69741</v>
      </c>
      <c r="P50" s="55">
        <v>109163</v>
      </c>
    </row>
    <row r="51" spans="1:16" ht="15.75" thickBot="1" x14ac:dyDescent="0.3">
      <c r="A51" s="41">
        <f t="shared" si="0"/>
        <v>46353</v>
      </c>
      <c r="B51" s="33" t="s">
        <v>522</v>
      </c>
      <c r="C51" s="33" t="s">
        <v>80</v>
      </c>
      <c r="D51" s="33" t="s">
        <v>87</v>
      </c>
      <c r="E51" s="34">
        <v>62760</v>
      </c>
      <c r="F51" s="42">
        <v>110686</v>
      </c>
      <c r="K51" s="57">
        <f t="shared" si="1"/>
        <v>46353</v>
      </c>
      <c r="L51" s="58" t="s">
        <v>522</v>
      </c>
      <c r="M51" s="58" t="s">
        <v>80</v>
      </c>
      <c r="N51" s="58" t="s">
        <v>87</v>
      </c>
      <c r="O51" s="59">
        <v>62760</v>
      </c>
      <c r="P51" s="60">
        <v>110686</v>
      </c>
    </row>
    <row r="52" spans="1:16" x14ac:dyDescent="0.25">
      <c r="A52" s="44"/>
      <c r="B52" s="45"/>
      <c r="C52" s="45"/>
      <c r="D52" s="45"/>
      <c r="E52" s="46"/>
      <c r="F52" s="47"/>
    </row>
    <row r="53" spans="1:16" x14ac:dyDescent="0.25">
      <c r="A53" s="44"/>
      <c r="B53" s="45"/>
      <c r="C53" s="45"/>
      <c r="D53" s="45"/>
      <c r="E53" s="46"/>
      <c r="F53" s="47"/>
    </row>
    <row r="54" spans="1:16" ht="15.75" thickBot="1" x14ac:dyDescent="0.3"/>
    <row r="55" spans="1:16" ht="15.75" x14ac:dyDescent="0.25">
      <c r="A55" s="35" t="s">
        <v>469</v>
      </c>
      <c r="B55" s="36" t="s">
        <v>470</v>
      </c>
      <c r="C55" s="36" t="s">
        <v>6</v>
      </c>
      <c r="D55" s="36" t="s">
        <v>36</v>
      </c>
      <c r="E55" s="37" t="s">
        <v>471</v>
      </c>
      <c r="F55" s="38" t="s">
        <v>472</v>
      </c>
      <c r="G55" s="38" t="s">
        <v>472</v>
      </c>
    </row>
    <row r="56" spans="1:16" x14ac:dyDescent="0.25">
      <c r="A56" s="43">
        <v>46304</v>
      </c>
      <c r="B56" s="31" t="s">
        <v>473</v>
      </c>
      <c r="C56" s="31" t="s">
        <v>93</v>
      </c>
      <c r="D56" s="31" t="s">
        <v>74</v>
      </c>
      <c r="E56" s="32">
        <v>38278</v>
      </c>
      <c r="F56" s="39">
        <v>137196</v>
      </c>
      <c r="G56" s="39">
        <v>137196</v>
      </c>
    </row>
    <row r="57" spans="1:16" x14ac:dyDescent="0.25">
      <c r="A57" s="40">
        <f>A56+1</f>
        <v>46305</v>
      </c>
      <c r="B57" s="31" t="s">
        <v>474</v>
      </c>
      <c r="C57" s="31" t="s">
        <v>185</v>
      </c>
      <c r="D57" s="31" t="s">
        <v>57</v>
      </c>
      <c r="E57" s="32">
        <v>64256</v>
      </c>
      <c r="F57" s="39">
        <v>58289</v>
      </c>
      <c r="G57" s="39">
        <v>58289</v>
      </c>
    </row>
    <row r="58" spans="1:16" x14ac:dyDescent="0.25">
      <c r="A58" s="40">
        <f t="shared" ref="A58:A95" si="2">A57+1</f>
        <v>46306</v>
      </c>
      <c r="B58" s="31" t="s">
        <v>475</v>
      </c>
      <c r="C58" s="31" t="s">
        <v>93</v>
      </c>
      <c r="D58" s="31" t="s">
        <v>74</v>
      </c>
      <c r="E58" s="32">
        <v>123696</v>
      </c>
      <c r="F58" s="39">
        <v>137080</v>
      </c>
      <c r="G58" s="39">
        <v>137080</v>
      </c>
    </row>
    <row r="59" spans="1:16" x14ac:dyDescent="0.25">
      <c r="A59" s="40">
        <f t="shared" si="2"/>
        <v>46307</v>
      </c>
      <c r="B59" s="31" t="s">
        <v>476</v>
      </c>
      <c r="C59" s="31" t="s">
        <v>80</v>
      </c>
      <c r="D59" s="31" t="s">
        <v>74</v>
      </c>
      <c r="E59" s="32">
        <v>112397</v>
      </c>
      <c r="F59" s="39">
        <v>95302</v>
      </c>
      <c r="G59" s="39">
        <v>95302</v>
      </c>
    </row>
    <row r="60" spans="1:16" x14ac:dyDescent="0.25">
      <c r="A60" s="40">
        <f t="shared" si="2"/>
        <v>46308</v>
      </c>
      <c r="B60" s="31" t="s">
        <v>477</v>
      </c>
      <c r="C60" s="31" t="s">
        <v>134</v>
      </c>
      <c r="D60" s="31" t="s">
        <v>74</v>
      </c>
      <c r="E60" s="32">
        <v>47280</v>
      </c>
      <c r="F60" s="39">
        <v>68657</v>
      </c>
      <c r="G60" s="39">
        <v>68657</v>
      </c>
    </row>
    <row r="61" spans="1:16" x14ac:dyDescent="0.25">
      <c r="A61" s="40">
        <f t="shared" si="2"/>
        <v>46309</v>
      </c>
      <c r="B61" s="31" t="s">
        <v>478</v>
      </c>
      <c r="C61" s="31" t="s">
        <v>45</v>
      </c>
      <c r="D61" s="31" t="s">
        <v>74</v>
      </c>
      <c r="E61" s="32">
        <v>108563</v>
      </c>
      <c r="F61" s="39">
        <v>66062</v>
      </c>
      <c r="G61" s="39">
        <v>66062</v>
      </c>
    </row>
    <row r="62" spans="1:16" x14ac:dyDescent="0.25">
      <c r="A62" s="40">
        <f t="shared" si="2"/>
        <v>46310</v>
      </c>
      <c r="B62" s="31" t="s">
        <v>479</v>
      </c>
      <c r="C62" s="31" t="s">
        <v>93</v>
      </c>
      <c r="D62" s="31" t="s">
        <v>87</v>
      </c>
      <c r="E62" s="32">
        <v>63893</v>
      </c>
      <c r="F62" s="39">
        <v>98878</v>
      </c>
      <c r="G62" s="39">
        <v>98878</v>
      </c>
    </row>
    <row r="63" spans="1:16" x14ac:dyDescent="0.25">
      <c r="A63" s="40">
        <f t="shared" si="2"/>
        <v>46311</v>
      </c>
      <c r="B63" s="31" t="s">
        <v>480</v>
      </c>
      <c r="C63" s="31" t="s">
        <v>80</v>
      </c>
      <c r="D63" s="31" t="s">
        <v>123</v>
      </c>
      <c r="E63" s="32">
        <v>141093</v>
      </c>
      <c r="F63" s="39">
        <v>40851</v>
      </c>
      <c r="G63" s="39">
        <v>40851</v>
      </c>
    </row>
    <row r="64" spans="1:16" x14ac:dyDescent="0.25">
      <c r="A64" s="40">
        <f t="shared" si="2"/>
        <v>46312</v>
      </c>
      <c r="B64" s="31" t="s">
        <v>481</v>
      </c>
      <c r="C64" s="31" t="s">
        <v>45</v>
      </c>
      <c r="D64" s="31" t="s">
        <v>87</v>
      </c>
      <c r="E64" s="32">
        <v>79597</v>
      </c>
      <c r="F64" s="39">
        <v>76421</v>
      </c>
      <c r="G64" s="39">
        <v>76421</v>
      </c>
    </row>
    <row r="65" spans="1:7" x14ac:dyDescent="0.25">
      <c r="A65" s="40">
        <f t="shared" si="2"/>
        <v>46313</v>
      </c>
      <c r="B65" s="31" t="s">
        <v>482</v>
      </c>
      <c r="C65" s="31" t="s">
        <v>45</v>
      </c>
      <c r="D65" s="31" t="s">
        <v>57</v>
      </c>
      <c r="E65" s="32">
        <v>135072</v>
      </c>
      <c r="F65" s="39">
        <v>84118</v>
      </c>
      <c r="G65" s="39">
        <v>84118</v>
      </c>
    </row>
    <row r="66" spans="1:7" x14ac:dyDescent="0.25">
      <c r="A66" s="40">
        <f t="shared" si="2"/>
        <v>46314</v>
      </c>
      <c r="B66" s="31" t="s">
        <v>483</v>
      </c>
      <c r="C66" s="31" t="s">
        <v>134</v>
      </c>
      <c r="D66" s="31" t="s">
        <v>74</v>
      </c>
      <c r="E66" s="32">
        <v>84797</v>
      </c>
      <c r="F66" s="39">
        <v>52676</v>
      </c>
      <c r="G66" s="39">
        <v>52676</v>
      </c>
    </row>
    <row r="67" spans="1:7" x14ac:dyDescent="0.25">
      <c r="A67" s="40">
        <f t="shared" si="2"/>
        <v>46315</v>
      </c>
      <c r="B67" s="31" t="s">
        <v>484</v>
      </c>
      <c r="C67" s="31" t="s">
        <v>185</v>
      </c>
      <c r="D67" s="31" t="s">
        <v>123</v>
      </c>
      <c r="E67" s="32">
        <v>20000</v>
      </c>
      <c r="F67" s="39">
        <v>74671</v>
      </c>
      <c r="G67" s="39">
        <v>74671</v>
      </c>
    </row>
    <row r="68" spans="1:7" x14ac:dyDescent="0.25">
      <c r="A68" s="40">
        <f t="shared" si="2"/>
        <v>46316</v>
      </c>
      <c r="B68" s="31" t="s">
        <v>485</v>
      </c>
      <c r="C68" s="31" t="s">
        <v>134</v>
      </c>
      <c r="D68" s="31" t="s">
        <v>87</v>
      </c>
      <c r="E68" s="32">
        <v>105284</v>
      </c>
      <c r="F68" s="39">
        <v>56361</v>
      </c>
      <c r="G68" s="39">
        <v>56361</v>
      </c>
    </row>
    <row r="69" spans="1:7" x14ac:dyDescent="0.25">
      <c r="A69" s="40">
        <f t="shared" si="2"/>
        <v>46317</v>
      </c>
      <c r="B69" s="31" t="s">
        <v>486</v>
      </c>
      <c r="C69" s="31" t="s">
        <v>126</v>
      </c>
      <c r="D69" s="31" t="s">
        <v>74</v>
      </c>
      <c r="E69" s="32">
        <v>20000</v>
      </c>
      <c r="F69" s="39">
        <v>78427</v>
      </c>
      <c r="G69" s="39">
        <v>78427</v>
      </c>
    </row>
    <row r="70" spans="1:7" x14ac:dyDescent="0.25">
      <c r="A70" s="40">
        <f t="shared" si="2"/>
        <v>46318</v>
      </c>
      <c r="B70" s="31" t="s">
        <v>487</v>
      </c>
      <c r="C70" s="31" t="s">
        <v>93</v>
      </c>
      <c r="D70" s="31" t="s">
        <v>123</v>
      </c>
      <c r="E70" s="32">
        <v>110674</v>
      </c>
      <c r="F70" s="39">
        <v>65203</v>
      </c>
      <c r="G70" s="39">
        <v>65203</v>
      </c>
    </row>
    <row r="71" spans="1:7" x14ac:dyDescent="0.25">
      <c r="A71" s="40">
        <f t="shared" si="2"/>
        <v>46319</v>
      </c>
      <c r="B71" s="31" t="s">
        <v>488</v>
      </c>
      <c r="C71" s="31" t="s">
        <v>93</v>
      </c>
      <c r="D71" s="31" t="s">
        <v>74</v>
      </c>
      <c r="E71" s="32">
        <v>41006</v>
      </c>
      <c r="F71" s="39">
        <v>126673</v>
      </c>
      <c r="G71" s="39">
        <v>126673</v>
      </c>
    </row>
    <row r="72" spans="1:7" x14ac:dyDescent="0.25">
      <c r="A72" s="40">
        <f t="shared" si="2"/>
        <v>46320</v>
      </c>
      <c r="B72" s="31" t="s">
        <v>489</v>
      </c>
      <c r="C72" s="31" t="s">
        <v>45</v>
      </c>
      <c r="D72" s="31" t="s">
        <v>123</v>
      </c>
      <c r="E72" s="32">
        <v>45458</v>
      </c>
      <c r="F72" s="39">
        <v>70512</v>
      </c>
      <c r="G72" s="39">
        <v>70512</v>
      </c>
    </row>
    <row r="73" spans="1:7" x14ac:dyDescent="0.25">
      <c r="A73" s="40">
        <f t="shared" si="2"/>
        <v>46321</v>
      </c>
      <c r="B73" s="31" t="s">
        <v>490</v>
      </c>
      <c r="C73" s="31" t="s">
        <v>134</v>
      </c>
      <c r="D73" s="31" t="s">
        <v>87</v>
      </c>
      <c r="E73" s="32">
        <v>71434</v>
      </c>
      <c r="F73" s="39">
        <v>99429</v>
      </c>
      <c r="G73" s="39">
        <v>99429</v>
      </c>
    </row>
    <row r="74" spans="1:7" x14ac:dyDescent="0.25">
      <c r="A74" s="40">
        <f t="shared" si="2"/>
        <v>46322</v>
      </c>
      <c r="B74" s="31" t="s">
        <v>491</v>
      </c>
      <c r="C74" s="31" t="s">
        <v>93</v>
      </c>
      <c r="D74" s="31" t="s">
        <v>123</v>
      </c>
      <c r="E74" s="32">
        <v>56319</v>
      </c>
      <c r="F74" s="39">
        <v>88520</v>
      </c>
      <c r="G74" s="39">
        <v>88520</v>
      </c>
    </row>
    <row r="75" spans="1:7" x14ac:dyDescent="0.25">
      <c r="A75" s="40">
        <f t="shared" si="2"/>
        <v>46323</v>
      </c>
      <c r="B75" s="31" t="s">
        <v>492</v>
      </c>
      <c r="C75" s="31" t="s">
        <v>185</v>
      </c>
      <c r="D75" s="31" t="s">
        <v>57</v>
      </c>
      <c r="E75" s="32">
        <v>122841</v>
      </c>
      <c r="F75" s="39">
        <v>74993</v>
      </c>
      <c r="G75" s="39">
        <v>74993</v>
      </c>
    </row>
    <row r="76" spans="1:7" x14ac:dyDescent="0.25">
      <c r="A76" s="40">
        <f t="shared" si="2"/>
        <v>46324</v>
      </c>
      <c r="B76" s="31" t="s">
        <v>493</v>
      </c>
      <c r="C76" s="31" t="s">
        <v>93</v>
      </c>
      <c r="D76" s="31" t="s">
        <v>74</v>
      </c>
      <c r="E76" s="32">
        <v>114840</v>
      </c>
      <c r="F76" s="39">
        <v>123227</v>
      </c>
      <c r="G76" s="39">
        <v>123227</v>
      </c>
    </row>
    <row r="77" spans="1:7" x14ac:dyDescent="0.25">
      <c r="A77" s="40">
        <f t="shared" si="2"/>
        <v>46325</v>
      </c>
      <c r="B77" s="31" t="s">
        <v>494</v>
      </c>
      <c r="C77" s="31" t="s">
        <v>45</v>
      </c>
      <c r="D77" s="31" t="s">
        <v>57</v>
      </c>
      <c r="E77" s="32">
        <v>56417</v>
      </c>
      <c r="F77" s="39">
        <v>100589</v>
      </c>
      <c r="G77" s="39">
        <v>100589</v>
      </c>
    </row>
    <row r="78" spans="1:7" x14ac:dyDescent="0.25">
      <c r="A78" s="40">
        <f t="shared" si="2"/>
        <v>46326</v>
      </c>
      <c r="B78" s="31" t="s">
        <v>495</v>
      </c>
      <c r="C78" s="31" t="s">
        <v>126</v>
      </c>
      <c r="D78" s="31" t="s">
        <v>123</v>
      </c>
      <c r="E78" s="32">
        <v>118886</v>
      </c>
      <c r="F78" s="39">
        <v>130198</v>
      </c>
      <c r="G78" s="39">
        <v>130198</v>
      </c>
    </row>
    <row r="79" spans="1:7" x14ac:dyDescent="0.25">
      <c r="A79" s="40">
        <f t="shared" si="2"/>
        <v>46327</v>
      </c>
      <c r="B79" s="31" t="s">
        <v>496</v>
      </c>
      <c r="C79" s="31" t="s">
        <v>80</v>
      </c>
      <c r="D79" s="31" t="s">
        <v>57</v>
      </c>
      <c r="E79" s="32">
        <v>124733</v>
      </c>
      <c r="F79" s="39">
        <v>82504</v>
      </c>
      <c r="G79" s="39">
        <v>82504</v>
      </c>
    </row>
    <row r="80" spans="1:7" x14ac:dyDescent="0.25">
      <c r="A80" s="40">
        <f t="shared" si="2"/>
        <v>46328</v>
      </c>
      <c r="B80" s="31" t="s">
        <v>497</v>
      </c>
      <c r="C80" s="31" t="s">
        <v>134</v>
      </c>
      <c r="D80" s="31" t="s">
        <v>57</v>
      </c>
      <c r="E80" s="32">
        <v>142715</v>
      </c>
      <c r="F80" s="39">
        <v>44207</v>
      </c>
      <c r="G80" s="39">
        <v>44207</v>
      </c>
    </row>
    <row r="81" spans="1:7" x14ac:dyDescent="0.25">
      <c r="A81" s="40">
        <f t="shared" si="2"/>
        <v>46329</v>
      </c>
      <c r="B81" s="31" t="s">
        <v>498</v>
      </c>
      <c r="C81" s="31" t="s">
        <v>185</v>
      </c>
      <c r="D81" s="31" t="s">
        <v>87</v>
      </c>
      <c r="E81" s="32">
        <v>70093</v>
      </c>
      <c r="F81" s="39">
        <v>48675</v>
      </c>
      <c r="G81" s="39">
        <v>48675</v>
      </c>
    </row>
    <row r="82" spans="1:7" x14ac:dyDescent="0.25">
      <c r="A82" s="40">
        <f t="shared" si="2"/>
        <v>46330</v>
      </c>
      <c r="B82" s="31" t="s">
        <v>499</v>
      </c>
      <c r="C82" s="31" t="s">
        <v>45</v>
      </c>
      <c r="D82" s="31" t="s">
        <v>123</v>
      </c>
      <c r="E82" s="32">
        <v>62869</v>
      </c>
      <c r="F82" s="39">
        <v>125909</v>
      </c>
      <c r="G82" s="39">
        <v>125909</v>
      </c>
    </row>
    <row r="83" spans="1:7" x14ac:dyDescent="0.25">
      <c r="A83" s="40">
        <f t="shared" si="2"/>
        <v>46331</v>
      </c>
      <c r="B83" s="31" t="s">
        <v>500</v>
      </c>
      <c r="C83" s="31" t="s">
        <v>126</v>
      </c>
      <c r="D83" s="31" t="s">
        <v>87</v>
      </c>
      <c r="E83" s="32">
        <v>119259</v>
      </c>
      <c r="F83" s="39">
        <v>100142</v>
      </c>
      <c r="G83" s="39">
        <v>100142</v>
      </c>
    </row>
    <row r="84" spans="1:7" x14ac:dyDescent="0.25">
      <c r="A84" s="40">
        <f t="shared" si="2"/>
        <v>46332</v>
      </c>
      <c r="B84" s="31" t="s">
        <v>501</v>
      </c>
      <c r="C84" s="31" t="s">
        <v>45</v>
      </c>
      <c r="D84" s="31" t="s">
        <v>123</v>
      </c>
      <c r="E84" s="32">
        <v>53301</v>
      </c>
      <c r="F84" s="39">
        <v>72325</v>
      </c>
      <c r="G84" s="39">
        <v>72325</v>
      </c>
    </row>
    <row r="85" spans="1:7" x14ac:dyDescent="0.25">
      <c r="A85" s="40">
        <f t="shared" si="2"/>
        <v>46333</v>
      </c>
      <c r="B85" s="31" t="s">
        <v>502</v>
      </c>
      <c r="C85" s="31" t="s">
        <v>93</v>
      </c>
      <c r="D85" s="31" t="s">
        <v>123</v>
      </c>
      <c r="E85" s="32">
        <v>132912</v>
      </c>
      <c r="F85" s="39">
        <v>116622</v>
      </c>
      <c r="G85" s="39">
        <v>116622</v>
      </c>
    </row>
    <row r="86" spans="1:7" x14ac:dyDescent="0.25">
      <c r="A86" s="40">
        <f t="shared" si="2"/>
        <v>46334</v>
      </c>
      <c r="B86" s="31" t="s">
        <v>503</v>
      </c>
      <c r="C86" s="31" t="s">
        <v>126</v>
      </c>
      <c r="D86" s="31" t="s">
        <v>87</v>
      </c>
      <c r="E86" s="32">
        <v>82447</v>
      </c>
      <c r="F86" s="39">
        <v>68746</v>
      </c>
      <c r="G86" s="39">
        <v>68746</v>
      </c>
    </row>
    <row r="87" spans="1:7" x14ac:dyDescent="0.25">
      <c r="A87" s="40">
        <f t="shared" si="2"/>
        <v>46335</v>
      </c>
      <c r="B87" s="31" t="s">
        <v>504</v>
      </c>
      <c r="C87" s="31" t="s">
        <v>45</v>
      </c>
      <c r="D87" s="31" t="s">
        <v>87</v>
      </c>
      <c r="E87" s="32">
        <v>46915</v>
      </c>
      <c r="F87" s="39">
        <v>139061</v>
      </c>
      <c r="G87" s="39">
        <v>139061</v>
      </c>
    </row>
    <row r="88" spans="1:7" x14ac:dyDescent="0.25">
      <c r="A88" s="40">
        <f t="shared" si="2"/>
        <v>46336</v>
      </c>
      <c r="B88" s="31" t="s">
        <v>505</v>
      </c>
      <c r="C88" s="31" t="s">
        <v>134</v>
      </c>
      <c r="D88" s="31" t="s">
        <v>74</v>
      </c>
      <c r="E88" s="32">
        <v>55033</v>
      </c>
      <c r="F88" s="39">
        <v>122240</v>
      </c>
      <c r="G88" s="39">
        <v>122240</v>
      </c>
    </row>
    <row r="89" spans="1:7" x14ac:dyDescent="0.25">
      <c r="A89" s="40">
        <f t="shared" si="2"/>
        <v>46337</v>
      </c>
      <c r="B89" s="31" t="s">
        <v>506</v>
      </c>
      <c r="C89" s="31" t="s">
        <v>45</v>
      </c>
      <c r="D89" s="31" t="s">
        <v>87</v>
      </c>
      <c r="E89" s="32">
        <v>113172</v>
      </c>
      <c r="F89" s="39">
        <v>48326</v>
      </c>
      <c r="G89" s="39">
        <v>48326</v>
      </c>
    </row>
    <row r="90" spans="1:7" x14ac:dyDescent="0.25">
      <c r="A90" s="40">
        <f t="shared" si="2"/>
        <v>46338</v>
      </c>
      <c r="B90" s="31" t="s">
        <v>507</v>
      </c>
      <c r="C90" s="31" t="s">
        <v>126</v>
      </c>
      <c r="D90" s="31" t="s">
        <v>87</v>
      </c>
      <c r="E90" s="32">
        <v>113104</v>
      </c>
      <c r="F90" s="39">
        <v>101348</v>
      </c>
      <c r="G90" s="39">
        <v>101348</v>
      </c>
    </row>
    <row r="91" spans="1:7" x14ac:dyDescent="0.25">
      <c r="A91" s="40">
        <f t="shared" si="2"/>
        <v>46339</v>
      </c>
      <c r="B91" s="31" t="s">
        <v>508</v>
      </c>
      <c r="C91" s="31" t="s">
        <v>80</v>
      </c>
      <c r="D91" s="31" t="s">
        <v>123</v>
      </c>
      <c r="E91" s="32">
        <v>20000</v>
      </c>
      <c r="F91" s="39">
        <v>41504</v>
      </c>
      <c r="G91" s="39">
        <v>41504</v>
      </c>
    </row>
    <row r="92" spans="1:7" x14ac:dyDescent="0.25">
      <c r="A92" s="40">
        <f t="shared" si="2"/>
        <v>46340</v>
      </c>
      <c r="B92" s="31" t="s">
        <v>509</v>
      </c>
      <c r="C92" s="31" t="s">
        <v>93</v>
      </c>
      <c r="D92" s="31" t="s">
        <v>74</v>
      </c>
      <c r="E92" s="32">
        <v>124353</v>
      </c>
      <c r="F92" s="39">
        <v>109163</v>
      </c>
      <c r="G92" s="39">
        <v>109163</v>
      </c>
    </row>
    <row r="93" spans="1:7" x14ac:dyDescent="0.25">
      <c r="A93" s="40">
        <f t="shared" si="2"/>
        <v>46341</v>
      </c>
      <c r="B93" s="31" t="s">
        <v>510</v>
      </c>
      <c r="C93" s="31" t="s">
        <v>185</v>
      </c>
      <c r="D93" s="31" t="s">
        <v>123</v>
      </c>
      <c r="E93" s="32">
        <v>49621</v>
      </c>
      <c r="F93" s="39">
        <v>78469</v>
      </c>
      <c r="G93" s="39">
        <v>78469</v>
      </c>
    </row>
    <row r="94" spans="1:7" x14ac:dyDescent="0.25">
      <c r="A94" s="40">
        <f t="shared" si="2"/>
        <v>46342</v>
      </c>
      <c r="B94" s="31" t="s">
        <v>511</v>
      </c>
      <c r="C94" s="31" t="s">
        <v>126</v>
      </c>
      <c r="D94" s="31" t="s">
        <v>57</v>
      </c>
      <c r="E94" s="32">
        <v>94470</v>
      </c>
      <c r="F94" s="39">
        <v>40425</v>
      </c>
      <c r="G94" s="39">
        <v>40425</v>
      </c>
    </row>
    <row r="95" spans="1:7" x14ac:dyDescent="0.25">
      <c r="A95" s="40">
        <f t="shared" si="2"/>
        <v>46343</v>
      </c>
      <c r="B95" s="31" t="s">
        <v>512</v>
      </c>
      <c r="C95" s="31" t="s">
        <v>93</v>
      </c>
      <c r="D95" s="31" t="s">
        <v>123</v>
      </c>
      <c r="E95" s="32">
        <v>100612</v>
      </c>
      <c r="F95" s="39">
        <v>139871</v>
      </c>
      <c r="G95" s="39">
        <v>139871</v>
      </c>
    </row>
    <row r="96" spans="1:7" x14ac:dyDescent="0.25">
      <c r="A96" s="40">
        <f>A95+1</f>
        <v>46344</v>
      </c>
      <c r="B96" s="31" t="s">
        <v>513</v>
      </c>
      <c r="C96" s="31" t="s">
        <v>45</v>
      </c>
      <c r="D96" s="31" t="s">
        <v>74</v>
      </c>
      <c r="E96" s="32">
        <v>149100</v>
      </c>
      <c r="F96" s="39">
        <v>121959</v>
      </c>
      <c r="G96" s="39">
        <v>121959</v>
      </c>
    </row>
    <row r="97" spans="1:7" x14ac:dyDescent="0.25">
      <c r="A97" s="40">
        <f t="shared" ref="A97:A105" si="3">A96+1</f>
        <v>46345</v>
      </c>
      <c r="B97" s="31" t="s">
        <v>514</v>
      </c>
      <c r="C97" s="31" t="s">
        <v>185</v>
      </c>
      <c r="D97" s="31" t="s">
        <v>57</v>
      </c>
      <c r="E97" s="32">
        <v>55032</v>
      </c>
      <c r="F97" s="39">
        <v>89009</v>
      </c>
      <c r="G97" s="39">
        <v>89009</v>
      </c>
    </row>
    <row r="98" spans="1:7" x14ac:dyDescent="0.25">
      <c r="A98" s="40">
        <f t="shared" si="3"/>
        <v>46346</v>
      </c>
      <c r="B98" s="31" t="s">
        <v>515</v>
      </c>
      <c r="C98" s="31" t="s">
        <v>45</v>
      </c>
      <c r="D98" s="31" t="s">
        <v>74</v>
      </c>
      <c r="E98" s="32">
        <v>113504</v>
      </c>
      <c r="F98" s="39">
        <v>82487</v>
      </c>
      <c r="G98" s="39">
        <v>82487</v>
      </c>
    </row>
    <row r="99" spans="1:7" x14ac:dyDescent="0.25">
      <c r="A99" s="40">
        <f t="shared" si="3"/>
        <v>46347</v>
      </c>
      <c r="B99" s="31" t="s">
        <v>516</v>
      </c>
      <c r="C99" s="31" t="s">
        <v>126</v>
      </c>
      <c r="D99" s="31" t="s">
        <v>74</v>
      </c>
      <c r="E99" s="32">
        <v>49662</v>
      </c>
      <c r="F99" s="39">
        <v>87576</v>
      </c>
      <c r="G99" s="39">
        <v>87576</v>
      </c>
    </row>
    <row r="100" spans="1:7" x14ac:dyDescent="0.25">
      <c r="A100" s="40">
        <f t="shared" si="3"/>
        <v>46348</v>
      </c>
      <c r="B100" s="31" t="s">
        <v>517</v>
      </c>
      <c r="C100" s="31" t="s">
        <v>185</v>
      </c>
      <c r="D100" s="31" t="s">
        <v>57</v>
      </c>
      <c r="E100" s="32">
        <v>42592</v>
      </c>
      <c r="F100" s="39">
        <v>71571</v>
      </c>
      <c r="G100" s="39">
        <v>71571</v>
      </c>
    </row>
    <row r="101" spans="1:7" x14ac:dyDescent="0.25">
      <c r="A101" s="40">
        <f t="shared" si="3"/>
        <v>46349</v>
      </c>
      <c r="B101" s="31" t="s">
        <v>518</v>
      </c>
      <c r="C101" s="31" t="s">
        <v>80</v>
      </c>
      <c r="D101" s="31" t="s">
        <v>74</v>
      </c>
      <c r="E101" s="32">
        <v>46226</v>
      </c>
      <c r="F101" s="39">
        <v>135932</v>
      </c>
      <c r="G101" s="39">
        <v>135932</v>
      </c>
    </row>
    <row r="102" spans="1:7" x14ac:dyDescent="0.25">
      <c r="A102" s="40">
        <f t="shared" si="3"/>
        <v>46350</v>
      </c>
      <c r="B102" s="31" t="s">
        <v>519</v>
      </c>
      <c r="C102" s="31" t="s">
        <v>126</v>
      </c>
      <c r="D102" s="31" t="s">
        <v>74</v>
      </c>
      <c r="E102" s="32">
        <v>20000</v>
      </c>
      <c r="F102" s="39">
        <v>109822</v>
      </c>
      <c r="G102" s="39">
        <v>109822</v>
      </c>
    </row>
    <row r="103" spans="1:7" x14ac:dyDescent="0.25">
      <c r="A103" s="40">
        <f t="shared" si="3"/>
        <v>46351</v>
      </c>
      <c r="B103" s="31" t="s">
        <v>520</v>
      </c>
      <c r="C103" s="31" t="s">
        <v>45</v>
      </c>
      <c r="D103" s="31" t="s">
        <v>57</v>
      </c>
      <c r="E103" s="32">
        <v>121474</v>
      </c>
      <c r="F103" s="39">
        <v>102296</v>
      </c>
      <c r="G103" s="39">
        <v>102296</v>
      </c>
    </row>
    <row r="104" spans="1:7" x14ac:dyDescent="0.25">
      <c r="A104" s="40">
        <f t="shared" si="3"/>
        <v>46352</v>
      </c>
      <c r="B104" s="31" t="s">
        <v>521</v>
      </c>
      <c r="C104" s="31" t="s">
        <v>80</v>
      </c>
      <c r="D104" s="31" t="s">
        <v>57</v>
      </c>
      <c r="E104" s="32">
        <v>69741</v>
      </c>
      <c r="F104" s="39">
        <v>109163</v>
      </c>
      <c r="G104" s="39">
        <v>109163</v>
      </c>
    </row>
    <row r="105" spans="1:7" ht="15.75" thickBot="1" x14ac:dyDescent="0.3">
      <c r="A105" s="41">
        <f t="shared" si="3"/>
        <v>46353</v>
      </c>
      <c r="B105" s="33" t="s">
        <v>522</v>
      </c>
      <c r="C105" s="33" t="s">
        <v>80</v>
      </c>
      <c r="D105" s="33" t="s">
        <v>87</v>
      </c>
      <c r="E105" s="34">
        <v>62760</v>
      </c>
      <c r="F105" s="42">
        <v>110686</v>
      </c>
      <c r="G105" s="42">
        <v>110686</v>
      </c>
    </row>
  </sheetData>
  <conditionalFormatting sqref="E2:E51">
    <cfRule type="cellIs" dxfId="59" priority="44" operator="equal">
      <formula>20000</formula>
    </cfRule>
    <cfRule type="cellIs" dxfId="58" priority="45" operator="between">
      <formula>50000</formula>
      <formula>100000</formula>
    </cfRule>
    <cfRule type="cellIs" dxfId="57" priority="46" operator="between">
      <formula>"Rs. 65,984"</formula>
      <formula>"Rs. 121,395"</formula>
    </cfRule>
    <cfRule type="cellIs" dxfId="56" priority="47" operator="lessThan">
      <formula>93689</formula>
    </cfRule>
    <cfRule type="cellIs" dxfId="55" priority="48" operator="greaterThan">
      <formula>93689</formula>
    </cfRule>
    <cfRule type="cellIs" dxfId="54" priority="49" operator="greaterThan">
      <formula>"Rs. 93,689"</formula>
    </cfRule>
  </conditionalFormatting>
  <conditionalFormatting sqref="B2:B53">
    <cfRule type="containsText" dxfId="53" priority="43" operator="containsText" text="Ayesha khan">
      <formula>NOT(ISERROR(SEARCH("Ayesha khan",B2)))</formula>
    </cfRule>
  </conditionalFormatting>
  <conditionalFormatting sqref="A3:A53">
    <cfRule type="timePeriod" dxfId="52" priority="41" timePeriod="yesterday">
      <formula>FLOOR(A3,1)=TODAY()-1</formula>
    </cfRule>
    <cfRule type="timePeriod" dxfId="51" priority="42" timePeriod="yesterday">
      <formula>FLOOR(A3,1)=TODAY()-1</formula>
    </cfRule>
  </conditionalFormatting>
  <conditionalFormatting sqref="A2:A53">
    <cfRule type="timePeriod" dxfId="50" priority="38" timePeriod="nextWeek">
      <formula>AND(ROUNDDOWN(A2,0)-TODAY()&gt;(7-WEEKDAY(TODAY())),ROUNDDOWN(A2,0)-TODAY()&lt;(15-WEEKDAY(TODAY())))</formula>
    </cfRule>
    <cfRule type="timePeriod" dxfId="49" priority="39" timePeriod="yesterday">
      <formula>FLOOR(A2,1)=TODAY()-1</formula>
    </cfRule>
    <cfRule type="timePeriod" dxfId="48" priority="40" timePeriod="today">
      <formula>FLOOR(A2,1)=TODAY()</formula>
    </cfRule>
  </conditionalFormatting>
  <conditionalFormatting sqref="F2:F53">
    <cfRule type="uniqueValues" dxfId="47" priority="36"/>
    <cfRule type="duplicateValues" dxfId="46" priority="37"/>
  </conditionalFormatting>
  <conditionalFormatting sqref="E55:E105">
    <cfRule type="dataBar" priority="18">
      <dataBar>
        <cfvo type="min"/>
        <cfvo type="max"/>
        <color rgb="FF638EC6"/>
      </dataBar>
      <extLst>
        <ext xmlns:x14="http://schemas.microsoft.com/office/spreadsheetml/2009/9/main" uri="{B025F937-C7B1-47D3-B67F-A62EFF666E3E}">
          <x14:id>{7F8C0917-F716-4815-80C8-17E340D34EEB}</x14:id>
        </ext>
      </extLst>
    </cfRule>
  </conditionalFormatting>
  <conditionalFormatting sqref="F55:F105">
    <cfRule type="colorScale" priority="19">
      <colorScale>
        <cfvo type="min"/>
        <cfvo type="max"/>
        <color rgb="FFFCFCFF"/>
        <color rgb="FFF8696B"/>
      </colorScale>
    </cfRule>
    <cfRule type="colorScale" priority="20">
      <colorScale>
        <cfvo type="min"/>
        <cfvo type="percentile" val="50"/>
        <cfvo type="max"/>
        <color rgb="FF63BE7B"/>
        <color rgb="FFFFEB84"/>
        <color rgb="FFF8696B"/>
      </colorScale>
    </cfRule>
  </conditionalFormatting>
  <conditionalFormatting sqref="G55:G105">
    <cfRule type="iconSet" priority="15">
      <iconSet iconSet="3Arrows">
        <cfvo type="percent" val="0"/>
        <cfvo type="percent" val="33"/>
        <cfvo type="percent" val="67"/>
      </iconSet>
    </cfRule>
  </conditionalFormatting>
  <conditionalFormatting sqref="L1:P51">
    <cfRule type="dataBar" priority="50">
      <dataBar>
        <cfvo type="min"/>
        <cfvo type="max"/>
        <color rgb="FF638EC6"/>
      </dataBar>
      <extLst>
        <ext xmlns:x14="http://schemas.microsoft.com/office/spreadsheetml/2009/9/main" uri="{B025F937-C7B1-47D3-B67F-A62EFF666E3E}">
          <x14:id>{45A858C1-08ED-480E-8A3A-69803BBFE72D}</x14:id>
        </ext>
      </extLst>
    </cfRule>
  </conditionalFormatting>
  <conditionalFormatting sqref="L1:P51">
    <cfRule type="iconSet" priority="51">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F8C0917-F716-4815-80C8-17E340D34EEB}">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45A858C1-08ED-480E-8A3A-69803BBFE72D}">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CE7-5595-4350-96E0-F8F4BB758022}">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76" bestFit="1" customWidth="1"/>
    <col min="6" max="6" width="18.140625" bestFit="1" customWidth="1"/>
  </cols>
  <sheetData>
    <row r="1" spans="1:6" ht="15.75" x14ac:dyDescent="0.25">
      <c r="A1" s="68" t="s">
        <v>469</v>
      </c>
      <c r="B1" s="69" t="s">
        <v>470</v>
      </c>
      <c r="C1" s="69" t="s">
        <v>6</v>
      </c>
      <c r="D1" s="69" t="s">
        <v>36</v>
      </c>
      <c r="E1" s="77" t="s">
        <v>471</v>
      </c>
      <c r="F1" s="78" t="s">
        <v>472</v>
      </c>
    </row>
    <row r="2" spans="1:6" x14ac:dyDescent="0.25">
      <c r="A2" s="72">
        <v>46340</v>
      </c>
      <c r="B2" s="71" t="s">
        <v>509</v>
      </c>
      <c r="C2" s="71" t="s">
        <v>93</v>
      </c>
      <c r="D2" s="71" t="s">
        <v>74</v>
      </c>
      <c r="E2" s="75">
        <v>124353</v>
      </c>
      <c r="F2" s="79">
        <v>109163</v>
      </c>
    </row>
    <row r="3" spans="1:6" x14ac:dyDescent="0.25">
      <c r="A3" s="72">
        <v>46322</v>
      </c>
      <c r="B3" s="74" t="s">
        <v>491</v>
      </c>
      <c r="C3" s="71" t="s">
        <v>93</v>
      </c>
      <c r="D3" s="71" t="s">
        <v>123</v>
      </c>
      <c r="E3" s="75">
        <v>56319</v>
      </c>
      <c r="F3" s="79">
        <v>88520</v>
      </c>
    </row>
    <row r="4" spans="1:6" x14ac:dyDescent="0.25">
      <c r="A4" s="72">
        <v>46319</v>
      </c>
      <c r="B4" s="71" t="s">
        <v>488</v>
      </c>
      <c r="C4" s="71" t="s">
        <v>93</v>
      </c>
      <c r="D4" s="71" t="s">
        <v>74</v>
      </c>
      <c r="E4" s="75">
        <v>41006</v>
      </c>
      <c r="F4" s="79">
        <v>126673</v>
      </c>
    </row>
    <row r="5" spans="1:6" x14ac:dyDescent="0.25">
      <c r="A5" s="72">
        <v>46333</v>
      </c>
      <c r="B5" s="71" t="s">
        <v>502</v>
      </c>
      <c r="C5" s="71" t="s">
        <v>93</v>
      </c>
      <c r="D5" s="71" t="s">
        <v>123</v>
      </c>
      <c r="E5" s="75">
        <v>132912</v>
      </c>
      <c r="F5" s="79">
        <v>116622</v>
      </c>
    </row>
    <row r="6" spans="1:6" x14ac:dyDescent="0.25">
      <c r="A6" s="72">
        <v>46275</v>
      </c>
      <c r="B6" s="74" t="s">
        <v>473</v>
      </c>
      <c r="C6" s="71" t="s">
        <v>93</v>
      </c>
      <c r="D6" s="71" t="s">
        <v>74</v>
      </c>
      <c r="E6" s="75">
        <v>38278</v>
      </c>
      <c r="F6" s="79">
        <v>137196</v>
      </c>
    </row>
    <row r="7" spans="1:6" x14ac:dyDescent="0.25">
      <c r="A7" s="72">
        <v>46306</v>
      </c>
      <c r="B7" s="71" t="s">
        <v>475</v>
      </c>
      <c r="C7" s="71" t="s">
        <v>93</v>
      </c>
      <c r="D7" s="71" t="s">
        <v>74</v>
      </c>
      <c r="E7" s="75">
        <v>123696</v>
      </c>
      <c r="F7" s="79">
        <v>137080</v>
      </c>
    </row>
    <row r="8" spans="1:6" x14ac:dyDescent="0.25">
      <c r="A8" s="72">
        <v>46324</v>
      </c>
      <c r="B8" s="71" t="s">
        <v>493</v>
      </c>
      <c r="C8" s="71" t="s">
        <v>93</v>
      </c>
      <c r="D8" s="71" t="s">
        <v>74</v>
      </c>
      <c r="E8" s="75">
        <v>114840</v>
      </c>
      <c r="F8" s="79">
        <v>123227</v>
      </c>
    </row>
    <row r="9" spans="1:6" x14ac:dyDescent="0.25">
      <c r="A9" s="72">
        <v>46318</v>
      </c>
      <c r="B9" s="71" t="s">
        <v>487</v>
      </c>
      <c r="C9" s="71" t="s">
        <v>93</v>
      </c>
      <c r="D9" s="71" t="s">
        <v>123</v>
      </c>
      <c r="E9" s="75">
        <v>110674</v>
      </c>
      <c r="F9" s="79">
        <v>65203</v>
      </c>
    </row>
    <row r="10" spans="1:6" x14ac:dyDescent="0.25">
      <c r="A10" s="72">
        <v>46310</v>
      </c>
      <c r="B10" s="71" t="s">
        <v>479</v>
      </c>
      <c r="C10" s="71" t="s">
        <v>93</v>
      </c>
      <c r="D10" s="71" t="s">
        <v>87</v>
      </c>
      <c r="E10" s="75">
        <v>63893</v>
      </c>
      <c r="F10" s="79">
        <v>98878</v>
      </c>
    </row>
    <row r="11" spans="1:6" x14ac:dyDescent="0.25">
      <c r="A11" s="72">
        <v>46307</v>
      </c>
      <c r="B11" s="71" t="s">
        <v>476</v>
      </c>
      <c r="C11" s="71" t="s">
        <v>80</v>
      </c>
      <c r="D11" s="71" t="s">
        <v>74</v>
      </c>
      <c r="E11" s="75">
        <v>112397</v>
      </c>
      <c r="F11" s="79">
        <v>95302</v>
      </c>
    </row>
    <row r="12" spans="1:6" x14ac:dyDescent="0.25">
      <c r="A12" s="72">
        <v>46339</v>
      </c>
      <c r="B12" s="71" t="s">
        <v>508</v>
      </c>
      <c r="C12" s="71" t="s">
        <v>80</v>
      </c>
      <c r="D12" s="71" t="s">
        <v>123</v>
      </c>
      <c r="E12" s="75">
        <v>20000</v>
      </c>
      <c r="F12" s="79">
        <v>41504</v>
      </c>
    </row>
    <row r="13" spans="1:6" x14ac:dyDescent="0.25">
      <c r="A13" s="72">
        <v>46327</v>
      </c>
      <c r="B13" s="73" t="s">
        <v>496</v>
      </c>
      <c r="C13" s="71" t="s">
        <v>80</v>
      </c>
      <c r="D13" s="71" t="s">
        <v>57</v>
      </c>
      <c r="E13" s="75">
        <v>124733</v>
      </c>
      <c r="F13" s="79">
        <v>82504</v>
      </c>
    </row>
    <row r="14" spans="1:6" x14ac:dyDescent="0.25">
      <c r="A14" s="72">
        <v>46311</v>
      </c>
      <c r="B14" s="71" t="s">
        <v>480</v>
      </c>
      <c r="C14" s="71" t="s">
        <v>80</v>
      </c>
      <c r="D14" s="71" t="s">
        <v>123</v>
      </c>
      <c r="E14" s="75">
        <v>141093</v>
      </c>
      <c r="F14" s="79">
        <v>40851</v>
      </c>
    </row>
    <row r="15" spans="1:6" x14ac:dyDescent="0.25">
      <c r="A15" s="72">
        <v>46312</v>
      </c>
      <c r="B15" s="74" t="s">
        <v>481</v>
      </c>
      <c r="C15" s="71" t="s">
        <v>45</v>
      </c>
      <c r="D15" s="71" t="s">
        <v>87</v>
      </c>
      <c r="E15" s="75">
        <v>79597</v>
      </c>
      <c r="F15" s="79">
        <v>76421</v>
      </c>
    </row>
    <row r="16" spans="1:6" x14ac:dyDescent="0.25">
      <c r="A16" s="72">
        <v>46320</v>
      </c>
      <c r="B16" s="71" t="s">
        <v>489</v>
      </c>
      <c r="C16" s="71" t="s">
        <v>45</v>
      </c>
      <c r="D16" s="71" t="s">
        <v>123</v>
      </c>
      <c r="E16" s="75">
        <v>45458</v>
      </c>
      <c r="F16" s="79">
        <v>70512</v>
      </c>
    </row>
    <row r="17" spans="1:6" x14ac:dyDescent="0.25">
      <c r="A17" s="72">
        <v>46335</v>
      </c>
      <c r="B17" s="71" t="s">
        <v>504</v>
      </c>
      <c r="C17" s="71" t="s">
        <v>45</v>
      </c>
      <c r="D17" s="71" t="s">
        <v>87</v>
      </c>
      <c r="E17" s="75">
        <v>46915</v>
      </c>
      <c r="F17" s="79">
        <v>139061</v>
      </c>
    </row>
    <row r="18" spans="1:6" x14ac:dyDescent="0.25">
      <c r="A18" s="72">
        <v>46325</v>
      </c>
      <c r="B18" s="73" t="s">
        <v>494</v>
      </c>
      <c r="C18" s="71" t="s">
        <v>45</v>
      </c>
      <c r="D18" s="71" t="s">
        <v>57</v>
      </c>
      <c r="E18" s="75">
        <v>56417</v>
      </c>
      <c r="F18" s="79">
        <v>100589</v>
      </c>
    </row>
    <row r="19" spans="1:6" x14ac:dyDescent="0.25">
      <c r="A19" s="72">
        <v>46313</v>
      </c>
      <c r="B19" s="71" t="s">
        <v>482</v>
      </c>
      <c r="C19" s="71" t="s">
        <v>45</v>
      </c>
      <c r="D19" s="71" t="s">
        <v>57</v>
      </c>
      <c r="E19" s="75">
        <v>135072</v>
      </c>
      <c r="F19" s="79">
        <v>84118</v>
      </c>
    </row>
    <row r="20" spans="1:6" x14ac:dyDescent="0.25">
      <c r="A20" s="72">
        <v>46337</v>
      </c>
      <c r="B20" s="71" t="s">
        <v>506</v>
      </c>
      <c r="C20" s="71" t="s">
        <v>45</v>
      </c>
      <c r="D20" s="71" t="s">
        <v>87</v>
      </c>
      <c r="E20" s="75">
        <v>113172</v>
      </c>
      <c r="F20" s="79">
        <v>48326</v>
      </c>
    </row>
    <row r="21" spans="1:6" x14ac:dyDescent="0.25">
      <c r="A21" s="70">
        <v>46309</v>
      </c>
      <c r="B21" s="71" t="s">
        <v>478</v>
      </c>
      <c r="C21" s="71" t="s">
        <v>45</v>
      </c>
      <c r="D21" s="71" t="s">
        <v>74</v>
      </c>
      <c r="E21" s="75">
        <v>108563</v>
      </c>
      <c r="F21" s="79">
        <v>66062</v>
      </c>
    </row>
    <row r="22" spans="1:6" x14ac:dyDescent="0.25">
      <c r="A22" s="72">
        <v>46332</v>
      </c>
      <c r="B22" s="71" t="s">
        <v>501</v>
      </c>
      <c r="C22" s="71" t="s">
        <v>45</v>
      </c>
      <c r="D22" s="71" t="s">
        <v>123</v>
      </c>
      <c r="E22" s="75">
        <v>53301</v>
      </c>
      <c r="F22" s="79">
        <v>72325</v>
      </c>
    </row>
    <row r="23" spans="1:6" x14ac:dyDescent="0.25">
      <c r="A23" s="72">
        <v>46330</v>
      </c>
      <c r="B23" s="71" t="s">
        <v>499</v>
      </c>
      <c r="C23" s="71" t="s">
        <v>45</v>
      </c>
      <c r="D23" s="71" t="s">
        <v>123</v>
      </c>
      <c r="E23" s="75">
        <v>62869</v>
      </c>
      <c r="F23" s="79">
        <v>125909</v>
      </c>
    </row>
    <row r="24" spans="1:6" x14ac:dyDescent="0.25">
      <c r="A24" s="72">
        <v>46305</v>
      </c>
      <c r="B24" s="73" t="s">
        <v>474</v>
      </c>
      <c r="C24" s="71" t="s">
        <v>185</v>
      </c>
      <c r="D24" s="71" t="s">
        <v>57</v>
      </c>
      <c r="E24" s="75">
        <v>64256</v>
      </c>
      <c r="F24" s="79">
        <v>58289</v>
      </c>
    </row>
    <row r="25" spans="1:6" x14ac:dyDescent="0.25">
      <c r="A25" s="72">
        <v>46315</v>
      </c>
      <c r="B25" s="71" t="s">
        <v>484</v>
      </c>
      <c r="C25" s="71" t="s">
        <v>185</v>
      </c>
      <c r="D25" s="71" t="s">
        <v>123</v>
      </c>
      <c r="E25" s="75">
        <v>20000</v>
      </c>
      <c r="F25" s="79">
        <v>74671</v>
      </c>
    </row>
    <row r="26" spans="1:6" x14ac:dyDescent="0.25">
      <c r="A26" s="72">
        <v>46323</v>
      </c>
      <c r="B26" s="71" t="s">
        <v>492</v>
      </c>
      <c r="C26" s="71" t="s">
        <v>185</v>
      </c>
      <c r="D26" s="71" t="s">
        <v>57</v>
      </c>
      <c r="E26" s="75">
        <v>122841</v>
      </c>
      <c r="F26" s="79">
        <v>74993</v>
      </c>
    </row>
    <row r="27" spans="1:6" x14ac:dyDescent="0.25">
      <c r="A27" s="72">
        <v>46329</v>
      </c>
      <c r="B27" s="74" t="s">
        <v>498</v>
      </c>
      <c r="C27" s="71" t="s">
        <v>185</v>
      </c>
      <c r="D27" s="71" t="s">
        <v>87</v>
      </c>
      <c r="E27" s="75">
        <v>70093</v>
      </c>
      <c r="F27" s="79">
        <v>48675</v>
      </c>
    </row>
    <row r="28" spans="1:6" x14ac:dyDescent="0.25">
      <c r="A28" s="72">
        <v>46331</v>
      </c>
      <c r="B28" s="71" t="s">
        <v>500</v>
      </c>
      <c r="C28" s="71" t="s">
        <v>126</v>
      </c>
      <c r="D28" s="71" t="s">
        <v>87</v>
      </c>
      <c r="E28" s="75">
        <v>119259</v>
      </c>
      <c r="F28" s="79">
        <v>100142</v>
      </c>
    </row>
    <row r="29" spans="1:6" x14ac:dyDescent="0.25">
      <c r="A29" s="72">
        <v>46338</v>
      </c>
      <c r="B29" s="71" t="s">
        <v>507</v>
      </c>
      <c r="C29" s="71" t="s">
        <v>126</v>
      </c>
      <c r="D29" s="71" t="s">
        <v>87</v>
      </c>
      <c r="E29" s="75">
        <v>113104</v>
      </c>
      <c r="F29" s="79">
        <v>101348</v>
      </c>
    </row>
    <row r="30" spans="1:6" x14ac:dyDescent="0.25">
      <c r="A30" s="72">
        <v>46317</v>
      </c>
      <c r="B30" s="71" t="s">
        <v>486</v>
      </c>
      <c r="C30" s="71" t="s">
        <v>126</v>
      </c>
      <c r="D30" s="71" t="s">
        <v>74</v>
      </c>
      <c r="E30" s="75">
        <v>20000</v>
      </c>
      <c r="F30" s="79">
        <v>78427</v>
      </c>
    </row>
    <row r="31" spans="1:6" x14ac:dyDescent="0.25">
      <c r="A31" s="72">
        <v>46334</v>
      </c>
      <c r="B31" s="71" t="s">
        <v>503</v>
      </c>
      <c r="C31" s="71" t="s">
        <v>126</v>
      </c>
      <c r="D31" s="71" t="s">
        <v>87</v>
      </c>
      <c r="E31" s="75">
        <v>82447</v>
      </c>
      <c r="F31" s="79">
        <v>68746</v>
      </c>
    </row>
    <row r="32" spans="1:6" x14ac:dyDescent="0.25">
      <c r="A32" s="72">
        <v>46326</v>
      </c>
      <c r="B32" s="73" t="s">
        <v>495</v>
      </c>
      <c r="C32" s="71" t="s">
        <v>126</v>
      </c>
      <c r="D32" s="71" t="s">
        <v>123</v>
      </c>
      <c r="E32" s="75">
        <v>118886</v>
      </c>
      <c r="F32" s="79">
        <v>130198</v>
      </c>
    </row>
    <row r="33" spans="1:6" x14ac:dyDescent="0.25">
      <c r="A33" s="72">
        <v>46316</v>
      </c>
      <c r="B33" s="71" t="s">
        <v>485</v>
      </c>
      <c r="C33" s="71" t="s">
        <v>134</v>
      </c>
      <c r="D33" s="71" t="s">
        <v>87</v>
      </c>
      <c r="E33" s="75">
        <v>105284</v>
      </c>
      <c r="F33" s="79">
        <v>56361</v>
      </c>
    </row>
    <row r="34" spans="1:6" x14ac:dyDescent="0.25">
      <c r="A34" s="72">
        <v>46328</v>
      </c>
      <c r="B34" s="71" t="s">
        <v>497</v>
      </c>
      <c r="C34" s="71" t="s">
        <v>134</v>
      </c>
      <c r="D34" s="71" t="s">
        <v>57</v>
      </c>
      <c r="E34" s="75">
        <v>142715</v>
      </c>
      <c r="F34" s="79">
        <v>44207</v>
      </c>
    </row>
    <row r="35" spans="1:6" x14ac:dyDescent="0.25">
      <c r="A35" s="72">
        <v>46314</v>
      </c>
      <c r="B35" s="73" t="s">
        <v>483</v>
      </c>
      <c r="C35" s="71" t="s">
        <v>134</v>
      </c>
      <c r="D35" s="71" t="s">
        <v>74</v>
      </c>
      <c r="E35" s="75">
        <v>84797</v>
      </c>
      <c r="F35" s="79">
        <v>52676</v>
      </c>
    </row>
    <row r="36" spans="1:6" x14ac:dyDescent="0.25">
      <c r="A36" s="72">
        <v>46308</v>
      </c>
      <c r="B36" s="71" t="s">
        <v>477</v>
      </c>
      <c r="C36" s="71" t="s">
        <v>134</v>
      </c>
      <c r="D36" s="71" t="s">
        <v>74</v>
      </c>
      <c r="E36" s="75">
        <v>47280</v>
      </c>
      <c r="F36" s="79">
        <v>68657</v>
      </c>
    </row>
    <row r="37" spans="1:6" x14ac:dyDescent="0.25">
      <c r="A37" s="72">
        <v>46321</v>
      </c>
      <c r="B37" s="71" t="s">
        <v>490</v>
      </c>
      <c r="C37" s="71" t="s">
        <v>134</v>
      </c>
      <c r="D37" s="71" t="s">
        <v>87</v>
      </c>
      <c r="E37" s="75">
        <v>71434</v>
      </c>
      <c r="F37" s="79">
        <v>99429</v>
      </c>
    </row>
    <row r="38" spans="1:6" x14ac:dyDescent="0.25">
      <c r="A38" s="72">
        <v>46336</v>
      </c>
      <c r="B38" s="71" t="s">
        <v>505</v>
      </c>
      <c r="C38" s="71" t="s">
        <v>134</v>
      </c>
      <c r="D38" s="71" t="s">
        <v>74</v>
      </c>
      <c r="E38" s="75">
        <v>55033</v>
      </c>
      <c r="F38" s="79">
        <v>122240</v>
      </c>
    </row>
  </sheetData>
  <autoFilter ref="A1:F38" xr:uid="{0A195CE7-5595-4350-96E0-F8F4BB758022}">
    <sortState xmlns:xlrd2="http://schemas.microsoft.com/office/spreadsheetml/2017/richdata2" ref="A2:F38">
      <sortCondition descending="1" ref="C2:C38" customList="finance,hr,marketing,sales"/>
    </sortState>
  </autoFilter>
  <sortState xmlns:xlrd2="http://schemas.microsoft.com/office/spreadsheetml/2017/richdata2" ref="A2:F40">
    <sortCondition ref="B2:B40" customList="HR,Marketing,Sales,IT,Operations"/>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F3C7-EE6B-4068-8E40-038489F16F3F}">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82" t="s">
        <v>469</v>
      </c>
      <c r="B1" s="83" t="s">
        <v>470</v>
      </c>
      <c r="C1" s="83" t="s">
        <v>6</v>
      </c>
      <c r="D1" s="83" t="s">
        <v>36</v>
      </c>
      <c r="E1" s="82" t="s">
        <v>471</v>
      </c>
      <c r="F1" s="84" t="s">
        <v>472</v>
      </c>
    </row>
    <row r="2" spans="1:6" x14ac:dyDescent="0.25">
      <c r="A2" s="80">
        <v>46340</v>
      </c>
      <c r="B2" s="80" t="s">
        <v>509</v>
      </c>
      <c r="C2" s="80" t="s">
        <v>93</v>
      </c>
      <c r="D2" s="80" t="s">
        <v>74</v>
      </c>
      <c r="E2" s="80">
        <v>124353</v>
      </c>
      <c r="F2" s="81">
        <v>109163</v>
      </c>
    </row>
    <row r="3" spans="1:6" x14ac:dyDescent="0.25">
      <c r="A3" s="80">
        <v>46322</v>
      </c>
      <c r="B3" s="80" t="s">
        <v>491</v>
      </c>
      <c r="C3" s="80" t="s">
        <v>93</v>
      </c>
      <c r="D3" s="80" t="s">
        <v>123</v>
      </c>
      <c r="E3" s="80">
        <v>56319</v>
      </c>
      <c r="F3" s="81">
        <v>88520</v>
      </c>
    </row>
    <row r="4" spans="1:6" x14ac:dyDescent="0.25">
      <c r="A4" s="80">
        <v>46319</v>
      </c>
      <c r="B4" s="80" t="s">
        <v>488</v>
      </c>
      <c r="C4" s="80" t="s">
        <v>93</v>
      </c>
      <c r="D4" s="80" t="s">
        <v>74</v>
      </c>
      <c r="E4" s="80">
        <v>41006</v>
      </c>
      <c r="F4" s="81">
        <v>126673</v>
      </c>
    </row>
    <row r="5" spans="1:6" x14ac:dyDescent="0.25">
      <c r="A5" s="80">
        <v>46333</v>
      </c>
      <c r="B5" s="80" t="s">
        <v>502</v>
      </c>
      <c r="C5" s="80" t="s">
        <v>93</v>
      </c>
      <c r="D5" s="80" t="s">
        <v>123</v>
      </c>
      <c r="E5" s="80">
        <v>132912</v>
      </c>
      <c r="F5" s="81">
        <v>116622</v>
      </c>
    </row>
    <row r="6" spans="1:6" x14ac:dyDescent="0.25">
      <c r="A6" s="80">
        <v>46275</v>
      </c>
      <c r="B6" s="80" t="s">
        <v>473</v>
      </c>
      <c r="C6" s="80" t="s">
        <v>93</v>
      </c>
      <c r="D6" s="80" t="s">
        <v>74</v>
      </c>
      <c r="E6" s="80">
        <v>38278</v>
      </c>
      <c r="F6" s="81">
        <v>137196</v>
      </c>
    </row>
    <row r="7" spans="1:6" x14ac:dyDescent="0.25">
      <c r="A7" s="80">
        <v>46306</v>
      </c>
      <c r="B7" s="80" t="s">
        <v>475</v>
      </c>
      <c r="C7" s="80" t="s">
        <v>93</v>
      </c>
      <c r="D7" s="80" t="s">
        <v>74</v>
      </c>
      <c r="E7" s="80">
        <v>123696</v>
      </c>
      <c r="F7" s="81">
        <v>137080</v>
      </c>
    </row>
    <row r="8" spans="1:6" x14ac:dyDescent="0.25">
      <c r="A8" s="80">
        <v>46324</v>
      </c>
      <c r="B8" s="80" t="s">
        <v>493</v>
      </c>
      <c r="C8" s="80" t="s">
        <v>93</v>
      </c>
      <c r="D8" s="80" t="s">
        <v>74</v>
      </c>
      <c r="E8" s="80">
        <v>114840</v>
      </c>
      <c r="F8" s="81">
        <v>123227</v>
      </c>
    </row>
    <row r="9" spans="1:6" x14ac:dyDescent="0.25">
      <c r="A9" s="80">
        <v>46318</v>
      </c>
      <c r="B9" s="80" t="s">
        <v>487</v>
      </c>
      <c r="C9" s="80" t="s">
        <v>93</v>
      </c>
      <c r="D9" s="80" t="s">
        <v>123</v>
      </c>
      <c r="E9" s="80">
        <v>110674</v>
      </c>
      <c r="F9" s="81">
        <v>65203</v>
      </c>
    </row>
    <row r="10" spans="1:6" x14ac:dyDescent="0.25">
      <c r="A10" s="80">
        <v>46310</v>
      </c>
      <c r="B10" s="80" t="s">
        <v>479</v>
      </c>
      <c r="C10" s="80" t="s">
        <v>93</v>
      </c>
      <c r="D10" s="80" t="s">
        <v>87</v>
      </c>
      <c r="E10" s="80">
        <v>63893</v>
      </c>
      <c r="F10" s="81">
        <v>98878</v>
      </c>
    </row>
    <row r="11" spans="1:6" x14ac:dyDescent="0.25">
      <c r="A11" s="80">
        <v>46307</v>
      </c>
      <c r="B11" s="80" t="s">
        <v>476</v>
      </c>
      <c r="C11" s="80" t="s">
        <v>80</v>
      </c>
      <c r="D11" s="80" t="s">
        <v>74</v>
      </c>
      <c r="E11" s="80">
        <v>112397</v>
      </c>
      <c r="F11" s="81">
        <v>95302</v>
      </c>
    </row>
    <row r="12" spans="1:6" x14ac:dyDescent="0.25">
      <c r="A12" s="80">
        <v>46339</v>
      </c>
      <c r="B12" s="80" t="s">
        <v>508</v>
      </c>
      <c r="C12" s="80" t="s">
        <v>80</v>
      </c>
      <c r="D12" s="80" t="s">
        <v>123</v>
      </c>
      <c r="E12" s="80">
        <v>20000</v>
      </c>
      <c r="F12" s="81">
        <v>41504</v>
      </c>
    </row>
    <row r="13" spans="1:6" x14ac:dyDescent="0.25">
      <c r="A13" s="80">
        <v>46327</v>
      </c>
      <c r="B13" s="80" t="s">
        <v>496</v>
      </c>
      <c r="C13" s="80" t="s">
        <v>80</v>
      </c>
      <c r="D13" s="80" t="s">
        <v>57</v>
      </c>
      <c r="E13" s="80">
        <v>124733</v>
      </c>
      <c r="F13" s="81">
        <v>82504</v>
      </c>
    </row>
    <row r="14" spans="1:6" x14ac:dyDescent="0.25">
      <c r="A14" s="80">
        <v>46311</v>
      </c>
      <c r="B14" s="80" t="s">
        <v>480</v>
      </c>
      <c r="C14" s="80" t="s">
        <v>80</v>
      </c>
      <c r="D14" s="80" t="s">
        <v>123</v>
      </c>
      <c r="E14" s="80">
        <v>141093</v>
      </c>
      <c r="F14" s="81">
        <v>40851</v>
      </c>
    </row>
    <row r="15" spans="1:6" x14ac:dyDescent="0.25">
      <c r="A15" s="80">
        <v>46312</v>
      </c>
      <c r="B15" s="80" t="s">
        <v>481</v>
      </c>
      <c r="C15" s="80" t="s">
        <v>45</v>
      </c>
      <c r="D15" s="80" t="s">
        <v>87</v>
      </c>
      <c r="E15" s="80">
        <v>79597</v>
      </c>
      <c r="F15" s="81">
        <v>76421</v>
      </c>
    </row>
    <row r="16" spans="1:6" x14ac:dyDescent="0.25">
      <c r="A16" s="80">
        <v>46320</v>
      </c>
      <c r="B16" s="80" t="s">
        <v>489</v>
      </c>
      <c r="C16" s="80" t="s">
        <v>45</v>
      </c>
      <c r="D16" s="80" t="s">
        <v>123</v>
      </c>
      <c r="E16" s="80">
        <v>45458</v>
      </c>
      <c r="F16" s="81">
        <v>70512</v>
      </c>
    </row>
    <row r="17" spans="1:6" x14ac:dyDescent="0.25">
      <c r="A17" s="80">
        <v>46335</v>
      </c>
      <c r="B17" s="80" t="s">
        <v>504</v>
      </c>
      <c r="C17" s="80" t="s">
        <v>45</v>
      </c>
      <c r="D17" s="80" t="s">
        <v>87</v>
      </c>
      <c r="E17" s="80">
        <v>46915</v>
      </c>
      <c r="F17" s="81">
        <v>139061</v>
      </c>
    </row>
    <row r="18" spans="1:6" x14ac:dyDescent="0.25">
      <c r="A18" s="80">
        <v>46325</v>
      </c>
      <c r="B18" s="80" t="s">
        <v>494</v>
      </c>
      <c r="C18" s="80" t="s">
        <v>45</v>
      </c>
      <c r="D18" s="80" t="s">
        <v>57</v>
      </c>
      <c r="E18" s="80">
        <v>56417</v>
      </c>
      <c r="F18" s="81">
        <v>100589</v>
      </c>
    </row>
    <row r="19" spans="1:6" x14ac:dyDescent="0.25">
      <c r="A19" s="80">
        <v>46313</v>
      </c>
      <c r="B19" s="80" t="s">
        <v>482</v>
      </c>
      <c r="C19" s="80" t="s">
        <v>45</v>
      </c>
      <c r="D19" s="80" t="s">
        <v>57</v>
      </c>
      <c r="E19" s="80">
        <v>135072</v>
      </c>
      <c r="F19" s="81">
        <v>84118</v>
      </c>
    </row>
    <row r="20" spans="1:6" x14ac:dyDescent="0.25">
      <c r="A20" s="80">
        <v>46337</v>
      </c>
      <c r="B20" s="80" t="s">
        <v>506</v>
      </c>
      <c r="C20" s="80" t="s">
        <v>45</v>
      </c>
      <c r="D20" s="80" t="s">
        <v>87</v>
      </c>
      <c r="E20" s="80">
        <v>113172</v>
      </c>
      <c r="F20" s="81">
        <v>48326</v>
      </c>
    </row>
    <row r="21" spans="1:6" x14ac:dyDescent="0.25">
      <c r="A21" s="80">
        <v>46309</v>
      </c>
      <c r="B21" s="80" t="s">
        <v>478</v>
      </c>
      <c r="C21" s="80" t="s">
        <v>45</v>
      </c>
      <c r="D21" s="80" t="s">
        <v>74</v>
      </c>
      <c r="E21" s="80">
        <v>108563</v>
      </c>
      <c r="F21" s="81">
        <v>66062</v>
      </c>
    </row>
    <row r="22" spans="1:6" x14ac:dyDescent="0.25">
      <c r="A22" s="80">
        <v>46332</v>
      </c>
      <c r="B22" s="80" t="s">
        <v>501</v>
      </c>
      <c r="C22" s="80" t="s">
        <v>45</v>
      </c>
      <c r="D22" s="80" t="s">
        <v>123</v>
      </c>
      <c r="E22" s="80">
        <v>53301</v>
      </c>
      <c r="F22" s="81">
        <v>72325</v>
      </c>
    </row>
    <row r="23" spans="1:6" x14ac:dyDescent="0.25">
      <c r="A23" s="80">
        <v>46330</v>
      </c>
      <c r="B23" s="80" t="s">
        <v>499</v>
      </c>
      <c r="C23" s="80" t="s">
        <v>45</v>
      </c>
      <c r="D23" s="80" t="s">
        <v>123</v>
      </c>
      <c r="E23" s="80">
        <v>62869</v>
      </c>
      <c r="F23" s="81">
        <v>125909</v>
      </c>
    </row>
    <row r="24" spans="1:6" x14ac:dyDescent="0.25">
      <c r="A24" s="80">
        <v>46305</v>
      </c>
      <c r="B24" s="80" t="s">
        <v>474</v>
      </c>
      <c r="C24" s="80" t="s">
        <v>185</v>
      </c>
      <c r="D24" s="80" t="s">
        <v>57</v>
      </c>
      <c r="E24" s="80">
        <v>64256</v>
      </c>
      <c r="F24" s="81">
        <v>58289</v>
      </c>
    </row>
    <row r="25" spans="1:6" x14ac:dyDescent="0.25">
      <c r="A25" s="80">
        <v>46315</v>
      </c>
      <c r="B25" s="80" t="s">
        <v>484</v>
      </c>
      <c r="C25" s="80" t="s">
        <v>185</v>
      </c>
      <c r="D25" s="80" t="s">
        <v>123</v>
      </c>
      <c r="E25" s="80">
        <v>20000</v>
      </c>
      <c r="F25" s="81">
        <v>74671</v>
      </c>
    </row>
    <row r="26" spans="1:6" x14ac:dyDescent="0.25">
      <c r="A26" s="80">
        <v>46323</v>
      </c>
      <c r="B26" s="80" t="s">
        <v>492</v>
      </c>
      <c r="C26" s="80" t="s">
        <v>185</v>
      </c>
      <c r="D26" s="80" t="s">
        <v>57</v>
      </c>
      <c r="E26" s="80">
        <v>122841</v>
      </c>
      <c r="F26" s="81">
        <v>74993</v>
      </c>
    </row>
    <row r="27" spans="1:6" x14ac:dyDescent="0.25">
      <c r="A27" s="80">
        <v>46329</v>
      </c>
      <c r="B27" s="80" t="s">
        <v>498</v>
      </c>
      <c r="C27" s="80" t="s">
        <v>185</v>
      </c>
      <c r="D27" s="80" t="s">
        <v>87</v>
      </c>
      <c r="E27" s="80">
        <v>70093</v>
      </c>
      <c r="F27" s="81">
        <v>48675</v>
      </c>
    </row>
    <row r="28" spans="1:6" x14ac:dyDescent="0.25">
      <c r="A28" s="80">
        <v>46331</v>
      </c>
      <c r="B28" s="80" t="s">
        <v>500</v>
      </c>
      <c r="C28" s="80" t="s">
        <v>126</v>
      </c>
      <c r="D28" s="80" t="s">
        <v>87</v>
      </c>
      <c r="E28" s="80">
        <v>119259</v>
      </c>
      <c r="F28" s="81">
        <v>100142</v>
      </c>
    </row>
    <row r="29" spans="1:6" x14ac:dyDescent="0.25">
      <c r="A29" s="80">
        <v>46338</v>
      </c>
      <c r="B29" s="80" t="s">
        <v>507</v>
      </c>
      <c r="C29" s="80" t="s">
        <v>126</v>
      </c>
      <c r="D29" s="80" t="s">
        <v>87</v>
      </c>
      <c r="E29" s="80">
        <v>113104</v>
      </c>
      <c r="F29" s="81">
        <v>101348</v>
      </c>
    </row>
    <row r="30" spans="1:6" x14ac:dyDescent="0.25">
      <c r="A30" s="80">
        <v>46317</v>
      </c>
      <c r="B30" s="80" t="s">
        <v>486</v>
      </c>
      <c r="C30" s="80" t="s">
        <v>126</v>
      </c>
      <c r="D30" s="80" t="s">
        <v>74</v>
      </c>
      <c r="E30" s="80">
        <v>20000</v>
      </c>
      <c r="F30" s="81">
        <v>78427</v>
      </c>
    </row>
    <row r="31" spans="1:6" x14ac:dyDescent="0.25">
      <c r="A31" s="80">
        <v>46334</v>
      </c>
      <c r="B31" s="80" t="s">
        <v>503</v>
      </c>
      <c r="C31" s="80" t="s">
        <v>126</v>
      </c>
      <c r="D31" s="80" t="s">
        <v>87</v>
      </c>
      <c r="E31" s="80">
        <v>82447</v>
      </c>
      <c r="F31" s="81">
        <v>68746</v>
      </c>
    </row>
    <row r="32" spans="1:6" x14ac:dyDescent="0.25">
      <c r="A32" s="80">
        <v>46326</v>
      </c>
      <c r="B32" s="80" t="s">
        <v>495</v>
      </c>
      <c r="C32" s="80" t="s">
        <v>126</v>
      </c>
      <c r="D32" s="80" t="s">
        <v>123</v>
      </c>
      <c r="E32" s="80">
        <v>118886</v>
      </c>
      <c r="F32" s="81">
        <v>130198</v>
      </c>
    </row>
    <row r="33" spans="1:6" x14ac:dyDescent="0.25">
      <c r="A33" s="80">
        <v>46316</v>
      </c>
      <c r="B33" s="80" t="s">
        <v>485</v>
      </c>
      <c r="C33" s="80" t="s">
        <v>134</v>
      </c>
      <c r="D33" s="80" t="s">
        <v>87</v>
      </c>
      <c r="E33" s="80">
        <v>105284</v>
      </c>
      <c r="F33" s="81">
        <v>56361</v>
      </c>
    </row>
    <row r="34" spans="1:6" x14ac:dyDescent="0.25">
      <c r="A34" s="80">
        <v>46328</v>
      </c>
      <c r="B34" s="80" t="s">
        <v>497</v>
      </c>
      <c r="C34" s="80" t="s">
        <v>134</v>
      </c>
      <c r="D34" s="80" t="s">
        <v>57</v>
      </c>
      <c r="E34" s="80">
        <v>142715</v>
      </c>
      <c r="F34" s="81">
        <v>44207</v>
      </c>
    </row>
    <row r="35" spans="1:6" x14ac:dyDescent="0.25">
      <c r="A35" s="80">
        <v>46314</v>
      </c>
      <c r="B35" s="80" t="s">
        <v>483</v>
      </c>
      <c r="C35" s="80" t="s">
        <v>134</v>
      </c>
      <c r="D35" s="80" t="s">
        <v>74</v>
      </c>
      <c r="E35" s="80">
        <v>84797</v>
      </c>
      <c r="F35" s="81">
        <v>52676</v>
      </c>
    </row>
    <row r="36" spans="1:6" x14ac:dyDescent="0.25">
      <c r="A36" s="80">
        <v>46308</v>
      </c>
      <c r="B36" s="80" t="s">
        <v>477</v>
      </c>
      <c r="C36" s="80" t="s">
        <v>134</v>
      </c>
      <c r="D36" s="80" t="s">
        <v>74</v>
      </c>
      <c r="E36" s="80">
        <v>47280</v>
      </c>
      <c r="F36" s="81">
        <v>68657</v>
      </c>
    </row>
    <row r="37" spans="1:6" x14ac:dyDescent="0.25">
      <c r="A37" s="80">
        <v>46321</v>
      </c>
      <c r="B37" s="80" t="s">
        <v>490</v>
      </c>
      <c r="C37" s="80" t="s">
        <v>134</v>
      </c>
      <c r="D37" s="80" t="s">
        <v>87</v>
      </c>
      <c r="E37" s="80">
        <v>71434</v>
      </c>
      <c r="F37" s="81">
        <v>99429</v>
      </c>
    </row>
    <row r="38" spans="1:6" x14ac:dyDescent="0.25">
      <c r="A38" s="85">
        <v>46336</v>
      </c>
      <c r="B38" s="85" t="s">
        <v>505</v>
      </c>
      <c r="C38" s="85" t="s">
        <v>134</v>
      </c>
      <c r="D38" s="85" t="s">
        <v>74</v>
      </c>
      <c r="E38" s="85">
        <v>55033</v>
      </c>
      <c r="F38" s="86">
        <v>122240</v>
      </c>
    </row>
    <row r="39" spans="1:6" x14ac:dyDescent="0.25">
      <c r="A39" s="85"/>
      <c r="B39" s="85"/>
      <c r="C39" s="85"/>
      <c r="D39" s="85"/>
      <c r="E39" s="85"/>
      <c r="F39" s="86">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575B-E48B-49BA-BB44-D55569617ED5}">
  <dimension ref="B1:H81"/>
  <sheetViews>
    <sheetView zoomScale="40" zoomScaleNormal="4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95" t="s">
        <v>525</v>
      </c>
      <c r="D1" s="95" t="s">
        <v>524</v>
      </c>
      <c r="E1" s="95" t="s">
        <v>523</v>
      </c>
      <c r="F1" s="95" t="s">
        <v>526</v>
      </c>
      <c r="G1" s="96" t="s">
        <v>527</v>
      </c>
    </row>
    <row r="2" spans="3:8" x14ac:dyDescent="0.25">
      <c r="C2" s="97">
        <v>1</v>
      </c>
      <c r="D2" s="97">
        <v>1</v>
      </c>
      <c r="E2" s="97">
        <v>15</v>
      </c>
      <c r="F2" s="97">
        <v>2</v>
      </c>
      <c r="G2" s="98">
        <v>10000</v>
      </c>
      <c r="H2" s="87"/>
    </row>
    <row r="3" spans="3:8" x14ac:dyDescent="0.25">
      <c r="C3" s="97">
        <v>2</v>
      </c>
      <c r="D3" s="97">
        <v>3</v>
      </c>
      <c r="E3" s="97">
        <v>12</v>
      </c>
      <c r="F3" s="97">
        <v>4</v>
      </c>
      <c r="G3" s="98">
        <v>1000</v>
      </c>
    </row>
    <row r="4" spans="3:8" x14ac:dyDescent="0.25">
      <c r="C4" s="97">
        <v>3</v>
      </c>
      <c r="D4" s="97">
        <v>5</v>
      </c>
      <c r="E4" s="97">
        <v>9</v>
      </c>
      <c r="F4" s="97">
        <v>8</v>
      </c>
      <c r="G4" s="98">
        <v>100.00000000000001</v>
      </c>
    </row>
    <row r="5" spans="3:8" x14ac:dyDescent="0.25">
      <c r="C5" s="97">
        <v>4</v>
      </c>
      <c r="D5" s="97">
        <v>7</v>
      </c>
      <c r="E5" s="97">
        <v>6</v>
      </c>
      <c r="F5" s="97">
        <v>16</v>
      </c>
      <c r="G5" s="98">
        <v>10.000000000000002</v>
      </c>
    </row>
    <row r="6" spans="3:8" x14ac:dyDescent="0.25">
      <c r="C6" s="97">
        <v>5</v>
      </c>
      <c r="D6" s="97">
        <v>9</v>
      </c>
      <c r="E6" s="97">
        <v>3</v>
      </c>
      <c r="F6" s="97">
        <v>32</v>
      </c>
      <c r="G6" s="98">
        <v>1.0000000000000004</v>
      </c>
    </row>
    <row r="7" spans="3:8" x14ac:dyDescent="0.25">
      <c r="C7" s="97">
        <v>6</v>
      </c>
      <c r="D7" s="97">
        <v>11</v>
      </c>
      <c r="E7" s="97"/>
      <c r="F7" s="97"/>
      <c r="G7" s="98"/>
    </row>
    <row r="8" spans="3:8" x14ac:dyDescent="0.25">
      <c r="C8" s="97">
        <v>7</v>
      </c>
      <c r="D8" s="97">
        <v>13</v>
      </c>
      <c r="E8" s="97"/>
      <c r="F8" s="97"/>
      <c r="G8" s="98"/>
    </row>
    <row r="9" spans="3:8" x14ac:dyDescent="0.25">
      <c r="C9" s="97">
        <v>8</v>
      </c>
      <c r="D9" s="97">
        <v>15</v>
      </c>
      <c r="E9" s="97"/>
      <c r="F9" s="97"/>
      <c r="G9" s="98"/>
    </row>
    <row r="10" spans="3:8" x14ac:dyDescent="0.25">
      <c r="C10" s="97">
        <v>9</v>
      </c>
      <c r="D10" s="97"/>
      <c r="E10" s="97"/>
      <c r="F10" s="97"/>
      <c r="G10" s="98"/>
    </row>
    <row r="11" spans="3:8" x14ac:dyDescent="0.25">
      <c r="C11" s="97">
        <v>10</v>
      </c>
      <c r="D11" s="97"/>
      <c r="E11" s="97"/>
      <c r="F11" s="97"/>
      <c r="G11" s="98"/>
    </row>
    <row r="12" spans="3:8" x14ac:dyDescent="0.25">
      <c r="C12" s="97">
        <v>11</v>
      </c>
      <c r="D12" s="97"/>
      <c r="E12" s="97"/>
      <c r="F12" s="97"/>
      <c r="G12" s="98"/>
    </row>
    <row r="13" spans="3:8" x14ac:dyDescent="0.25">
      <c r="C13" s="97">
        <v>12</v>
      </c>
      <c r="D13" s="97"/>
      <c r="E13" s="97"/>
      <c r="F13" s="97"/>
      <c r="G13" s="98"/>
    </row>
    <row r="14" spans="3:8" x14ac:dyDescent="0.25">
      <c r="C14" s="97">
        <v>13</v>
      </c>
      <c r="D14" s="97"/>
      <c r="E14" s="97"/>
      <c r="F14" s="97"/>
      <c r="G14" s="98"/>
    </row>
    <row r="15" spans="3:8" x14ac:dyDescent="0.25">
      <c r="C15" s="97">
        <v>14</v>
      </c>
      <c r="D15" s="97"/>
      <c r="E15" s="97"/>
      <c r="F15" s="97"/>
      <c r="G15" s="98"/>
    </row>
    <row r="16" spans="3:8" x14ac:dyDescent="0.25">
      <c r="C16" s="97">
        <v>15</v>
      </c>
      <c r="D16" s="97"/>
      <c r="E16" s="97"/>
      <c r="F16" s="97"/>
      <c r="G16" s="98"/>
    </row>
    <row r="17" spans="3:7" x14ac:dyDescent="0.25">
      <c r="C17" s="97">
        <v>16</v>
      </c>
      <c r="D17" s="97"/>
      <c r="E17" s="97"/>
      <c r="F17" s="97"/>
      <c r="G17" s="98"/>
    </row>
    <row r="18" spans="3:7" x14ac:dyDescent="0.25">
      <c r="C18" s="97">
        <v>17</v>
      </c>
      <c r="D18" s="97"/>
      <c r="E18" s="97"/>
      <c r="F18" s="97"/>
      <c r="G18" s="98"/>
    </row>
    <row r="19" spans="3:7" x14ac:dyDescent="0.25">
      <c r="C19" s="97">
        <v>18</v>
      </c>
      <c r="D19" s="97"/>
      <c r="E19" s="97"/>
      <c r="F19" s="97"/>
      <c r="G19" s="98"/>
    </row>
    <row r="20" spans="3:7" x14ac:dyDescent="0.25">
      <c r="C20" s="97">
        <v>19</v>
      </c>
      <c r="D20" s="97"/>
      <c r="E20" s="97"/>
      <c r="F20" s="97"/>
      <c r="G20" s="98"/>
    </row>
    <row r="21" spans="3:7" x14ac:dyDescent="0.25">
      <c r="C21" s="97">
        <v>20</v>
      </c>
      <c r="D21" s="97"/>
      <c r="E21" s="97"/>
      <c r="F21" s="97"/>
      <c r="G21" s="98"/>
    </row>
    <row r="22" spans="3:7" x14ac:dyDescent="0.25">
      <c r="C22" s="97">
        <v>21</v>
      </c>
      <c r="D22" s="97"/>
      <c r="E22" s="97"/>
      <c r="F22" s="97"/>
      <c r="G22" s="98"/>
    </row>
    <row r="23" spans="3:7" x14ac:dyDescent="0.25">
      <c r="C23" s="97">
        <v>22</v>
      </c>
      <c r="D23" s="97"/>
      <c r="E23" s="97"/>
      <c r="F23" s="97"/>
      <c r="G23" s="98"/>
    </row>
    <row r="24" spans="3:7" x14ac:dyDescent="0.25">
      <c r="C24" s="97">
        <v>23</v>
      </c>
      <c r="D24" s="97"/>
      <c r="E24" s="97"/>
      <c r="F24" s="97"/>
      <c r="G24" s="98"/>
    </row>
    <row r="25" spans="3:7" x14ac:dyDescent="0.25">
      <c r="C25" s="97">
        <v>24</v>
      </c>
      <c r="D25" s="97"/>
      <c r="E25" s="97"/>
      <c r="F25" s="97"/>
      <c r="G25" s="98"/>
    </row>
    <row r="26" spans="3:7" x14ac:dyDescent="0.25">
      <c r="C26" s="97">
        <v>25</v>
      </c>
      <c r="D26" s="97"/>
      <c r="E26" s="97"/>
      <c r="F26" s="97"/>
      <c r="G26" s="98"/>
    </row>
    <row r="27" spans="3:7" x14ac:dyDescent="0.25">
      <c r="C27" s="97">
        <v>26</v>
      </c>
      <c r="D27" s="97"/>
      <c r="E27" s="97"/>
      <c r="F27" s="97"/>
      <c r="G27" s="98"/>
    </row>
    <row r="28" spans="3:7" x14ac:dyDescent="0.25">
      <c r="C28" s="97">
        <v>27</v>
      </c>
      <c r="D28" s="97"/>
      <c r="E28" s="97"/>
      <c r="F28" s="97"/>
      <c r="G28" s="98"/>
    </row>
    <row r="29" spans="3:7" x14ac:dyDescent="0.25">
      <c r="C29" s="97">
        <v>28</v>
      </c>
      <c r="D29" s="97"/>
      <c r="E29" s="97"/>
      <c r="F29" s="97"/>
      <c r="G29" s="98"/>
    </row>
    <row r="30" spans="3:7" x14ac:dyDescent="0.25">
      <c r="C30" s="97">
        <v>29</v>
      </c>
      <c r="D30" s="97"/>
      <c r="E30" s="97"/>
      <c r="F30" s="97"/>
      <c r="G30" s="98"/>
    </row>
    <row r="31" spans="3:7" x14ac:dyDescent="0.25">
      <c r="C31" s="97">
        <v>30</v>
      </c>
      <c r="D31" s="97"/>
      <c r="E31" s="97"/>
      <c r="F31" s="97"/>
      <c r="G31" s="98"/>
    </row>
    <row r="32" spans="3:7" x14ac:dyDescent="0.25">
      <c r="C32" s="97">
        <v>31</v>
      </c>
      <c r="D32" s="97"/>
      <c r="E32" s="97"/>
      <c r="F32" s="97"/>
      <c r="G32" s="98"/>
    </row>
    <row r="33" spans="3:7" x14ac:dyDescent="0.25">
      <c r="C33" s="97">
        <v>32</v>
      </c>
      <c r="D33" s="97"/>
      <c r="E33" s="97"/>
      <c r="F33" s="97"/>
      <c r="G33" s="98"/>
    </row>
    <row r="34" spans="3:7" x14ac:dyDescent="0.25">
      <c r="C34" s="97">
        <v>33</v>
      </c>
      <c r="D34" s="97"/>
      <c r="E34" s="97"/>
      <c r="F34" s="97"/>
      <c r="G34" s="98"/>
    </row>
    <row r="35" spans="3:7" x14ac:dyDescent="0.25">
      <c r="C35" s="97">
        <v>34</v>
      </c>
      <c r="D35" s="97"/>
      <c r="E35" s="97"/>
      <c r="F35" s="97"/>
      <c r="G35" s="98"/>
    </row>
    <row r="36" spans="3:7" x14ac:dyDescent="0.25">
      <c r="C36" s="97">
        <v>35</v>
      </c>
      <c r="D36" s="97"/>
      <c r="E36" s="97"/>
      <c r="F36" s="97"/>
      <c r="G36" s="98"/>
    </row>
    <row r="37" spans="3:7" x14ac:dyDescent="0.25">
      <c r="C37" s="97">
        <v>36</v>
      </c>
      <c r="D37" s="97"/>
      <c r="E37" s="97"/>
      <c r="F37" s="97"/>
      <c r="G37" s="98"/>
    </row>
    <row r="38" spans="3:7" x14ac:dyDescent="0.25">
      <c r="C38" s="97">
        <v>37</v>
      </c>
      <c r="D38" s="97"/>
      <c r="E38" s="97"/>
      <c r="F38" s="97"/>
      <c r="G38" s="98"/>
    </row>
    <row r="39" spans="3:7" x14ac:dyDescent="0.25">
      <c r="C39" s="97">
        <v>38</v>
      </c>
      <c r="D39" s="97"/>
      <c r="E39" s="97"/>
      <c r="F39" s="97"/>
      <c r="G39" s="98"/>
    </row>
    <row r="40" spans="3:7" x14ac:dyDescent="0.25">
      <c r="C40" s="97">
        <v>39</v>
      </c>
      <c r="D40" s="97"/>
      <c r="E40" s="97"/>
      <c r="F40" s="97"/>
      <c r="G40" s="98"/>
    </row>
    <row r="41" spans="3:7" x14ac:dyDescent="0.25">
      <c r="C41" s="97">
        <v>40</v>
      </c>
      <c r="D41" s="97"/>
      <c r="E41" s="97"/>
      <c r="F41" s="97"/>
      <c r="G41" s="98"/>
    </row>
    <row r="42" spans="3:7" x14ac:dyDescent="0.25">
      <c r="C42" s="97">
        <v>41</v>
      </c>
      <c r="D42" s="97"/>
      <c r="E42" s="97"/>
      <c r="F42" s="97"/>
      <c r="G42" s="98"/>
    </row>
    <row r="43" spans="3:7" x14ac:dyDescent="0.25">
      <c r="C43" s="97">
        <v>42</v>
      </c>
      <c r="D43" s="97"/>
      <c r="E43" s="97"/>
      <c r="F43" s="97"/>
      <c r="G43" s="98"/>
    </row>
    <row r="44" spans="3:7" x14ac:dyDescent="0.25">
      <c r="C44" s="97">
        <v>43</v>
      </c>
      <c r="D44" s="97"/>
      <c r="E44" s="97"/>
      <c r="F44" s="97"/>
      <c r="G44" s="98"/>
    </row>
    <row r="45" spans="3:7" x14ac:dyDescent="0.25">
      <c r="C45" s="97">
        <v>44</v>
      </c>
      <c r="D45" s="97"/>
      <c r="E45" s="97"/>
      <c r="F45" s="97"/>
      <c r="G45" s="98"/>
    </row>
    <row r="46" spans="3:7" x14ac:dyDescent="0.25">
      <c r="C46" s="97">
        <v>45</v>
      </c>
      <c r="D46" s="97"/>
      <c r="E46" s="97"/>
      <c r="F46" s="97"/>
      <c r="G46" s="98"/>
    </row>
    <row r="47" spans="3:7" x14ac:dyDescent="0.25">
      <c r="C47" s="97">
        <v>46</v>
      </c>
      <c r="D47" s="97"/>
      <c r="E47" s="97"/>
      <c r="F47" s="97"/>
      <c r="G47" s="98"/>
    </row>
    <row r="48" spans="3:7" x14ac:dyDescent="0.25">
      <c r="C48" s="97">
        <v>47</v>
      </c>
      <c r="D48" s="97"/>
      <c r="E48" s="97"/>
      <c r="F48" s="97"/>
      <c r="G48" s="98"/>
    </row>
    <row r="49" spans="3:8" x14ac:dyDescent="0.25">
      <c r="C49" s="97">
        <v>48</v>
      </c>
      <c r="D49" s="97"/>
      <c r="E49" s="97"/>
      <c r="F49" s="97"/>
      <c r="G49" s="98"/>
    </row>
    <row r="50" spans="3:8" x14ac:dyDescent="0.25">
      <c r="C50" s="97">
        <v>49</v>
      </c>
      <c r="D50" s="97"/>
      <c r="E50" s="97"/>
      <c r="F50" s="97"/>
      <c r="G50" s="98"/>
    </row>
    <row r="51" spans="3:8" x14ac:dyDescent="0.25">
      <c r="C51" s="99">
        <v>50</v>
      </c>
      <c r="D51" s="99"/>
      <c r="E51" s="99"/>
      <c r="F51" s="99"/>
      <c r="G51" s="100"/>
    </row>
    <row r="58" spans="3:8" ht="15.75" thickBot="1" x14ac:dyDescent="0.3"/>
    <row r="59" spans="3:8" x14ac:dyDescent="0.25">
      <c r="C59" s="236" t="s">
        <v>528</v>
      </c>
      <c r="D59" s="237"/>
      <c r="E59" s="237"/>
      <c r="F59" s="237"/>
      <c r="G59" s="237"/>
      <c r="H59" s="88"/>
    </row>
    <row r="60" spans="3:8" x14ac:dyDescent="0.25">
      <c r="C60" s="91" cm="1">
        <f t="array" ref="C60:G64">_xlfn.SEQUENCE(5,5,1,5)</f>
        <v>1</v>
      </c>
      <c r="D60" s="92">
        <v>6</v>
      </c>
      <c r="E60" s="92">
        <v>11</v>
      </c>
      <c r="F60" s="92">
        <v>16</v>
      </c>
      <c r="G60" s="92">
        <v>21</v>
      </c>
      <c r="H60" s="89"/>
    </row>
    <row r="61" spans="3:8" x14ac:dyDescent="0.25">
      <c r="C61" s="91">
        <v>26</v>
      </c>
      <c r="D61" s="92">
        <v>31</v>
      </c>
      <c r="E61" s="92">
        <v>36</v>
      </c>
      <c r="F61" s="92">
        <v>41</v>
      </c>
      <c r="G61" s="92">
        <v>46</v>
      </c>
      <c r="H61" s="89"/>
    </row>
    <row r="62" spans="3:8" x14ac:dyDescent="0.25">
      <c r="C62" s="91">
        <v>51</v>
      </c>
      <c r="D62" s="92">
        <v>56</v>
      </c>
      <c r="E62" s="92">
        <v>61</v>
      </c>
      <c r="F62" s="92">
        <v>66</v>
      </c>
      <c r="G62" s="92">
        <v>71</v>
      </c>
      <c r="H62" s="89"/>
    </row>
    <row r="63" spans="3:8" x14ac:dyDescent="0.25">
      <c r="C63" s="91">
        <v>76</v>
      </c>
      <c r="D63" s="92">
        <v>81</v>
      </c>
      <c r="E63" s="92">
        <v>86</v>
      </c>
      <c r="F63" s="92">
        <v>91</v>
      </c>
      <c r="G63" s="92">
        <v>96</v>
      </c>
      <c r="H63" s="89"/>
    </row>
    <row r="64" spans="3:8" ht="15.75" thickBot="1" x14ac:dyDescent="0.3">
      <c r="C64" s="93">
        <v>101</v>
      </c>
      <c r="D64" s="94">
        <v>106</v>
      </c>
      <c r="E64" s="94">
        <v>111</v>
      </c>
      <c r="F64" s="94">
        <v>116</v>
      </c>
      <c r="G64" s="94">
        <v>121</v>
      </c>
      <c r="H64" s="90"/>
    </row>
    <row r="72" spans="2:6" x14ac:dyDescent="0.25">
      <c r="B72" s="103" t="s">
        <v>529</v>
      </c>
      <c r="C72" s="103" t="s">
        <v>530</v>
      </c>
      <c r="D72" s="103" t="s">
        <v>531</v>
      </c>
    </row>
    <row r="73" spans="2:6" x14ac:dyDescent="0.25">
      <c r="B73" s="104">
        <v>46307</v>
      </c>
      <c r="C73" s="104">
        <v>46307</v>
      </c>
      <c r="D73" s="104">
        <v>46307</v>
      </c>
    </row>
    <row r="74" spans="2:6" x14ac:dyDescent="0.25">
      <c r="B74" s="104">
        <v>46308</v>
      </c>
      <c r="C74" s="104">
        <v>46308</v>
      </c>
      <c r="D74" s="104">
        <v>46308</v>
      </c>
    </row>
    <row r="75" spans="2:6" x14ac:dyDescent="0.25">
      <c r="B75" s="104">
        <v>46309</v>
      </c>
      <c r="C75" s="104">
        <v>46309</v>
      </c>
      <c r="D75" s="104">
        <v>46309</v>
      </c>
    </row>
    <row r="76" spans="2:6" x14ac:dyDescent="0.25">
      <c r="B76" s="104">
        <v>46310</v>
      </c>
      <c r="C76" s="104">
        <v>46310</v>
      </c>
      <c r="D76" s="104">
        <v>46310</v>
      </c>
    </row>
    <row r="77" spans="2:6" x14ac:dyDescent="0.25">
      <c r="B77" s="104">
        <v>46311</v>
      </c>
      <c r="C77" s="104">
        <v>46311</v>
      </c>
      <c r="D77" s="104">
        <v>46311</v>
      </c>
    </row>
    <row r="78" spans="2:6" x14ac:dyDescent="0.25">
      <c r="B78" s="104">
        <v>46312</v>
      </c>
      <c r="C78" s="104">
        <v>46312</v>
      </c>
      <c r="D78" s="104">
        <v>46314</v>
      </c>
      <c r="E78" s="101"/>
      <c r="F78" s="101"/>
    </row>
    <row r="79" spans="2:6" x14ac:dyDescent="0.25">
      <c r="B79" s="92"/>
      <c r="C79" s="104">
        <v>46313</v>
      </c>
      <c r="D79" s="104">
        <v>46315</v>
      </c>
    </row>
    <row r="80" spans="2:6" x14ac:dyDescent="0.25">
      <c r="B80" s="92"/>
      <c r="C80" s="104">
        <v>46314</v>
      </c>
      <c r="D80" s="92"/>
    </row>
    <row r="81" spans="2:4" x14ac:dyDescent="0.25">
      <c r="B81" s="92"/>
      <c r="C81" s="104">
        <v>46315</v>
      </c>
      <c r="D81" s="92"/>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A9B-599E-4E01-93D8-9B26DF567D80}">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106" t="s">
        <v>469</v>
      </c>
      <c r="B1" s="106" t="s">
        <v>0</v>
      </c>
      <c r="C1" s="106" t="s">
        <v>470</v>
      </c>
      <c r="D1" s="106" t="s">
        <v>6</v>
      </c>
      <c r="E1" s="106" t="s">
        <v>36</v>
      </c>
      <c r="F1" s="106" t="s">
        <v>471</v>
      </c>
      <c r="G1" s="106" t="s">
        <v>472</v>
      </c>
      <c r="H1" s="106" t="s">
        <v>532</v>
      </c>
      <c r="I1" s="106" t="s">
        <v>533</v>
      </c>
      <c r="J1" s="107" t="s">
        <v>533</v>
      </c>
    </row>
    <row r="2" spans="1:10" x14ac:dyDescent="0.25">
      <c r="A2" s="109">
        <v>46308</v>
      </c>
      <c r="B2" s="105" t="s">
        <v>40</v>
      </c>
      <c r="C2" s="105" t="s">
        <v>473</v>
      </c>
      <c r="D2" s="105" t="s">
        <v>93</v>
      </c>
      <c r="E2" s="105" t="s">
        <v>57</v>
      </c>
      <c r="F2" s="105">
        <v>38278</v>
      </c>
      <c r="G2" s="105">
        <v>137196</v>
      </c>
      <c r="H2" s="108">
        <f>F2-G2</f>
        <v>-98918</v>
      </c>
      <c r="I2" s="108" t="str">
        <f>IF(F2&gt;=G2,"Achieved","Pending")</f>
        <v>Pending</v>
      </c>
      <c r="J2" s="110" t="b">
        <f>AND(H2&gt;0,G2&gt;50000)</f>
        <v>0</v>
      </c>
    </row>
    <row r="3" spans="1:10" x14ac:dyDescent="0.25">
      <c r="A3" s="109">
        <v>46309</v>
      </c>
      <c r="B3" s="105" t="s">
        <v>58</v>
      </c>
      <c r="C3" s="105" t="s">
        <v>474</v>
      </c>
      <c r="D3" s="105" t="s">
        <v>185</v>
      </c>
      <c r="E3" s="105" t="s">
        <v>74</v>
      </c>
      <c r="F3" s="105">
        <v>64256</v>
      </c>
      <c r="G3" s="105">
        <v>58289</v>
      </c>
      <c r="H3" s="108">
        <f t="shared" ref="H3:H51" si="0">F3-G3</f>
        <v>5967</v>
      </c>
      <c r="I3" s="108" t="str">
        <f t="shared" ref="I3:I51" si="1">IF(F3&gt;=G3,"Achieved","Pending")</f>
        <v>Achieved</v>
      </c>
      <c r="J3" s="110" t="b">
        <f t="shared" ref="J3:J51" si="2">AND(H3&gt;0,G3&gt;50000)</f>
        <v>1</v>
      </c>
    </row>
    <row r="4" spans="1:10" x14ac:dyDescent="0.25">
      <c r="A4" s="109">
        <v>46310</v>
      </c>
      <c r="B4" s="105" t="s">
        <v>75</v>
      </c>
      <c r="C4" s="105" t="s">
        <v>475</v>
      </c>
      <c r="D4" s="105" t="s">
        <v>93</v>
      </c>
      <c r="E4" s="105" t="s">
        <v>87</v>
      </c>
      <c r="F4" s="105">
        <v>123696</v>
      </c>
      <c r="G4" s="105">
        <v>137080</v>
      </c>
      <c r="H4" s="108">
        <f t="shared" si="0"/>
        <v>-13384</v>
      </c>
      <c r="I4" s="108" t="str">
        <f t="shared" si="1"/>
        <v>Pending</v>
      </c>
      <c r="J4" s="110" t="b">
        <f t="shared" si="2"/>
        <v>0</v>
      </c>
    </row>
    <row r="5" spans="1:10" x14ac:dyDescent="0.25">
      <c r="A5" s="109">
        <v>46311</v>
      </c>
      <c r="B5" s="105" t="s">
        <v>88</v>
      </c>
      <c r="C5" s="105" t="s">
        <v>476</v>
      </c>
      <c r="D5" s="105" t="s">
        <v>80</v>
      </c>
      <c r="E5" s="105" t="s">
        <v>103</v>
      </c>
      <c r="F5" s="105">
        <v>112397</v>
      </c>
      <c r="G5" s="105">
        <v>95302</v>
      </c>
      <c r="H5" s="108">
        <f t="shared" si="0"/>
        <v>17095</v>
      </c>
      <c r="I5" s="108" t="str">
        <f t="shared" si="1"/>
        <v>Achieved</v>
      </c>
      <c r="J5" s="110" t="b">
        <f t="shared" si="2"/>
        <v>1</v>
      </c>
    </row>
    <row r="6" spans="1:10" x14ac:dyDescent="0.25">
      <c r="A6" s="109">
        <v>46312</v>
      </c>
      <c r="B6" s="105" t="s">
        <v>104</v>
      </c>
      <c r="C6" s="105" t="s">
        <v>477</v>
      </c>
      <c r="D6" s="105" t="s">
        <v>134</v>
      </c>
      <c r="E6" s="105" t="s">
        <v>74</v>
      </c>
      <c r="F6" s="105">
        <v>47280</v>
      </c>
      <c r="G6" s="105">
        <v>68657</v>
      </c>
      <c r="H6" s="108">
        <f t="shared" si="0"/>
        <v>-21377</v>
      </c>
      <c r="I6" s="108" t="str">
        <f t="shared" si="1"/>
        <v>Pending</v>
      </c>
      <c r="J6" s="110" t="b">
        <f t="shared" si="2"/>
        <v>0</v>
      </c>
    </row>
    <row r="7" spans="1:10" x14ac:dyDescent="0.25">
      <c r="A7" s="109">
        <v>46313</v>
      </c>
      <c r="B7" s="105" t="s">
        <v>114</v>
      </c>
      <c r="C7" s="105" t="s">
        <v>478</v>
      </c>
      <c r="D7" s="105" t="s">
        <v>45</v>
      </c>
      <c r="E7" s="105" t="s">
        <v>123</v>
      </c>
      <c r="F7" s="105">
        <v>108563</v>
      </c>
      <c r="G7" s="105">
        <v>66062</v>
      </c>
      <c r="H7" s="108">
        <f t="shared" si="0"/>
        <v>42501</v>
      </c>
      <c r="I7" s="108" t="str">
        <f t="shared" si="1"/>
        <v>Achieved</v>
      </c>
      <c r="J7" s="110" t="b">
        <f t="shared" si="2"/>
        <v>1</v>
      </c>
    </row>
    <row r="8" spans="1:10" x14ac:dyDescent="0.25">
      <c r="A8" s="109">
        <v>46314</v>
      </c>
      <c r="B8" s="105" t="s">
        <v>124</v>
      </c>
      <c r="C8" s="105" t="s">
        <v>479</v>
      </c>
      <c r="D8" s="105" t="s">
        <v>93</v>
      </c>
      <c r="E8" s="105" t="s">
        <v>57</v>
      </c>
      <c r="F8" s="105">
        <v>63893</v>
      </c>
      <c r="G8" s="105">
        <v>98878</v>
      </c>
      <c r="H8" s="108">
        <f t="shared" si="0"/>
        <v>-34985</v>
      </c>
      <c r="I8" s="108" t="str">
        <f t="shared" si="1"/>
        <v>Pending</v>
      </c>
      <c r="J8" s="110" t="b">
        <f t="shared" si="2"/>
        <v>0</v>
      </c>
    </row>
    <row r="9" spans="1:10" x14ac:dyDescent="0.25">
      <c r="A9" s="109">
        <v>46315</v>
      </c>
      <c r="B9" s="105" t="s">
        <v>132</v>
      </c>
      <c r="C9" s="105" t="s">
        <v>480</v>
      </c>
      <c r="D9" s="105" t="s">
        <v>80</v>
      </c>
      <c r="E9" s="105" t="s">
        <v>103</v>
      </c>
      <c r="F9" s="105">
        <v>141093</v>
      </c>
      <c r="G9" s="105">
        <v>40851</v>
      </c>
      <c r="H9" s="108">
        <f t="shared" si="0"/>
        <v>100242</v>
      </c>
      <c r="I9" s="108" t="str">
        <f t="shared" si="1"/>
        <v>Achieved</v>
      </c>
      <c r="J9" s="110" t="b">
        <f t="shared" si="2"/>
        <v>0</v>
      </c>
    </row>
    <row r="10" spans="1:10" x14ac:dyDescent="0.25">
      <c r="A10" s="109">
        <v>46316</v>
      </c>
      <c r="B10" s="105" t="s">
        <v>141</v>
      </c>
      <c r="C10" s="105" t="s">
        <v>481</v>
      </c>
      <c r="D10" s="105" t="s">
        <v>45</v>
      </c>
      <c r="E10" s="105" t="s">
        <v>123</v>
      </c>
      <c r="F10" s="105">
        <v>79597</v>
      </c>
      <c r="G10" s="105">
        <v>76421</v>
      </c>
      <c r="H10" s="108">
        <f t="shared" si="0"/>
        <v>3176</v>
      </c>
      <c r="I10" s="108" t="str">
        <f t="shared" si="1"/>
        <v>Achieved</v>
      </c>
      <c r="J10" s="110" t="b">
        <f t="shared" si="2"/>
        <v>1</v>
      </c>
    </row>
    <row r="11" spans="1:10" x14ac:dyDescent="0.25">
      <c r="A11" s="109">
        <v>46317</v>
      </c>
      <c r="B11" s="105" t="s">
        <v>151</v>
      </c>
      <c r="C11" s="105" t="s">
        <v>482</v>
      </c>
      <c r="D11" s="105" t="s">
        <v>45</v>
      </c>
      <c r="E11" s="105" t="s">
        <v>87</v>
      </c>
      <c r="F11" s="105">
        <v>135072</v>
      </c>
      <c r="G11" s="105">
        <v>84118</v>
      </c>
      <c r="H11" s="108">
        <f t="shared" si="0"/>
        <v>50954</v>
      </c>
      <c r="I11" s="111" t="e" cm="1">
        <f t="array" aca="1" ref="I11" ca="1">IFabc(F11&gt;=G11,"Achieved","Pending")</f>
        <v>#NAME?</v>
      </c>
      <c r="J11" s="110" t="b">
        <f t="shared" si="2"/>
        <v>1</v>
      </c>
    </row>
    <row r="12" spans="1:10" x14ac:dyDescent="0.25">
      <c r="A12" s="109">
        <v>46318</v>
      </c>
      <c r="B12" s="105" t="s">
        <v>68</v>
      </c>
      <c r="C12" s="105" t="s">
        <v>483</v>
      </c>
      <c r="D12" s="105" t="s">
        <v>134</v>
      </c>
      <c r="E12" s="105" t="s">
        <v>57</v>
      </c>
      <c r="F12" s="105">
        <v>84797</v>
      </c>
      <c r="G12" s="105">
        <v>52676</v>
      </c>
      <c r="H12" s="108">
        <f t="shared" si="0"/>
        <v>32121</v>
      </c>
      <c r="I12" s="108" t="str">
        <f t="shared" si="1"/>
        <v>Achieved</v>
      </c>
      <c r="J12" s="110" t="b">
        <f t="shared" si="2"/>
        <v>1</v>
      </c>
    </row>
    <row r="13" spans="1:10" x14ac:dyDescent="0.25">
      <c r="A13" s="109">
        <v>46319</v>
      </c>
      <c r="B13" s="105" t="s">
        <v>163</v>
      </c>
      <c r="C13" s="105" t="s">
        <v>484</v>
      </c>
      <c r="D13" s="105" t="s">
        <v>185</v>
      </c>
      <c r="E13" s="105" t="s">
        <v>123</v>
      </c>
      <c r="F13" s="105">
        <v>20000</v>
      </c>
      <c r="G13" s="105">
        <v>74671</v>
      </c>
      <c r="H13" s="108">
        <f t="shared" si="0"/>
        <v>-54671</v>
      </c>
      <c r="I13" s="108" t="str">
        <f t="shared" si="1"/>
        <v>Pending</v>
      </c>
      <c r="J13" s="110" t="b">
        <f t="shared" si="2"/>
        <v>0</v>
      </c>
    </row>
    <row r="14" spans="1:10" x14ac:dyDescent="0.25">
      <c r="A14" s="109">
        <v>46320</v>
      </c>
      <c r="B14" s="105" t="s">
        <v>170</v>
      </c>
      <c r="C14" s="105" t="s">
        <v>485</v>
      </c>
      <c r="D14" s="105" t="s">
        <v>134</v>
      </c>
      <c r="E14" s="105" t="s">
        <v>123</v>
      </c>
      <c r="F14" s="105">
        <v>105284</v>
      </c>
      <c r="G14" s="105">
        <v>56361</v>
      </c>
      <c r="H14" s="108">
        <f t="shared" si="0"/>
        <v>48923</v>
      </c>
      <c r="I14" s="108" t="str">
        <f t="shared" si="1"/>
        <v>Achieved</v>
      </c>
      <c r="J14" s="110" t="b">
        <f t="shared" si="2"/>
        <v>1</v>
      </c>
    </row>
    <row r="15" spans="1:10" x14ac:dyDescent="0.25">
      <c r="A15" s="109">
        <v>46321</v>
      </c>
      <c r="B15" s="105" t="s">
        <v>175</v>
      </c>
      <c r="C15" s="105" t="s">
        <v>486</v>
      </c>
      <c r="D15" s="105" t="s">
        <v>126</v>
      </c>
      <c r="E15" s="105" t="s">
        <v>57</v>
      </c>
      <c r="F15" s="105">
        <v>20000</v>
      </c>
      <c r="G15" s="105">
        <v>78427</v>
      </c>
      <c r="H15" s="108">
        <f t="shared" si="0"/>
        <v>-58427</v>
      </c>
      <c r="I15" s="108" t="str">
        <f t="shared" si="1"/>
        <v>Pending</v>
      </c>
      <c r="J15" s="110" t="b">
        <f t="shared" si="2"/>
        <v>0</v>
      </c>
    </row>
    <row r="16" spans="1:10" x14ac:dyDescent="0.25">
      <c r="A16" s="109">
        <v>46322</v>
      </c>
      <c r="B16" s="105" t="s">
        <v>180</v>
      </c>
      <c r="C16" s="105" t="s">
        <v>487</v>
      </c>
      <c r="D16" s="105" t="s">
        <v>93</v>
      </c>
      <c r="E16" s="105" t="s">
        <v>87</v>
      </c>
      <c r="F16" s="105">
        <v>110674</v>
      </c>
      <c r="G16" s="105">
        <v>65203</v>
      </c>
      <c r="H16" s="108">
        <f t="shared" si="0"/>
        <v>45471</v>
      </c>
      <c r="I16" s="108" t="str">
        <f t="shared" si="1"/>
        <v>Achieved</v>
      </c>
      <c r="J16" s="110" t="b">
        <f t="shared" si="2"/>
        <v>1</v>
      </c>
    </row>
    <row r="17" spans="1:10" x14ac:dyDescent="0.25">
      <c r="A17" s="109">
        <v>46323</v>
      </c>
      <c r="B17" s="105" t="s">
        <v>129</v>
      </c>
      <c r="C17" s="105" t="s">
        <v>488</v>
      </c>
      <c r="D17" s="105" t="s">
        <v>93</v>
      </c>
      <c r="E17" s="105" t="s">
        <v>103</v>
      </c>
      <c r="F17" s="105">
        <v>41006</v>
      </c>
      <c r="G17" s="105">
        <v>126673</v>
      </c>
      <c r="H17" s="108">
        <f t="shared" si="0"/>
        <v>-85667</v>
      </c>
      <c r="I17" s="108" t="str">
        <f t="shared" si="1"/>
        <v>Pending</v>
      </c>
      <c r="J17" s="110" t="b">
        <f t="shared" si="2"/>
        <v>0</v>
      </c>
    </row>
    <row r="18" spans="1:10" x14ac:dyDescent="0.25">
      <c r="A18" s="109">
        <v>46324</v>
      </c>
      <c r="B18" s="105" t="s">
        <v>190</v>
      </c>
      <c r="C18" s="105" t="s">
        <v>489</v>
      </c>
      <c r="D18" s="105" t="s">
        <v>45</v>
      </c>
      <c r="E18" s="105" t="s">
        <v>57</v>
      </c>
      <c r="F18" s="105">
        <v>45458</v>
      </c>
      <c r="G18" s="105">
        <v>70512</v>
      </c>
      <c r="H18" s="108">
        <f t="shared" si="0"/>
        <v>-25054</v>
      </c>
      <c r="I18" s="108" t="str">
        <f t="shared" si="1"/>
        <v>Pending</v>
      </c>
      <c r="J18" s="110" t="b">
        <f t="shared" si="2"/>
        <v>0</v>
      </c>
    </row>
    <row r="19" spans="1:10" x14ac:dyDescent="0.25">
      <c r="A19" s="109">
        <v>46325</v>
      </c>
      <c r="B19" s="105" t="s">
        <v>195</v>
      </c>
      <c r="C19" s="105" t="s">
        <v>490</v>
      </c>
      <c r="D19" s="105" t="s">
        <v>134</v>
      </c>
      <c r="E19" s="105" t="s">
        <v>87</v>
      </c>
      <c r="F19" s="105">
        <v>71434</v>
      </c>
      <c r="G19" s="105">
        <v>99429</v>
      </c>
      <c r="H19" s="108">
        <f t="shared" si="0"/>
        <v>-27995</v>
      </c>
      <c r="I19" s="108" t="str">
        <f t="shared" si="1"/>
        <v>Pending</v>
      </c>
      <c r="J19" s="110" t="b">
        <f t="shared" si="2"/>
        <v>0</v>
      </c>
    </row>
    <row r="20" spans="1:10" x14ac:dyDescent="0.25">
      <c r="A20" s="109">
        <v>46326</v>
      </c>
      <c r="B20" s="105" t="s">
        <v>200</v>
      </c>
      <c r="C20" s="105" t="s">
        <v>491</v>
      </c>
      <c r="D20" s="105" t="s">
        <v>93</v>
      </c>
      <c r="E20" s="105" t="s">
        <v>123</v>
      </c>
      <c r="F20" s="105">
        <v>56319</v>
      </c>
      <c r="G20" s="105">
        <v>88520</v>
      </c>
      <c r="H20" s="108">
        <f t="shared" si="0"/>
        <v>-32201</v>
      </c>
      <c r="I20" s="108" t="str">
        <f t="shared" si="1"/>
        <v>Pending</v>
      </c>
      <c r="J20" s="110" t="b">
        <f t="shared" si="2"/>
        <v>0</v>
      </c>
    </row>
    <row r="21" spans="1:10" x14ac:dyDescent="0.25">
      <c r="A21" s="109">
        <v>46327</v>
      </c>
      <c r="B21" s="105" t="s">
        <v>205</v>
      </c>
      <c r="C21" s="105" t="s">
        <v>492</v>
      </c>
      <c r="D21" s="105" t="s">
        <v>185</v>
      </c>
      <c r="E21" s="105" t="s">
        <v>123</v>
      </c>
      <c r="F21" s="105">
        <v>122841</v>
      </c>
      <c r="G21" s="105">
        <v>74993</v>
      </c>
      <c r="H21" s="108">
        <f t="shared" si="0"/>
        <v>47848</v>
      </c>
      <c r="I21" s="108" t="str">
        <f t="shared" si="1"/>
        <v>Achieved</v>
      </c>
      <c r="J21" s="110" t="b">
        <f t="shared" si="2"/>
        <v>1</v>
      </c>
    </row>
    <row r="22" spans="1:10" x14ac:dyDescent="0.25">
      <c r="A22" s="109">
        <v>46328</v>
      </c>
      <c r="B22" s="105" t="s">
        <v>210</v>
      </c>
      <c r="C22" s="105" t="s">
        <v>493</v>
      </c>
      <c r="D22" s="105" t="s">
        <v>93</v>
      </c>
      <c r="E22" s="105" t="s">
        <v>74</v>
      </c>
      <c r="F22" s="105">
        <v>114840</v>
      </c>
      <c r="G22" s="105">
        <v>123227</v>
      </c>
      <c r="H22" s="108">
        <f t="shared" si="0"/>
        <v>-8387</v>
      </c>
      <c r="I22" s="111" t="e" cm="1">
        <f t="array" aca="1" ref="I22" ca="1">IFabc(F22&gt;=G22,"Achieved","Pending")</f>
        <v>#NAME?</v>
      </c>
      <c r="J22" s="110" t="b">
        <f t="shared" si="2"/>
        <v>0</v>
      </c>
    </row>
    <row r="23" spans="1:10" x14ac:dyDescent="0.25">
      <c r="A23" s="109">
        <v>46329</v>
      </c>
      <c r="B23" s="105" t="s">
        <v>215</v>
      </c>
      <c r="C23" s="105" t="s">
        <v>494</v>
      </c>
      <c r="D23" s="105" t="s">
        <v>45</v>
      </c>
      <c r="E23" s="105" t="s">
        <v>74</v>
      </c>
      <c r="F23" s="105">
        <v>56417</v>
      </c>
      <c r="G23" s="105">
        <v>100589</v>
      </c>
      <c r="H23" s="108">
        <f t="shared" si="0"/>
        <v>-44172</v>
      </c>
      <c r="I23" s="108" t="str">
        <f t="shared" si="1"/>
        <v>Pending</v>
      </c>
      <c r="J23" s="110" t="b">
        <f t="shared" si="2"/>
        <v>0</v>
      </c>
    </row>
    <row r="24" spans="1:10" x14ac:dyDescent="0.25">
      <c r="A24" s="109">
        <v>46330</v>
      </c>
      <c r="B24" s="105" t="s">
        <v>209</v>
      </c>
      <c r="C24" s="105" t="s">
        <v>495</v>
      </c>
      <c r="D24" s="105" t="s">
        <v>126</v>
      </c>
      <c r="E24" s="105" t="s">
        <v>87</v>
      </c>
      <c r="F24" s="105">
        <v>118886</v>
      </c>
      <c r="G24" s="105">
        <v>130198</v>
      </c>
      <c r="H24" s="108">
        <f t="shared" si="0"/>
        <v>-11312</v>
      </c>
      <c r="I24" s="108" t="str">
        <f t="shared" si="1"/>
        <v>Pending</v>
      </c>
      <c r="J24" s="110" t="b">
        <f t="shared" si="2"/>
        <v>0</v>
      </c>
    </row>
    <row r="25" spans="1:10" x14ac:dyDescent="0.25">
      <c r="A25" s="109">
        <v>46331</v>
      </c>
      <c r="B25" s="105" t="s">
        <v>223</v>
      </c>
      <c r="C25" s="105" t="s">
        <v>496</v>
      </c>
      <c r="D25" s="105" t="s">
        <v>80</v>
      </c>
      <c r="E25" s="105" t="s">
        <v>103</v>
      </c>
      <c r="F25" s="105">
        <v>124733</v>
      </c>
      <c r="G25" s="105">
        <v>82504</v>
      </c>
      <c r="H25" s="108">
        <f t="shared" si="0"/>
        <v>42229</v>
      </c>
      <c r="I25" s="108" t="str">
        <f t="shared" si="1"/>
        <v>Achieved</v>
      </c>
      <c r="J25" s="110" t="b">
        <f t="shared" si="2"/>
        <v>1</v>
      </c>
    </row>
    <row r="26" spans="1:10" x14ac:dyDescent="0.25">
      <c r="A26" s="109">
        <v>46332</v>
      </c>
      <c r="B26" s="105" t="s">
        <v>227</v>
      </c>
      <c r="C26" s="105" t="s">
        <v>497</v>
      </c>
      <c r="D26" s="105" t="s">
        <v>134</v>
      </c>
      <c r="E26" s="105" t="s">
        <v>123</v>
      </c>
      <c r="F26" s="105">
        <v>142715</v>
      </c>
      <c r="G26" s="105">
        <v>44207</v>
      </c>
      <c r="H26" s="108">
        <f t="shared" si="0"/>
        <v>98508</v>
      </c>
      <c r="I26" s="108" t="str">
        <f t="shared" si="1"/>
        <v>Achieved</v>
      </c>
      <c r="J26" s="110" t="b">
        <f t="shared" si="2"/>
        <v>0</v>
      </c>
    </row>
    <row r="27" spans="1:10" x14ac:dyDescent="0.25">
      <c r="A27" s="109">
        <v>46333</v>
      </c>
      <c r="B27" s="105" t="s">
        <v>222</v>
      </c>
      <c r="C27" s="105" t="s">
        <v>498</v>
      </c>
      <c r="D27" s="105" t="s">
        <v>185</v>
      </c>
      <c r="E27" s="105" t="s">
        <v>87</v>
      </c>
      <c r="F27" s="105">
        <v>70093</v>
      </c>
      <c r="G27" s="105">
        <v>48675</v>
      </c>
      <c r="H27" s="108">
        <f t="shared" si="0"/>
        <v>21418</v>
      </c>
      <c r="I27" s="108" t="str">
        <f t="shared" si="1"/>
        <v>Achieved</v>
      </c>
      <c r="J27" s="110" t="b">
        <f t="shared" si="2"/>
        <v>0</v>
      </c>
    </row>
    <row r="28" spans="1:10" x14ac:dyDescent="0.25">
      <c r="A28" s="109">
        <v>46334</v>
      </c>
      <c r="B28" s="105" t="s">
        <v>110</v>
      </c>
      <c r="C28" s="105" t="s">
        <v>499</v>
      </c>
      <c r="D28" s="105" t="s">
        <v>45</v>
      </c>
      <c r="E28" s="105" t="s">
        <v>87</v>
      </c>
      <c r="F28" s="105">
        <v>62869</v>
      </c>
      <c r="G28" s="105">
        <v>125909</v>
      </c>
      <c r="H28" s="108">
        <f t="shared" si="0"/>
        <v>-63040</v>
      </c>
      <c r="I28" s="108" t="str">
        <f t="shared" si="1"/>
        <v>Pending</v>
      </c>
      <c r="J28" s="110" t="b">
        <f t="shared" si="2"/>
        <v>0</v>
      </c>
    </row>
    <row r="29" spans="1:10" x14ac:dyDescent="0.25">
      <c r="A29" s="109">
        <v>46335</v>
      </c>
      <c r="B29" s="105" t="s">
        <v>138</v>
      </c>
      <c r="C29" s="105" t="s">
        <v>500</v>
      </c>
      <c r="D29" s="105" t="s">
        <v>126</v>
      </c>
      <c r="E29" s="105" t="s">
        <v>123</v>
      </c>
      <c r="F29" s="105">
        <v>119259</v>
      </c>
      <c r="G29" s="105">
        <v>100142</v>
      </c>
      <c r="H29" s="108">
        <f t="shared" si="0"/>
        <v>19117</v>
      </c>
      <c r="I29" s="111" t="e" cm="1">
        <f t="array" aca="1" ref="I29" ca="1">IFabc(F29&gt;=G29,"Achieved","Pending")</f>
        <v>#NAME?</v>
      </c>
      <c r="J29" s="110" t="b">
        <f t="shared" si="2"/>
        <v>1</v>
      </c>
    </row>
    <row r="30" spans="1:10" x14ac:dyDescent="0.25">
      <c r="A30" s="109">
        <v>46336</v>
      </c>
      <c r="B30" s="105" t="s">
        <v>243</v>
      </c>
      <c r="C30" s="105" t="s">
        <v>501</v>
      </c>
      <c r="D30" s="105" t="s">
        <v>45</v>
      </c>
      <c r="E30" s="105" t="s">
        <v>103</v>
      </c>
      <c r="F30" s="105">
        <v>53301</v>
      </c>
      <c r="G30" s="105">
        <v>72325</v>
      </c>
      <c r="H30" s="108">
        <f t="shared" si="0"/>
        <v>-19024</v>
      </c>
      <c r="I30" s="108" t="str">
        <f t="shared" si="1"/>
        <v>Pending</v>
      </c>
      <c r="J30" s="110" t="b">
        <f t="shared" si="2"/>
        <v>0</v>
      </c>
    </row>
    <row r="31" spans="1:10" x14ac:dyDescent="0.25">
      <c r="A31" s="109">
        <v>46337</v>
      </c>
      <c r="B31" s="105" t="s">
        <v>247</v>
      </c>
      <c r="C31" s="105" t="s">
        <v>502</v>
      </c>
      <c r="D31" s="105" t="s">
        <v>93</v>
      </c>
      <c r="E31" s="105" t="s">
        <v>74</v>
      </c>
      <c r="F31" s="105">
        <v>132912</v>
      </c>
      <c r="G31" s="105">
        <v>116622</v>
      </c>
      <c r="H31" s="108">
        <f t="shared" si="0"/>
        <v>16290</v>
      </c>
      <c r="I31" s="108" t="str">
        <f t="shared" si="1"/>
        <v>Achieved</v>
      </c>
      <c r="J31" s="110" t="b">
        <f t="shared" si="2"/>
        <v>1</v>
      </c>
    </row>
    <row r="32" spans="1:10" x14ac:dyDescent="0.25">
      <c r="A32" s="109">
        <v>46338</v>
      </c>
      <c r="B32" s="105" t="s">
        <v>251</v>
      </c>
      <c r="C32" s="105" t="s">
        <v>503</v>
      </c>
      <c r="D32" s="105" t="s">
        <v>126</v>
      </c>
      <c r="E32" s="105" t="s">
        <v>87</v>
      </c>
      <c r="F32" s="105">
        <v>82447</v>
      </c>
      <c r="G32" s="105">
        <v>68746</v>
      </c>
      <c r="H32" s="108">
        <f t="shared" si="0"/>
        <v>13701</v>
      </c>
      <c r="I32" s="108" t="str">
        <f t="shared" si="1"/>
        <v>Achieved</v>
      </c>
      <c r="J32" s="110" t="b">
        <f t="shared" si="2"/>
        <v>1</v>
      </c>
    </row>
    <row r="33" spans="1:10" x14ac:dyDescent="0.25">
      <c r="A33" s="109">
        <v>46339</v>
      </c>
      <c r="B33" s="105" t="s">
        <v>255</v>
      </c>
      <c r="C33" s="105" t="s">
        <v>504</v>
      </c>
      <c r="D33" s="105" t="s">
        <v>45</v>
      </c>
      <c r="E33" s="105" t="s">
        <v>123</v>
      </c>
      <c r="F33" s="105">
        <v>46915</v>
      </c>
      <c r="G33" s="105">
        <v>139061</v>
      </c>
      <c r="H33" s="108">
        <f t="shared" si="0"/>
        <v>-92146</v>
      </c>
      <c r="I33" s="108" t="str">
        <f t="shared" si="1"/>
        <v>Pending</v>
      </c>
      <c r="J33" s="110" t="b">
        <f t="shared" si="2"/>
        <v>0</v>
      </c>
    </row>
    <row r="34" spans="1:10" x14ac:dyDescent="0.25">
      <c r="A34" s="109">
        <v>46340</v>
      </c>
      <c r="B34" s="105" t="s">
        <v>258</v>
      </c>
      <c r="C34" s="105" t="s">
        <v>505</v>
      </c>
      <c r="D34" s="105" t="s">
        <v>134</v>
      </c>
      <c r="E34" s="105" t="s">
        <v>123</v>
      </c>
      <c r="F34" s="105">
        <v>55033</v>
      </c>
      <c r="G34" s="105">
        <v>122240</v>
      </c>
      <c r="H34" s="108">
        <f t="shared" si="0"/>
        <v>-67207</v>
      </c>
      <c r="I34" s="108" t="str">
        <f t="shared" si="1"/>
        <v>Pending</v>
      </c>
      <c r="J34" s="110" t="b">
        <f t="shared" si="2"/>
        <v>0</v>
      </c>
    </row>
    <row r="35" spans="1:10" x14ac:dyDescent="0.25">
      <c r="A35" s="109">
        <v>46341</v>
      </c>
      <c r="B35" s="105" t="s">
        <v>168</v>
      </c>
      <c r="C35" s="105" t="s">
        <v>506</v>
      </c>
      <c r="D35" s="105" t="s">
        <v>45</v>
      </c>
      <c r="E35" s="105" t="s">
        <v>74</v>
      </c>
      <c r="F35" s="105">
        <v>113172</v>
      </c>
      <c r="G35" s="105">
        <v>48326</v>
      </c>
      <c r="H35" s="108">
        <f t="shared" si="0"/>
        <v>64846</v>
      </c>
      <c r="I35" s="108" t="str">
        <f t="shared" si="1"/>
        <v>Achieved</v>
      </c>
      <c r="J35" s="110" t="b">
        <f t="shared" si="2"/>
        <v>0</v>
      </c>
    </row>
    <row r="36" spans="1:10" x14ac:dyDescent="0.25">
      <c r="A36" s="109">
        <v>46342</v>
      </c>
      <c r="B36" s="105" t="s">
        <v>240</v>
      </c>
      <c r="C36" s="105" t="s">
        <v>507</v>
      </c>
      <c r="D36" s="105" t="s">
        <v>126</v>
      </c>
      <c r="E36" s="105" t="s">
        <v>74</v>
      </c>
      <c r="F36" s="105">
        <v>113104</v>
      </c>
      <c r="G36" s="105">
        <v>101348</v>
      </c>
      <c r="H36" s="108">
        <f t="shared" si="0"/>
        <v>11756</v>
      </c>
      <c r="I36" s="108" t="str">
        <f t="shared" si="1"/>
        <v>Achieved</v>
      </c>
      <c r="J36" s="110" t="b">
        <f t="shared" si="2"/>
        <v>1</v>
      </c>
    </row>
    <row r="37" spans="1:10" x14ac:dyDescent="0.25">
      <c r="A37" s="109">
        <v>46343</v>
      </c>
      <c r="B37" s="105" t="s">
        <v>271</v>
      </c>
      <c r="C37" s="105" t="s">
        <v>508</v>
      </c>
      <c r="D37" s="105" t="s">
        <v>80</v>
      </c>
      <c r="E37" s="105" t="s">
        <v>103</v>
      </c>
      <c r="F37" s="105">
        <v>20000</v>
      </c>
      <c r="G37" s="105">
        <v>41504</v>
      </c>
      <c r="H37" s="108">
        <f t="shared" si="0"/>
        <v>-21504</v>
      </c>
      <c r="I37" s="108" t="str">
        <f t="shared" si="1"/>
        <v>Pending</v>
      </c>
      <c r="J37" s="110" t="b">
        <f t="shared" si="2"/>
        <v>0</v>
      </c>
    </row>
    <row r="38" spans="1:10" x14ac:dyDescent="0.25">
      <c r="A38" s="109">
        <v>46344</v>
      </c>
      <c r="B38" s="105" t="s">
        <v>275</v>
      </c>
      <c r="C38" s="105" t="s">
        <v>509</v>
      </c>
      <c r="D38" s="105" t="s">
        <v>93</v>
      </c>
      <c r="E38" s="105" t="s">
        <v>57</v>
      </c>
      <c r="F38" s="105">
        <v>124353</v>
      </c>
      <c r="G38" s="105">
        <v>109163</v>
      </c>
      <c r="H38" s="108">
        <f t="shared" si="0"/>
        <v>15190</v>
      </c>
      <c r="I38" s="108" t="str">
        <f t="shared" si="1"/>
        <v>Achieved</v>
      </c>
      <c r="J38" s="110" t="b">
        <f t="shared" si="2"/>
        <v>1</v>
      </c>
    </row>
    <row r="39" spans="1:10" x14ac:dyDescent="0.25">
      <c r="A39" s="109">
        <v>46345</v>
      </c>
      <c r="B39" s="105" t="s">
        <v>194</v>
      </c>
      <c r="C39" s="105" t="s">
        <v>510</v>
      </c>
      <c r="D39" s="105" t="s">
        <v>185</v>
      </c>
      <c r="E39" s="105" t="s">
        <v>74</v>
      </c>
      <c r="F39" s="105">
        <v>49621</v>
      </c>
      <c r="G39" s="105">
        <v>78469</v>
      </c>
      <c r="H39" s="108">
        <f t="shared" si="0"/>
        <v>-28848</v>
      </c>
      <c r="I39" s="108" t="str">
        <f t="shared" si="1"/>
        <v>Pending</v>
      </c>
      <c r="J39" s="110" t="b">
        <f t="shared" si="2"/>
        <v>0</v>
      </c>
    </row>
    <row r="40" spans="1:10" x14ac:dyDescent="0.25">
      <c r="A40" s="109">
        <v>46346</v>
      </c>
      <c r="B40" s="105" t="s">
        <v>280</v>
      </c>
      <c r="C40" s="105" t="s">
        <v>511</v>
      </c>
      <c r="D40" s="105" t="s">
        <v>126</v>
      </c>
      <c r="E40" s="105" t="s">
        <v>103</v>
      </c>
      <c r="F40" s="105">
        <v>94470</v>
      </c>
      <c r="G40" s="105">
        <v>40425</v>
      </c>
      <c r="H40" s="108">
        <f t="shared" si="0"/>
        <v>54045</v>
      </c>
      <c r="I40" s="108" t="str">
        <f t="shared" si="1"/>
        <v>Achieved</v>
      </c>
      <c r="J40" s="110" t="b">
        <f t="shared" si="2"/>
        <v>0</v>
      </c>
    </row>
    <row r="41" spans="1:10" x14ac:dyDescent="0.25">
      <c r="A41" s="109">
        <v>46347</v>
      </c>
      <c r="B41" s="105" t="s">
        <v>283</v>
      </c>
      <c r="C41" s="105" t="s">
        <v>512</v>
      </c>
      <c r="D41" s="105" t="s">
        <v>93</v>
      </c>
      <c r="E41" s="105" t="s">
        <v>57</v>
      </c>
      <c r="F41" s="105">
        <v>100612</v>
      </c>
      <c r="G41" s="105">
        <v>139871</v>
      </c>
      <c r="H41" s="108">
        <f t="shared" si="0"/>
        <v>-39259</v>
      </c>
      <c r="I41" s="108" t="str">
        <f t="shared" si="1"/>
        <v>Pending</v>
      </c>
      <c r="J41" s="110" t="b">
        <f t="shared" si="2"/>
        <v>0</v>
      </c>
    </row>
    <row r="42" spans="1:10" x14ac:dyDescent="0.25">
      <c r="A42" s="109">
        <v>46348</v>
      </c>
      <c r="B42" s="105" t="s">
        <v>235</v>
      </c>
      <c r="C42" s="105" t="s">
        <v>513</v>
      </c>
      <c r="D42" s="105" t="s">
        <v>45</v>
      </c>
      <c r="E42" s="105" t="s">
        <v>123</v>
      </c>
      <c r="F42" s="105">
        <v>149100</v>
      </c>
      <c r="G42" s="105">
        <v>121959</v>
      </c>
      <c r="H42" s="108">
        <f t="shared" si="0"/>
        <v>27141</v>
      </c>
      <c r="I42" s="108" t="str">
        <f t="shared" si="1"/>
        <v>Achieved</v>
      </c>
      <c r="J42" s="110" t="b">
        <f t="shared" si="2"/>
        <v>1</v>
      </c>
    </row>
    <row r="43" spans="1:10" x14ac:dyDescent="0.25">
      <c r="A43" s="109">
        <v>46349</v>
      </c>
      <c r="B43" s="105" t="s">
        <v>289</v>
      </c>
      <c r="C43" s="105" t="s">
        <v>514</v>
      </c>
      <c r="D43" s="105" t="s">
        <v>185</v>
      </c>
      <c r="E43" s="105" t="s">
        <v>123</v>
      </c>
      <c r="F43" s="105">
        <v>55032</v>
      </c>
      <c r="G43" s="105">
        <v>89009</v>
      </c>
      <c r="H43" s="108">
        <f t="shared" si="0"/>
        <v>-33977</v>
      </c>
      <c r="I43" s="108" t="str">
        <f t="shared" si="1"/>
        <v>Pending</v>
      </c>
      <c r="J43" s="110" t="b">
        <f t="shared" si="2"/>
        <v>0</v>
      </c>
    </row>
    <row r="44" spans="1:10" x14ac:dyDescent="0.25">
      <c r="A44" s="109">
        <v>46350</v>
      </c>
      <c r="B44" s="105" t="s">
        <v>120</v>
      </c>
      <c r="C44" s="105" t="s">
        <v>515</v>
      </c>
      <c r="D44" s="105" t="s">
        <v>45</v>
      </c>
      <c r="E44" s="105" t="s">
        <v>57</v>
      </c>
      <c r="F44" s="105">
        <v>113504</v>
      </c>
      <c r="G44" s="105">
        <v>82487</v>
      </c>
      <c r="H44" s="108">
        <f t="shared" si="0"/>
        <v>31017</v>
      </c>
      <c r="I44" s="108" t="str">
        <f t="shared" si="1"/>
        <v>Achieved</v>
      </c>
      <c r="J44" s="110" t="b">
        <f t="shared" si="2"/>
        <v>1</v>
      </c>
    </row>
    <row r="45" spans="1:10" x14ac:dyDescent="0.25">
      <c r="A45" s="109">
        <v>46351</v>
      </c>
      <c r="B45" s="105" t="s">
        <v>295</v>
      </c>
      <c r="C45" s="105" t="s">
        <v>516</v>
      </c>
      <c r="D45" s="105" t="s">
        <v>126</v>
      </c>
      <c r="E45" s="105" t="s">
        <v>57</v>
      </c>
      <c r="F45" s="105">
        <v>49662</v>
      </c>
      <c r="G45" s="105">
        <v>87576</v>
      </c>
      <c r="H45" s="108">
        <f t="shared" si="0"/>
        <v>-37914</v>
      </c>
      <c r="I45" s="108" t="str">
        <f t="shared" si="1"/>
        <v>Pending</v>
      </c>
      <c r="J45" s="110" t="b">
        <f t="shared" si="2"/>
        <v>0</v>
      </c>
    </row>
    <row r="46" spans="1:10" x14ac:dyDescent="0.25">
      <c r="A46" s="109">
        <v>46352</v>
      </c>
      <c r="B46" s="105" t="s">
        <v>286</v>
      </c>
      <c r="C46" s="105" t="s">
        <v>517</v>
      </c>
      <c r="D46" s="105" t="s">
        <v>185</v>
      </c>
      <c r="E46" s="105" t="s">
        <v>123</v>
      </c>
      <c r="F46" s="105">
        <v>42592</v>
      </c>
      <c r="G46" s="105">
        <v>71571</v>
      </c>
      <c r="H46" s="108">
        <f t="shared" si="0"/>
        <v>-28979</v>
      </c>
      <c r="I46" s="108" t="str">
        <f t="shared" si="1"/>
        <v>Pending</v>
      </c>
      <c r="J46" s="110" t="b">
        <f t="shared" si="2"/>
        <v>0</v>
      </c>
    </row>
    <row r="47" spans="1:10" x14ac:dyDescent="0.25">
      <c r="A47" s="109">
        <v>46353</v>
      </c>
      <c r="B47" s="105" t="s">
        <v>300</v>
      </c>
      <c r="C47" s="105" t="s">
        <v>518</v>
      </c>
      <c r="D47" s="105" t="s">
        <v>80</v>
      </c>
      <c r="E47" s="105" t="s">
        <v>103</v>
      </c>
      <c r="F47" s="105">
        <v>46226</v>
      </c>
      <c r="G47" s="105">
        <v>135932</v>
      </c>
      <c r="H47" s="108">
        <f t="shared" si="0"/>
        <v>-89706</v>
      </c>
      <c r="I47" s="108" t="str">
        <f t="shared" si="1"/>
        <v>Pending</v>
      </c>
      <c r="J47" s="110" t="b">
        <f t="shared" si="2"/>
        <v>0</v>
      </c>
    </row>
    <row r="48" spans="1:10" x14ac:dyDescent="0.25">
      <c r="A48" s="109">
        <v>46354</v>
      </c>
      <c r="B48" s="105" t="s">
        <v>304</v>
      </c>
      <c r="C48" s="105" t="s">
        <v>519</v>
      </c>
      <c r="D48" s="105" t="s">
        <v>126</v>
      </c>
      <c r="E48" s="105" t="s">
        <v>87</v>
      </c>
      <c r="F48" s="105">
        <v>20000</v>
      </c>
      <c r="G48" s="105">
        <v>109822</v>
      </c>
      <c r="H48" s="108">
        <f t="shared" si="0"/>
        <v>-89822</v>
      </c>
      <c r="I48" s="108" t="str">
        <f t="shared" si="1"/>
        <v>Pending</v>
      </c>
      <c r="J48" s="110" t="b">
        <f t="shared" si="2"/>
        <v>0</v>
      </c>
    </row>
    <row r="49" spans="1:10" x14ac:dyDescent="0.25">
      <c r="A49" s="109">
        <v>46355</v>
      </c>
      <c r="B49" s="105" t="s">
        <v>308</v>
      </c>
      <c r="C49" s="105" t="s">
        <v>520</v>
      </c>
      <c r="D49" s="105" t="s">
        <v>45</v>
      </c>
      <c r="E49" s="105" t="s">
        <v>87</v>
      </c>
      <c r="F49" s="105">
        <v>121474</v>
      </c>
      <c r="G49" s="105">
        <v>102296</v>
      </c>
      <c r="H49" s="108">
        <f t="shared" si="0"/>
        <v>19178</v>
      </c>
      <c r="I49" s="108" t="str">
        <f t="shared" si="1"/>
        <v>Achieved</v>
      </c>
      <c r="J49" s="110" t="b">
        <f t="shared" si="2"/>
        <v>1</v>
      </c>
    </row>
    <row r="50" spans="1:10" x14ac:dyDescent="0.25">
      <c r="A50" s="109">
        <v>46356</v>
      </c>
      <c r="B50" s="105" t="s">
        <v>231</v>
      </c>
      <c r="C50" s="105" t="s">
        <v>521</v>
      </c>
      <c r="D50" s="105" t="s">
        <v>80</v>
      </c>
      <c r="E50" s="105" t="s">
        <v>87</v>
      </c>
      <c r="F50" s="105">
        <v>69741</v>
      </c>
      <c r="G50" s="105">
        <v>109163</v>
      </c>
      <c r="H50" s="108">
        <f t="shared" si="0"/>
        <v>-39422</v>
      </c>
      <c r="I50" s="108" t="str">
        <f t="shared" si="1"/>
        <v>Pending</v>
      </c>
      <c r="J50" s="110" t="b">
        <f t="shared" si="2"/>
        <v>0</v>
      </c>
    </row>
    <row r="51" spans="1:10" x14ac:dyDescent="0.25">
      <c r="A51" s="109">
        <v>46357</v>
      </c>
      <c r="B51" s="105" t="s">
        <v>314</v>
      </c>
      <c r="C51" s="105" t="s">
        <v>522</v>
      </c>
      <c r="D51" s="105" t="s">
        <v>80</v>
      </c>
      <c r="E51" s="105" t="s">
        <v>123</v>
      </c>
      <c r="F51" s="105">
        <v>62760</v>
      </c>
      <c r="G51" s="105">
        <v>110686</v>
      </c>
      <c r="H51" s="108">
        <f t="shared" si="0"/>
        <v>-47926</v>
      </c>
      <c r="I51" s="108" t="str">
        <f t="shared" si="1"/>
        <v>Pending</v>
      </c>
      <c r="J51" s="110" t="b">
        <f t="shared" si="2"/>
        <v>0</v>
      </c>
    </row>
    <row r="55" spans="1:10" ht="15.75" thickBot="1" x14ac:dyDescent="0.3"/>
    <row r="56" spans="1:10" x14ac:dyDescent="0.25">
      <c r="A56" s="118" t="s">
        <v>469</v>
      </c>
      <c r="B56" s="119" t="s">
        <v>0</v>
      </c>
      <c r="C56" s="119" t="s">
        <v>470</v>
      </c>
      <c r="D56" s="119" t="s">
        <v>6</v>
      </c>
      <c r="E56" s="119" t="s">
        <v>36</v>
      </c>
      <c r="F56" s="119" t="s">
        <v>471</v>
      </c>
      <c r="G56" s="119" t="s">
        <v>472</v>
      </c>
      <c r="H56" s="119" t="s">
        <v>532</v>
      </c>
      <c r="I56" s="119" t="s">
        <v>533</v>
      </c>
      <c r="J56" s="120" t="s">
        <v>533</v>
      </c>
    </row>
    <row r="57" spans="1:10" x14ac:dyDescent="0.25">
      <c r="A57" s="121">
        <v>46308</v>
      </c>
      <c r="B57" s="53" t="s">
        <v>40</v>
      </c>
      <c r="C57" s="53" t="s">
        <v>473</v>
      </c>
      <c r="D57" s="53" t="s">
        <v>93</v>
      </c>
      <c r="E57" s="53" t="s">
        <v>57</v>
      </c>
      <c r="F57" s="53">
        <v>38278</v>
      </c>
      <c r="G57" s="53">
        <v>137196</v>
      </c>
      <c r="H57" s="53">
        <f>F57-G57</f>
        <v>-98918</v>
      </c>
      <c r="I57" s="53" t="str">
        <f>IF(F57&gt;=G57,"Achieved","Pending")</f>
        <v>Pending</v>
      </c>
      <c r="J57" s="123" t="b">
        <v>0</v>
      </c>
    </row>
    <row r="58" spans="1:10" x14ac:dyDescent="0.25">
      <c r="A58" s="122">
        <v>46309</v>
      </c>
      <c r="B58" s="53" t="s">
        <v>58</v>
      </c>
      <c r="C58" s="53" t="s">
        <v>474</v>
      </c>
      <c r="D58" s="53" t="s">
        <v>185</v>
      </c>
      <c r="E58" s="53" t="s">
        <v>74</v>
      </c>
      <c r="F58" s="53">
        <v>64256</v>
      </c>
      <c r="G58" s="53">
        <v>58289</v>
      </c>
      <c r="H58" s="53">
        <f t="shared" ref="H58:H106" si="3">F58-G58</f>
        <v>5967</v>
      </c>
      <c r="I58" s="53" t="str">
        <f t="shared" ref="I58:I65" si="4">IF(F58&gt;=G58,"Achieved","Pending")</f>
        <v>Achieved</v>
      </c>
      <c r="J58" s="123" t="b">
        <v>1</v>
      </c>
    </row>
    <row r="59" spans="1:10" x14ac:dyDescent="0.25">
      <c r="A59" s="122">
        <v>46310</v>
      </c>
      <c r="B59" s="53" t="s">
        <v>75</v>
      </c>
      <c r="C59" s="53" t="s">
        <v>475</v>
      </c>
      <c r="D59" s="53" t="s">
        <v>93</v>
      </c>
      <c r="E59" s="53" t="s">
        <v>87</v>
      </c>
      <c r="F59" s="53">
        <v>123696</v>
      </c>
      <c r="G59" s="53">
        <v>137080</v>
      </c>
      <c r="H59" s="53">
        <f t="shared" si="3"/>
        <v>-13384</v>
      </c>
      <c r="I59" s="53" t="str">
        <f t="shared" si="4"/>
        <v>Pending</v>
      </c>
      <c r="J59" s="123" t="b">
        <v>0</v>
      </c>
    </row>
    <row r="60" spans="1:10" x14ac:dyDescent="0.25">
      <c r="A60" s="122">
        <v>46311</v>
      </c>
      <c r="B60" s="53" t="s">
        <v>88</v>
      </c>
      <c r="C60" s="53" t="s">
        <v>476</v>
      </c>
      <c r="D60" s="53" t="s">
        <v>80</v>
      </c>
      <c r="E60" s="53" t="s">
        <v>103</v>
      </c>
      <c r="F60" s="53">
        <v>112397</v>
      </c>
      <c r="G60" s="53">
        <v>95302</v>
      </c>
      <c r="H60" s="53">
        <f t="shared" si="3"/>
        <v>17095</v>
      </c>
      <c r="I60" s="53" t="str">
        <f t="shared" si="4"/>
        <v>Achieved</v>
      </c>
      <c r="J60" s="123" t="b">
        <v>1</v>
      </c>
    </row>
    <row r="61" spans="1:10" x14ac:dyDescent="0.25">
      <c r="A61" s="122">
        <v>46312</v>
      </c>
      <c r="B61" s="53" t="s">
        <v>104</v>
      </c>
      <c r="C61" s="53" t="s">
        <v>477</v>
      </c>
      <c r="D61" s="53" t="s">
        <v>134</v>
      </c>
      <c r="E61" s="53" t="s">
        <v>74</v>
      </c>
      <c r="F61" s="53">
        <v>47280</v>
      </c>
      <c r="G61" s="53">
        <v>68657</v>
      </c>
      <c r="H61" s="53">
        <f t="shared" si="3"/>
        <v>-21377</v>
      </c>
      <c r="I61" s="53" t="str">
        <f t="shared" si="4"/>
        <v>Pending</v>
      </c>
      <c r="J61" s="123" t="b">
        <v>0</v>
      </c>
    </row>
    <row r="62" spans="1:10" x14ac:dyDescent="0.25">
      <c r="A62" s="122">
        <v>46313</v>
      </c>
      <c r="B62" s="53" t="s">
        <v>114</v>
      </c>
      <c r="C62" s="53" t="s">
        <v>478</v>
      </c>
      <c r="D62" s="53" t="s">
        <v>45</v>
      </c>
      <c r="E62" s="53" t="s">
        <v>123</v>
      </c>
      <c r="F62" s="53">
        <v>108563</v>
      </c>
      <c r="G62" s="53">
        <v>66062</v>
      </c>
      <c r="H62" s="53">
        <f t="shared" si="3"/>
        <v>42501</v>
      </c>
      <c r="I62" s="53" t="str">
        <f t="shared" si="4"/>
        <v>Achieved</v>
      </c>
      <c r="J62" s="123" t="b">
        <v>1</v>
      </c>
    </row>
    <row r="63" spans="1:10" x14ac:dyDescent="0.25">
      <c r="A63" s="122">
        <v>46314</v>
      </c>
      <c r="B63" s="53" t="s">
        <v>124</v>
      </c>
      <c r="C63" s="53" t="s">
        <v>479</v>
      </c>
      <c r="D63" s="53" t="s">
        <v>93</v>
      </c>
      <c r="E63" s="53" t="s">
        <v>57</v>
      </c>
      <c r="F63" s="53">
        <v>63893</v>
      </c>
      <c r="G63" s="53">
        <v>98878</v>
      </c>
      <c r="H63" s="53">
        <f t="shared" si="3"/>
        <v>-34985</v>
      </c>
      <c r="I63" s="53" t="str">
        <f t="shared" si="4"/>
        <v>Pending</v>
      </c>
      <c r="J63" s="123" t="b">
        <v>0</v>
      </c>
    </row>
    <row r="64" spans="1:10" x14ac:dyDescent="0.25">
      <c r="A64" s="122">
        <v>46315</v>
      </c>
      <c r="B64" s="53" t="s">
        <v>132</v>
      </c>
      <c r="C64" s="53" t="s">
        <v>480</v>
      </c>
      <c r="D64" s="53" t="s">
        <v>80</v>
      </c>
      <c r="E64" s="53" t="s">
        <v>103</v>
      </c>
      <c r="F64" s="53">
        <v>141093</v>
      </c>
      <c r="G64" s="53">
        <v>40851</v>
      </c>
      <c r="H64" s="53">
        <f t="shared" si="3"/>
        <v>100242</v>
      </c>
      <c r="I64" s="53" t="str">
        <f t="shared" si="4"/>
        <v>Achieved</v>
      </c>
      <c r="J64" s="123" t="b">
        <v>0</v>
      </c>
    </row>
    <row r="65" spans="1:10" x14ac:dyDescent="0.25">
      <c r="A65" s="122">
        <v>46316</v>
      </c>
      <c r="B65" s="53" t="s">
        <v>141</v>
      </c>
      <c r="C65" s="53" t="s">
        <v>481</v>
      </c>
      <c r="D65" s="53" t="s">
        <v>45</v>
      </c>
      <c r="E65" s="53" t="s">
        <v>123</v>
      </c>
      <c r="F65" s="53">
        <v>79597</v>
      </c>
      <c r="G65" s="53">
        <v>76421</v>
      </c>
      <c r="H65" s="53">
        <f t="shared" si="3"/>
        <v>3176</v>
      </c>
      <c r="I65" s="53" t="str">
        <f t="shared" si="4"/>
        <v>Achieved</v>
      </c>
      <c r="J65" s="123" t="b">
        <v>1</v>
      </c>
    </row>
    <row r="66" spans="1:10" x14ac:dyDescent="0.25">
      <c r="A66" s="122">
        <v>46317</v>
      </c>
      <c r="B66" s="53" t="s">
        <v>151</v>
      </c>
      <c r="C66" s="53" t="s">
        <v>482</v>
      </c>
      <c r="D66" s="53" t="s">
        <v>45</v>
      </c>
      <c r="E66" s="53" t="s">
        <v>87</v>
      </c>
      <c r="F66" s="53">
        <v>135072</v>
      </c>
      <c r="G66" s="53">
        <v>84118</v>
      </c>
      <c r="H66" s="53">
        <f t="shared" si="3"/>
        <v>50954</v>
      </c>
      <c r="I66" s="125" t="e" cm="1">
        <f t="array" aca="1" ref="I66" ca="1">IFabc(F66&gt;=G66,"Achieved","Pending")</f>
        <v>#NAME?</v>
      </c>
      <c r="J66" s="123" t="b">
        <v>1</v>
      </c>
    </row>
    <row r="67" spans="1:10" x14ac:dyDescent="0.25">
      <c r="A67" s="122">
        <v>46318</v>
      </c>
      <c r="B67" s="53" t="s">
        <v>68</v>
      </c>
      <c r="C67" s="53" t="s">
        <v>483</v>
      </c>
      <c r="D67" s="53" t="s">
        <v>134</v>
      </c>
      <c r="E67" s="53" t="s">
        <v>57</v>
      </c>
      <c r="F67" s="53">
        <v>84797</v>
      </c>
      <c r="G67" s="53">
        <v>52676</v>
      </c>
      <c r="H67" s="53">
        <f t="shared" si="3"/>
        <v>32121</v>
      </c>
      <c r="I67" s="53" t="str">
        <f t="shared" ref="I67:I76" si="5">IF(F67&gt;=G67,"Achieved","Pending")</f>
        <v>Achieved</v>
      </c>
      <c r="J67" s="123" t="b">
        <v>1</v>
      </c>
    </row>
    <row r="68" spans="1:10" x14ac:dyDescent="0.25">
      <c r="A68" s="122">
        <v>46319</v>
      </c>
      <c r="B68" s="53" t="s">
        <v>163</v>
      </c>
      <c r="C68" s="53" t="s">
        <v>484</v>
      </c>
      <c r="D68" s="53" t="s">
        <v>185</v>
      </c>
      <c r="E68" s="53" t="s">
        <v>123</v>
      </c>
      <c r="F68" s="53">
        <v>20000</v>
      </c>
      <c r="G68" s="53">
        <v>74671</v>
      </c>
      <c r="H68" s="53">
        <f t="shared" si="3"/>
        <v>-54671</v>
      </c>
      <c r="I68" s="53" t="str">
        <f t="shared" si="5"/>
        <v>Pending</v>
      </c>
      <c r="J68" s="123" t="b">
        <v>0</v>
      </c>
    </row>
    <row r="69" spans="1:10" x14ac:dyDescent="0.25">
      <c r="A69" s="122">
        <v>46320</v>
      </c>
      <c r="B69" s="53" t="s">
        <v>170</v>
      </c>
      <c r="C69" s="53" t="s">
        <v>485</v>
      </c>
      <c r="D69" s="53" t="s">
        <v>134</v>
      </c>
      <c r="E69" s="53" t="s">
        <v>123</v>
      </c>
      <c r="F69" s="53">
        <v>105284</v>
      </c>
      <c r="G69" s="53">
        <v>56361</v>
      </c>
      <c r="H69" s="53">
        <f t="shared" si="3"/>
        <v>48923</v>
      </c>
      <c r="I69" s="53" t="str">
        <f t="shared" si="5"/>
        <v>Achieved</v>
      </c>
      <c r="J69" s="123" t="b">
        <v>1</v>
      </c>
    </row>
    <row r="70" spans="1:10" x14ac:dyDescent="0.25">
      <c r="A70" s="122">
        <v>46321</v>
      </c>
      <c r="B70" s="53" t="s">
        <v>175</v>
      </c>
      <c r="C70" s="53" t="s">
        <v>486</v>
      </c>
      <c r="D70" s="53" t="s">
        <v>126</v>
      </c>
      <c r="E70" s="53" t="s">
        <v>57</v>
      </c>
      <c r="F70" s="53">
        <v>20000</v>
      </c>
      <c r="G70" s="53">
        <v>78427</v>
      </c>
      <c r="H70" s="53">
        <f t="shared" si="3"/>
        <v>-58427</v>
      </c>
      <c r="I70" s="53" t="str">
        <f t="shared" si="5"/>
        <v>Pending</v>
      </c>
      <c r="J70" s="123" t="b">
        <v>0</v>
      </c>
    </row>
    <row r="71" spans="1:10" x14ac:dyDescent="0.25">
      <c r="A71" s="122">
        <v>46322</v>
      </c>
      <c r="B71" s="53" t="s">
        <v>180</v>
      </c>
      <c r="C71" s="53" t="s">
        <v>487</v>
      </c>
      <c r="D71" s="53" t="s">
        <v>93</v>
      </c>
      <c r="E71" s="53" t="s">
        <v>87</v>
      </c>
      <c r="F71" s="53">
        <v>110674</v>
      </c>
      <c r="G71" s="53">
        <v>65203</v>
      </c>
      <c r="H71" s="53">
        <f t="shared" si="3"/>
        <v>45471</v>
      </c>
      <c r="I71" s="53" t="str">
        <f t="shared" si="5"/>
        <v>Achieved</v>
      </c>
      <c r="J71" s="123" t="b">
        <v>1</v>
      </c>
    </row>
    <row r="72" spans="1:10" x14ac:dyDescent="0.25">
      <c r="A72" s="122">
        <v>46323</v>
      </c>
      <c r="B72" s="53" t="s">
        <v>129</v>
      </c>
      <c r="C72" s="53" t="s">
        <v>488</v>
      </c>
      <c r="D72" s="53" t="s">
        <v>93</v>
      </c>
      <c r="E72" s="53" t="s">
        <v>103</v>
      </c>
      <c r="F72" s="53">
        <v>41006</v>
      </c>
      <c r="G72" s="53">
        <v>126673</v>
      </c>
      <c r="H72" s="53">
        <f t="shared" si="3"/>
        <v>-85667</v>
      </c>
      <c r="I72" s="53" t="str">
        <f t="shared" si="5"/>
        <v>Pending</v>
      </c>
      <c r="J72" s="123" t="b">
        <v>0</v>
      </c>
    </row>
    <row r="73" spans="1:10" x14ac:dyDescent="0.25">
      <c r="A73" s="122">
        <v>46324</v>
      </c>
      <c r="B73" s="53" t="s">
        <v>190</v>
      </c>
      <c r="C73" s="53" t="s">
        <v>489</v>
      </c>
      <c r="D73" s="53" t="s">
        <v>45</v>
      </c>
      <c r="E73" s="53" t="s">
        <v>57</v>
      </c>
      <c r="F73" s="53">
        <v>45458</v>
      </c>
      <c r="G73" s="53">
        <v>70512</v>
      </c>
      <c r="H73" s="53">
        <f t="shared" si="3"/>
        <v>-25054</v>
      </c>
      <c r="I73" s="53" t="str">
        <f t="shared" si="5"/>
        <v>Pending</v>
      </c>
      <c r="J73" s="123" t="b">
        <v>0</v>
      </c>
    </row>
    <row r="74" spans="1:10" x14ac:dyDescent="0.25">
      <c r="A74" s="122">
        <v>46325</v>
      </c>
      <c r="B74" s="53" t="s">
        <v>195</v>
      </c>
      <c r="C74" s="53" t="s">
        <v>490</v>
      </c>
      <c r="D74" s="53" t="s">
        <v>134</v>
      </c>
      <c r="E74" s="53" t="s">
        <v>87</v>
      </c>
      <c r="F74" s="53">
        <v>71434</v>
      </c>
      <c r="G74" s="53">
        <v>99429</v>
      </c>
      <c r="H74" s="53">
        <f t="shared" si="3"/>
        <v>-27995</v>
      </c>
      <c r="I74" s="53" t="str">
        <f t="shared" si="5"/>
        <v>Pending</v>
      </c>
      <c r="J74" s="123" t="b">
        <v>0</v>
      </c>
    </row>
    <row r="75" spans="1:10" x14ac:dyDescent="0.25">
      <c r="A75" s="122">
        <v>46326</v>
      </c>
      <c r="B75" s="53" t="s">
        <v>200</v>
      </c>
      <c r="C75" s="53" t="s">
        <v>491</v>
      </c>
      <c r="D75" s="53" t="s">
        <v>93</v>
      </c>
      <c r="E75" s="53" t="s">
        <v>123</v>
      </c>
      <c r="F75" s="53">
        <v>56319</v>
      </c>
      <c r="G75" s="53">
        <v>88520</v>
      </c>
      <c r="H75" s="53">
        <f t="shared" si="3"/>
        <v>-32201</v>
      </c>
      <c r="I75" s="53" t="str">
        <f t="shared" si="5"/>
        <v>Pending</v>
      </c>
      <c r="J75" s="123" t="b">
        <v>0</v>
      </c>
    </row>
    <row r="76" spans="1:10" x14ac:dyDescent="0.25">
      <c r="A76" s="122">
        <v>46327</v>
      </c>
      <c r="B76" s="53" t="s">
        <v>205</v>
      </c>
      <c r="C76" s="53" t="s">
        <v>492</v>
      </c>
      <c r="D76" s="53" t="s">
        <v>185</v>
      </c>
      <c r="E76" s="53" t="s">
        <v>123</v>
      </c>
      <c r="F76" s="53">
        <v>122841</v>
      </c>
      <c r="G76" s="53">
        <v>74993</v>
      </c>
      <c r="H76" s="53">
        <f t="shared" si="3"/>
        <v>47848</v>
      </c>
      <c r="I76" s="53" t="str">
        <f t="shared" si="5"/>
        <v>Achieved</v>
      </c>
      <c r="J76" s="123" t="b">
        <v>1</v>
      </c>
    </row>
    <row r="77" spans="1:10" x14ac:dyDescent="0.25">
      <c r="A77" s="122">
        <v>46328</v>
      </c>
      <c r="B77" s="53" t="s">
        <v>210</v>
      </c>
      <c r="C77" s="53" t="s">
        <v>493</v>
      </c>
      <c r="D77" s="53" t="s">
        <v>93</v>
      </c>
      <c r="E77" s="53" t="s">
        <v>74</v>
      </c>
      <c r="F77" s="53">
        <v>114840</v>
      </c>
      <c r="G77" s="53">
        <v>123227</v>
      </c>
      <c r="H77" s="53">
        <f t="shared" si="3"/>
        <v>-8387</v>
      </c>
      <c r="I77" s="125" t="e" cm="1">
        <f t="array" aca="1" ref="I77" ca="1">IFabc(F77&gt;=G77,"Achieved","Pending")</f>
        <v>#NAME?</v>
      </c>
      <c r="J77" s="123" t="b">
        <v>0</v>
      </c>
    </row>
    <row r="78" spans="1:10" x14ac:dyDescent="0.25">
      <c r="A78" s="122">
        <v>46329</v>
      </c>
      <c r="B78" s="53" t="s">
        <v>215</v>
      </c>
      <c r="C78" s="53" t="s">
        <v>494</v>
      </c>
      <c r="D78" s="53" t="s">
        <v>45</v>
      </c>
      <c r="E78" s="53" t="s">
        <v>74</v>
      </c>
      <c r="F78" s="53">
        <v>56417</v>
      </c>
      <c r="G78" s="53">
        <v>100589</v>
      </c>
      <c r="H78" s="53">
        <f t="shared" si="3"/>
        <v>-44172</v>
      </c>
      <c r="I78" s="53" t="str">
        <f t="shared" ref="I78:I83" si="6">IF(F78&gt;=G78,"Achieved","Pending")</f>
        <v>Pending</v>
      </c>
      <c r="J78" s="123" t="b">
        <v>0</v>
      </c>
    </row>
    <row r="79" spans="1:10" x14ac:dyDescent="0.25">
      <c r="A79" s="122">
        <v>46330</v>
      </c>
      <c r="B79" s="53" t="s">
        <v>209</v>
      </c>
      <c r="C79" s="53" t="s">
        <v>495</v>
      </c>
      <c r="D79" s="53" t="s">
        <v>126</v>
      </c>
      <c r="E79" s="53" t="s">
        <v>87</v>
      </c>
      <c r="F79" s="53">
        <v>118886</v>
      </c>
      <c r="G79" s="53">
        <v>130198</v>
      </c>
      <c r="H79" s="53">
        <f t="shared" si="3"/>
        <v>-11312</v>
      </c>
      <c r="I79" s="53" t="str">
        <f t="shared" si="6"/>
        <v>Pending</v>
      </c>
      <c r="J79" s="123" t="b">
        <v>0</v>
      </c>
    </row>
    <row r="80" spans="1:10" x14ac:dyDescent="0.25">
      <c r="A80" s="122">
        <v>46331</v>
      </c>
      <c r="B80" s="53" t="s">
        <v>223</v>
      </c>
      <c r="C80" s="53" t="s">
        <v>496</v>
      </c>
      <c r="D80" s="53" t="s">
        <v>80</v>
      </c>
      <c r="E80" s="53" t="s">
        <v>103</v>
      </c>
      <c r="F80" s="53">
        <v>124733</v>
      </c>
      <c r="G80" s="53">
        <v>82504</v>
      </c>
      <c r="H80" s="53">
        <f t="shared" si="3"/>
        <v>42229</v>
      </c>
      <c r="I80" s="53" t="str">
        <f t="shared" si="6"/>
        <v>Achieved</v>
      </c>
      <c r="J80" s="123" t="b">
        <v>1</v>
      </c>
    </row>
    <row r="81" spans="1:10" x14ac:dyDescent="0.25">
      <c r="A81" s="122">
        <v>46332</v>
      </c>
      <c r="B81" s="53" t="s">
        <v>227</v>
      </c>
      <c r="C81" s="53" t="s">
        <v>497</v>
      </c>
      <c r="D81" s="53" t="s">
        <v>134</v>
      </c>
      <c r="E81" s="53" t="s">
        <v>123</v>
      </c>
      <c r="F81" s="53">
        <v>142715</v>
      </c>
      <c r="G81" s="53">
        <v>44207</v>
      </c>
      <c r="H81" s="53">
        <f t="shared" si="3"/>
        <v>98508</v>
      </c>
      <c r="I81" s="53" t="str">
        <f t="shared" si="6"/>
        <v>Achieved</v>
      </c>
      <c r="J81" s="123" t="b">
        <v>0</v>
      </c>
    </row>
    <row r="82" spans="1:10" x14ac:dyDescent="0.25">
      <c r="A82" s="122">
        <v>46333</v>
      </c>
      <c r="B82" s="53" t="s">
        <v>222</v>
      </c>
      <c r="C82" s="53" t="s">
        <v>498</v>
      </c>
      <c r="D82" s="53" t="s">
        <v>185</v>
      </c>
      <c r="E82" s="53" t="s">
        <v>87</v>
      </c>
      <c r="F82" s="53">
        <v>70093</v>
      </c>
      <c r="G82" s="53">
        <v>48675</v>
      </c>
      <c r="H82" s="53">
        <f t="shared" si="3"/>
        <v>21418</v>
      </c>
      <c r="I82" s="53" t="str">
        <f t="shared" si="6"/>
        <v>Achieved</v>
      </c>
      <c r="J82" s="123" t="b">
        <v>0</v>
      </c>
    </row>
    <row r="83" spans="1:10" x14ac:dyDescent="0.25">
      <c r="A83" s="122">
        <v>46334</v>
      </c>
      <c r="B83" s="53" t="s">
        <v>110</v>
      </c>
      <c r="C83" s="53" t="s">
        <v>499</v>
      </c>
      <c r="D83" s="53" t="s">
        <v>45</v>
      </c>
      <c r="E83" s="53" t="s">
        <v>87</v>
      </c>
      <c r="F83" s="53">
        <v>62869</v>
      </c>
      <c r="G83" s="53">
        <v>125909</v>
      </c>
      <c r="H83" s="53">
        <f t="shared" si="3"/>
        <v>-63040</v>
      </c>
      <c r="I83" s="53" t="str">
        <f t="shared" si="6"/>
        <v>Pending</v>
      </c>
      <c r="J83" s="123" t="b">
        <v>0</v>
      </c>
    </row>
    <row r="84" spans="1:10" x14ac:dyDescent="0.25">
      <c r="A84" s="122">
        <v>46335</v>
      </c>
      <c r="B84" s="53" t="s">
        <v>138</v>
      </c>
      <c r="C84" s="53" t="s">
        <v>500</v>
      </c>
      <c r="D84" s="53" t="s">
        <v>126</v>
      </c>
      <c r="E84" s="53" t="s">
        <v>123</v>
      </c>
      <c r="F84" s="53">
        <v>119259</v>
      </c>
      <c r="G84" s="53">
        <v>100142</v>
      </c>
      <c r="H84" s="53">
        <f t="shared" si="3"/>
        <v>19117</v>
      </c>
      <c r="I84" s="125" t="e" cm="1">
        <f t="array" aca="1" ref="I84" ca="1">IFabc(F84&gt;=G84,"Achieved","Pending")</f>
        <v>#NAME?</v>
      </c>
      <c r="J84" s="123" t="b">
        <v>1</v>
      </c>
    </row>
    <row r="85" spans="1:10" x14ac:dyDescent="0.25">
      <c r="A85" s="122">
        <v>46336</v>
      </c>
      <c r="B85" s="53" t="s">
        <v>243</v>
      </c>
      <c r="C85" s="53" t="s">
        <v>501</v>
      </c>
      <c r="D85" s="53" t="s">
        <v>45</v>
      </c>
      <c r="E85" s="53" t="s">
        <v>103</v>
      </c>
      <c r="F85" s="53">
        <v>53301</v>
      </c>
      <c r="G85" s="53">
        <v>72325</v>
      </c>
      <c r="H85" s="53">
        <f t="shared" si="3"/>
        <v>-19024</v>
      </c>
      <c r="I85" s="53" t="str">
        <f t="shared" ref="I85:I106" si="7">IF(F85&gt;=G85,"Achieved","Pending")</f>
        <v>Pending</v>
      </c>
      <c r="J85" s="123" t="b">
        <v>0</v>
      </c>
    </row>
    <row r="86" spans="1:10" x14ac:dyDescent="0.25">
      <c r="A86" s="122">
        <v>46337</v>
      </c>
      <c r="B86" s="53" t="s">
        <v>247</v>
      </c>
      <c r="C86" s="53" t="s">
        <v>502</v>
      </c>
      <c r="D86" s="53" t="s">
        <v>93</v>
      </c>
      <c r="E86" s="53" t="s">
        <v>74</v>
      </c>
      <c r="F86" s="53">
        <v>132912</v>
      </c>
      <c r="G86" s="53">
        <v>116622</v>
      </c>
      <c r="H86" s="53">
        <f t="shared" si="3"/>
        <v>16290</v>
      </c>
      <c r="I86" s="53" t="str">
        <f t="shared" si="7"/>
        <v>Achieved</v>
      </c>
      <c r="J86" s="123" t="b">
        <v>1</v>
      </c>
    </row>
    <row r="87" spans="1:10" x14ac:dyDescent="0.25">
      <c r="A87" s="122">
        <v>46338</v>
      </c>
      <c r="B87" s="53" t="s">
        <v>251</v>
      </c>
      <c r="C87" s="53" t="s">
        <v>503</v>
      </c>
      <c r="D87" s="53" t="s">
        <v>126</v>
      </c>
      <c r="E87" s="53" t="s">
        <v>87</v>
      </c>
      <c r="F87" s="53">
        <v>82447</v>
      </c>
      <c r="G87" s="53">
        <v>68746</v>
      </c>
      <c r="H87" s="53">
        <f t="shared" si="3"/>
        <v>13701</v>
      </c>
      <c r="I87" s="53" t="str">
        <f t="shared" si="7"/>
        <v>Achieved</v>
      </c>
      <c r="J87" s="123" t="b">
        <v>1</v>
      </c>
    </row>
    <row r="88" spans="1:10" x14ac:dyDescent="0.25">
      <c r="A88" s="122">
        <v>46339</v>
      </c>
      <c r="B88" s="53" t="s">
        <v>255</v>
      </c>
      <c r="C88" s="53" t="s">
        <v>504</v>
      </c>
      <c r="D88" s="53" t="s">
        <v>45</v>
      </c>
      <c r="E88" s="53" t="s">
        <v>123</v>
      </c>
      <c r="F88" s="53">
        <v>46915</v>
      </c>
      <c r="G88" s="53">
        <v>139061</v>
      </c>
      <c r="H88" s="53">
        <f t="shared" si="3"/>
        <v>-92146</v>
      </c>
      <c r="I88" s="53" t="str">
        <f t="shared" si="7"/>
        <v>Pending</v>
      </c>
      <c r="J88" s="123" t="b">
        <v>0</v>
      </c>
    </row>
    <row r="89" spans="1:10" x14ac:dyDescent="0.25">
      <c r="A89" s="122">
        <v>46340</v>
      </c>
      <c r="B89" s="53" t="s">
        <v>258</v>
      </c>
      <c r="C89" s="53" t="s">
        <v>505</v>
      </c>
      <c r="D89" s="53" t="s">
        <v>134</v>
      </c>
      <c r="E89" s="53" t="s">
        <v>123</v>
      </c>
      <c r="F89" s="53">
        <v>55033</v>
      </c>
      <c r="G89" s="53">
        <v>122240</v>
      </c>
      <c r="H89" s="53">
        <f t="shared" si="3"/>
        <v>-67207</v>
      </c>
      <c r="I89" s="53" t="str">
        <f t="shared" si="7"/>
        <v>Pending</v>
      </c>
      <c r="J89" s="123" t="b">
        <v>0</v>
      </c>
    </row>
    <row r="90" spans="1:10" x14ac:dyDescent="0.25">
      <c r="A90" s="122">
        <v>46341</v>
      </c>
      <c r="B90" s="53" t="s">
        <v>168</v>
      </c>
      <c r="C90" s="53" t="s">
        <v>506</v>
      </c>
      <c r="D90" s="53" t="s">
        <v>45</v>
      </c>
      <c r="E90" s="53" t="s">
        <v>74</v>
      </c>
      <c r="F90" s="53">
        <v>113172</v>
      </c>
      <c r="G90" s="53">
        <v>48326</v>
      </c>
      <c r="H90" s="53">
        <f t="shared" si="3"/>
        <v>64846</v>
      </c>
      <c r="I90" s="53" t="str">
        <f t="shared" si="7"/>
        <v>Achieved</v>
      </c>
      <c r="J90" s="123" t="b">
        <v>0</v>
      </c>
    </row>
    <row r="91" spans="1:10" x14ac:dyDescent="0.25">
      <c r="A91" s="122">
        <v>46342</v>
      </c>
      <c r="B91" s="53" t="s">
        <v>240</v>
      </c>
      <c r="C91" s="53" t="s">
        <v>507</v>
      </c>
      <c r="D91" s="53" t="s">
        <v>126</v>
      </c>
      <c r="E91" s="53" t="s">
        <v>74</v>
      </c>
      <c r="F91" s="53">
        <v>113104</v>
      </c>
      <c r="G91" s="53">
        <v>101348</v>
      </c>
      <c r="H91" s="53">
        <f t="shared" si="3"/>
        <v>11756</v>
      </c>
      <c r="I91" s="53" t="str">
        <f t="shared" si="7"/>
        <v>Achieved</v>
      </c>
      <c r="J91" s="123" t="b">
        <v>1</v>
      </c>
    </row>
    <row r="92" spans="1:10" x14ac:dyDescent="0.25">
      <c r="A92" s="122">
        <v>46343</v>
      </c>
      <c r="B92" s="53" t="s">
        <v>271</v>
      </c>
      <c r="C92" s="53" t="s">
        <v>508</v>
      </c>
      <c r="D92" s="53" t="s">
        <v>80</v>
      </c>
      <c r="E92" s="53" t="s">
        <v>103</v>
      </c>
      <c r="F92" s="53">
        <v>20000</v>
      </c>
      <c r="G92" s="53">
        <v>41504</v>
      </c>
      <c r="H92" s="53">
        <f t="shared" si="3"/>
        <v>-21504</v>
      </c>
      <c r="I92" s="53" t="str">
        <f t="shared" si="7"/>
        <v>Pending</v>
      </c>
      <c r="J92" s="123" t="b">
        <v>0</v>
      </c>
    </row>
    <row r="93" spans="1:10" x14ac:dyDescent="0.25">
      <c r="A93" s="122">
        <v>46344</v>
      </c>
      <c r="B93" s="53" t="s">
        <v>275</v>
      </c>
      <c r="C93" s="53" t="s">
        <v>509</v>
      </c>
      <c r="D93" s="53" t="s">
        <v>93</v>
      </c>
      <c r="E93" s="53" t="s">
        <v>57</v>
      </c>
      <c r="F93" s="53">
        <v>124353</v>
      </c>
      <c r="G93" s="53">
        <v>109163</v>
      </c>
      <c r="H93" s="53">
        <f t="shared" si="3"/>
        <v>15190</v>
      </c>
      <c r="I93" s="53" t="str">
        <f t="shared" si="7"/>
        <v>Achieved</v>
      </c>
      <c r="J93" s="123" t="b">
        <v>1</v>
      </c>
    </row>
    <row r="94" spans="1:10" x14ac:dyDescent="0.25">
      <c r="A94" s="122">
        <v>46345</v>
      </c>
      <c r="B94" s="53" t="s">
        <v>194</v>
      </c>
      <c r="C94" s="53" t="s">
        <v>510</v>
      </c>
      <c r="D94" s="53" t="s">
        <v>185</v>
      </c>
      <c r="E94" s="53" t="s">
        <v>74</v>
      </c>
      <c r="F94" s="53">
        <v>49621</v>
      </c>
      <c r="G94" s="53">
        <v>78469</v>
      </c>
      <c r="H94" s="53">
        <f t="shared" si="3"/>
        <v>-28848</v>
      </c>
      <c r="I94" s="53" t="str">
        <f t="shared" si="7"/>
        <v>Pending</v>
      </c>
      <c r="J94" s="123" t="b">
        <v>0</v>
      </c>
    </row>
    <row r="95" spans="1:10" x14ac:dyDescent="0.25">
      <c r="A95" s="122">
        <v>46346</v>
      </c>
      <c r="B95" s="53" t="s">
        <v>280</v>
      </c>
      <c r="C95" s="53" t="s">
        <v>511</v>
      </c>
      <c r="D95" s="53" t="s">
        <v>126</v>
      </c>
      <c r="E95" s="53" t="s">
        <v>103</v>
      </c>
      <c r="F95" s="53">
        <v>94470</v>
      </c>
      <c r="G95" s="53">
        <v>40425</v>
      </c>
      <c r="H95" s="53">
        <f t="shared" si="3"/>
        <v>54045</v>
      </c>
      <c r="I95" s="53" t="str">
        <f t="shared" si="7"/>
        <v>Achieved</v>
      </c>
      <c r="J95" s="123" t="b">
        <v>0</v>
      </c>
    </row>
    <row r="96" spans="1:10" x14ac:dyDescent="0.25">
      <c r="A96" s="122">
        <v>46347</v>
      </c>
      <c r="B96" s="53" t="s">
        <v>283</v>
      </c>
      <c r="C96" s="53" t="s">
        <v>512</v>
      </c>
      <c r="D96" s="53" t="s">
        <v>93</v>
      </c>
      <c r="E96" s="53" t="s">
        <v>57</v>
      </c>
      <c r="F96" s="53">
        <v>100612</v>
      </c>
      <c r="G96" s="53">
        <v>139871</v>
      </c>
      <c r="H96" s="53">
        <f t="shared" si="3"/>
        <v>-39259</v>
      </c>
      <c r="I96" s="53" t="str">
        <f t="shared" si="7"/>
        <v>Pending</v>
      </c>
      <c r="J96" s="123" t="b">
        <v>0</v>
      </c>
    </row>
    <row r="97" spans="1:10" x14ac:dyDescent="0.25">
      <c r="A97" s="122">
        <v>46348</v>
      </c>
      <c r="B97" s="53" t="s">
        <v>235</v>
      </c>
      <c r="C97" s="53" t="s">
        <v>513</v>
      </c>
      <c r="D97" s="53" t="s">
        <v>45</v>
      </c>
      <c r="E97" s="53" t="s">
        <v>123</v>
      </c>
      <c r="F97" s="53">
        <v>149100</v>
      </c>
      <c r="G97" s="53">
        <v>121959</v>
      </c>
      <c r="H97" s="53">
        <f t="shared" si="3"/>
        <v>27141</v>
      </c>
      <c r="I97" s="53" t="str">
        <f t="shared" si="7"/>
        <v>Achieved</v>
      </c>
      <c r="J97" s="123" t="b">
        <v>1</v>
      </c>
    </row>
    <row r="98" spans="1:10" x14ac:dyDescent="0.25">
      <c r="A98" s="122">
        <v>46349</v>
      </c>
      <c r="B98" s="53" t="s">
        <v>289</v>
      </c>
      <c r="C98" s="53" t="s">
        <v>514</v>
      </c>
      <c r="D98" s="53" t="s">
        <v>185</v>
      </c>
      <c r="E98" s="53" t="s">
        <v>123</v>
      </c>
      <c r="F98" s="53">
        <v>55032</v>
      </c>
      <c r="G98" s="53">
        <v>89009</v>
      </c>
      <c r="H98" s="53">
        <f t="shared" si="3"/>
        <v>-33977</v>
      </c>
      <c r="I98" s="53" t="str">
        <f t="shared" si="7"/>
        <v>Pending</v>
      </c>
      <c r="J98" s="123" t="b">
        <v>0</v>
      </c>
    </row>
    <row r="99" spans="1:10" x14ac:dyDescent="0.25">
      <c r="A99" s="122">
        <v>46350</v>
      </c>
      <c r="B99" s="53" t="s">
        <v>120</v>
      </c>
      <c r="C99" s="53" t="s">
        <v>515</v>
      </c>
      <c r="D99" s="53" t="s">
        <v>45</v>
      </c>
      <c r="E99" s="53" t="s">
        <v>57</v>
      </c>
      <c r="F99" s="53">
        <v>113504</v>
      </c>
      <c r="G99" s="53">
        <v>82487</v>
      </c>
      <c r="H99" s="53">
        <f t="shared" si="3"/>
        <v>31017</v>
      </c>
      <c r="I99" s="53" t="str">
        <f t="shared" si="7"/>
        <v>Achieved</v>
      </c>
      <c r="J99" s="123" t="b">
        <v>1</v>
      </c>
    </row>
    <row r="100" spans="1:10" x14ac:dyDescent="0.25">
      <c r="A100" s="122">
        <v>46351</v>
      </c>
      <c r="B100" s="53" t="s">
        <v>295</v>
      </c>
      <c r="C100" s="53" t="s">
        <v>516</v>
      </c>
      <c r="D100" s="53" t="s">
        <v>126</v>
      </c>
      <c r="E100" s="53" t="s">
        <v>57</v>
      </c>
      <c r="F100" s="53">
        <v>49662</v>
      </c>
      <c r="G100" s="53">
        <v>87576</v>
      </c>
      <c r="H100" s="53">
        <f t="shared" si="3"/>
        <v>-37914</v>
      </c>
      <c r="I100" s="53" t="str">
        <f t="shared" si="7"/>
        <v>Pending</v>
      </c>
      <c r="J100" s="123" t="b">
        <v>0</v>
      </c>
    </row>
    <row r="101" spans="1:10" x14ac:dyDescent="0.25">
      <c r="A101" s="122">
        <v>46352</v>
      </c>
      <c r="B101" s="53" t="s">
        <v>286</v>
      </c>
      <c r="C101" s="53" t="s">
        <v>517</v>
      </c>
      <c r="D101" s="53" t="s">
        <v>185</v>
      </c>
      <c r="E101" s="53" t="s">
        <v>123</v>
      </c>
      <c r="F101" s="53">
        <v>42592</v>
      </c>
      <c r="G101" s="53">
        <v>71571</v>
      </c>
      <c r="H101" s="53">
        <f t="shared" si="3"/>
        <v>-28979</v>
      </c>
      <c r="I101" s="53" t="str">
        <f t="shared" si="7"/>
        <v>Pending</v>
      </c>
      <c r="J101" s="123" t="b">
        <v>0</v>
      </c>
    </row>
    <row r="102" spans="1:10" x14ac:dyDescent="0.25">
      <c r="A102" s="122">
        <v>46353</v>
      </c>
      <c r="B102" s="53" t="s">
        <v>300</v>
      </c>
      <c r="C102" s="53" t="s">
        <v>518</v>
      </c>
      <c r="D102" s="53" t="s">
        <v>80</v>
      </c>
      <c r="E102" s="53" t="s">
        <v>103</v>
      </c>
      <c r="F102" s="53">
        <v>46226</v>
      </c>
      <c r="G102" s="53">
        <v>135932</v>
      </c>
      <c r="H102" s="53">
        <f t="shared" si="3"/>
        <v>-89706</v>
      </c>
      <c r="I102" s="53" t="str">
        <f t="shared" si="7"/>
        <v>Pending</v>
      </c>
      <c r="J102" s="123" t="b">
        <v>0</v>
      </c>
    </row>
    <row r="103" spans="1:10" x14ac:dyDescent="0.25">
      <c r="A103" s="122">
        <v>46354</v>
      </c>
      <c r="B103" s="53" t="s">
        <v>304</v>
      </c>
      <c r="C103" s="53" t="s">
        <v>519</v>
      </c>
      <c r="D103" s="53" t="s">
        <v>126</v>
      </c>
      <c r="E103" s="53" t="s">
        <v>87</v>
      </c>
      <c r="F103" s="53">
        <v>20000</v>
      </c>
      <c r="G103" s="53">
        <v>109822</v>
      </c>
      <c r="H103" s="53">
        <f t="shared" si="3"/>
        <v>-89822</v>
      </c>
      <c r="I103" s="53" t="str">
        <f t="shared" si="7"/>
        <v>Pending</v>
      </c>
      <c r="J103" s="123" t="b">
        <v>0</v>
      </c>
    </row>
    <row r="104" spans="1:10" x14ac:dyDescent="0.25">
      <c r="A104" s="122">
        <v>46355</v>
      </c>
      <c r="B104" s="53" t="s">
        <v>308</v>
      </c>
      <c r="C104" s="53" t="s">
        <v>520</v>
      </c>
      <c r="D104" s="53" t="s">
        <v>45</v>
      </c>
      <c r="E104" s="53" t="s">
        <v>87</v>
      </c>
      <c r="F104" s="53">
        <v>121474</v>
      </c>
      <c r="G104" s="53">
        <v>102296</v>
      </c>
      <c r="H104" s="53">
        <f t="shared" si="3"/>
        <v>19178</v>
      </c>
      <c r="I104" s="53" t="str">
        <f t="shared" si="7"/>
        <v>Achieved</v>
      </c>
      <c r="J104" s="123" t="b">
        <v>1</v>
      </c>
    </row>
    <row r="105" spans="1:10" x14ac:dyDescent="0.25">
      <c r="A105" s="122">
        <v>46356</v>
      </c>
      <c r="B105" s="53" t="s">
        <v>231</v>
      </c>
      <c r="C105" s="53" t="s">
        <v>521</v>
      </c>
      <c r="D105" s="53" t="s">
        <v>80</v>
      </c>
      <c r="E105" s="53" t="s">
        <v>87</v>
      </c>
      <c r="F105" s="53">
        <v>69741</v>
      </c>
      <c r="G105" s="53">
        <v>109163</v>
      </c>
      <c r="H105" s="53">
        <f t="shared" si="3"/>
        <v>-39422</v>
      </c>
      <c r="I105" s="53" t="str">
        <f t="shared" si="7"/>
        <v>Pending</v>
      </c>
      <c r="J105" s="123" t="b">
        <v>0</v>
      </c>
    </row>
    <row r="106" spans="1:10" ht="15.75" thickBot="1" x14ac:dyDescent="0.3">
      <c r="A106" s="122">
        <v>46357</v>
      </c>
      <c r="B106" s="58" t="s">
        <v>314</v>
      </c>
      <c r="C106" s="58" t="s">
        <v>522</v>
      </c>
      <c r="D106" s="58" t="s">
        <v>80</v>
      </c>
      <c r="E106" s="58" t="s">
        <v>123</v>
      </c>
      <c r="F106" s="58">
        <v>62760</v>
      </c>
      <c r="G106" s="58">
        <v>110686</v>
      </c>
      <c r="H106" s="58">
        <f t="shared" si="3"/>
        <v>-47926</v>
      </c>
      <c r="I106" s="58" t="str">
        <f t="shared" si="7"/>
        <v>Pending</v>
      </c>
      <c r="J106" s="124" t="b">
        <v>0</v>
      </c>
    </row>
    <row r="112" spans="1:10" ht="15.75" thickBot="1" x14ac:dyDescent="0.3"/>
    <row r="113" spans="1:10" x14ac:dyDescent="0.25">
      <c r="A113" s="126" t="s">
        <v>469</v>
      </c>
      <c r="B113" s="127" t="s">
        <v>0</v>
      </c>
      <c r="C113" s="127" t="s">
        <v>470</v>
      </c>
      <c r="D113" s="127" t="s">
        <v>6</v>
      </c>
      <c r="E113" s="127" t="s">
        <v>36</v>
      </c>
      <c r="F113" s="127" t="s">
        <v>471</v>
      </c>
      <c r="G113" s="127" t="s">
        <v>472</v>
      </c>
      <c r="H113" s="127" t="s">
        <v>532</v>
      </c>
      <c r="I113" s="127" t="s">
        <v>533</v>
      </c>
      <c r="J113" s="128" t="s">
        <v>533</v>
      </c>
    </row>
    <row r="114" spans="1:10" x14ac:dyDescent="0.25">
      <c r="A114" s="129">
        <v>46308</v>
      </c>
      <c r="B114" s="53" t="s">
        <v>40</v>
      </c>
      <c r="C114" s="53" t="s">
        <v>473</v>
      </c>
      <c r="D114" s="53" t="s">
        <v>93</v>
      </c>
      <c r="E114" s="53" t="s">
        <v>57</v>
      </c>
      <c r="F114" s="53">
        <v>38278</v>
      </c>
      <c r="G114" s="53">
        <v>137196</v>
      </c>
      <c r="H114" s="53">
        <f>F114-G114</f>
        <v>-98918</v>
      </c>
      <c r="I114" s="53" t="str">
        <f>IF(F114&gt;=G114,"Achieved","Pending")</f>
        <v>Pending</v>
      </c>
      <c r="J114" s="115" t="b">
        <v>0</v>
      </c>
    </row>
    <row r="115" spans="1:10" x14ac:dyDescent="0.25">
      <c r="A115" s="129">
        <v>46309</v>
      </c>
      <c r="B115" s="53" t="s">
        <v>58</v>
      </c>
      <c r="C115" s="53" t="s">
        <v>474</v>
      </c>
      <c r="D115" s="53" t="s">
        <v>185</v>
      </c>
      <c r="E115" s="53" t="s">
        <v>74</v>
      </c>
      <c r="F115" s="53">
        <v>64256</v>
      </c>
      <c r="G115" s="53">
        <v>58289</v>
      </c>
      <c r="H115" s="53">
        <f t="shared" ref="H115:H158" si="8">F115-G115</f>
        <v>5967</v>
      </c>
      <c r="I115" s="53" t="str">
        <f t="shared" ref="I115:I121" si="9">IF(F115&gt;=G115,"Achieved","Pending")</f>
        <v>Achieved</v>
      </c>
      <c r="J115" s="115" t="b">
        <v>1</v>
      </c>
    </row>
    <row r="116" spans="1:10" x14ac:dyDescent="0.25">
      <c r="A116" s="129">
        <v>46310</v>
      </c>
      <c r="B116" s="53" t="s">
        <v>75</v>
      </c>
      <c r="C116" s="53" t="s">
        <v>475</v>
      </c>
      <c r="D116" s="53" t="s">
        <v>93</v>
      </c>
      <c r="E116" s="53" t="s">
        <v>87</v>
      </c>
      <c r="F116" s="53">
        <v>123696</v>
      </c>
      <c r="G116" s="53">
        <v>137080</v>
      </c>
      <c r="H116" s="53">
        <f t="shared" si="8"/>
        <v>-13384</v>
      </c>
      <c r="I116" s="53" t="str">
        <f t="shared" si="9"/>
        <v>Pending</v>
      </c>
      <c r="J116" s="115" t="b">
        <v>0</v>
      </c>
    </row>
    <row r="117" spans="1:10" x14ac:dyDescent="0.25">
      <c r="A117" s="129">
        <v>46312</v>
      </c>
      <c r="B117" s="53" t="s">
        <v>104</v>
      </c>
      <c r="C117" s="53" t="s">
        <v>477</v>
      </c>
      <c r="D117" s="53" t="s">
        <v>134</v>
      </c>
      <c r="E117" s="53" t="s">
        <v>74</v>
      </c>
      <c r="F117" s="53">
        <v>47280</v>
      </c>
      <c r="G117" s="53">
        <v>68657</v>
      </c>
      <c r="H117" s="53">
        <f t="shared" si="8"/>
        <v>-21377</v>
      </c>
      <c r="I117" s="53" t="str">
        <f t="shared" si="9"/>
        <v>Pending</v>
      </c>
      <c r="J117" s="115" t="b">
        <v>0</v>
      </c>
    </row>
    <row r="118" spans="1:10" x14ac:dyDescent="0.25">
      <c r="A118" s="129">
        <v>46313</v>
      </c>
      <c r="B118" s="53" t="s">
        <v>114</v>
      </c>
      <c r="C118" s="53" t="s">
        <v>478</v>
      </c>
      <c r="D118" s="53" t="s">
        <v>45</v>
      </c>
      <c r="E118" s="53" t="s">
        <v>123</v>
      </c>
      <c r="F118" s="53">
        <v>108563</v>
      </c>
      <c r="G118" s="53">
        <v>66062</v>
      </c>
      <c r="H118" s="53">
        <f t="shared" si="8"/>
        <v>42501</v>
      </c>
      <c r="I118" s="53" t="str">
        <f t="shared" si="9"/>
        <v>Achieved</v>
      </c>
      <c r="J118" s="115" t="b">
        <v>1</v>
      </c>
    </row>
    <row r="119" spans="1:10" x14ac:dyDescent="0.25">
      <c r="A119" s="129">
        <v>46314</v>
      </c>
      <c r="B119" s="53" t="s">
        <v>124</v>
      </c>
      <c r="C119" s="53" t="s">
        <v>479</v>
      </c>
      <c r="D119" s="53" t="s">
        <v>93</v>
      </c>
      <c r="E119" s="53" t="s">
        <v>57</v>
      </c>
      <c r="F119" s="53">
        <v>63893</v>
      </c>
      <c r="G119" s="53">
        <v>98878</v>
      </c>
      <c r="H119" s="53">
        <f t="shared" si="8"/>
        <v>-34985</v>
      </c>
      <c r="I119" s="53" t="str">
        <f t="shared" si="9"/>
        <v>Pending</v>
      </c>
      <c r="J119" s="115" t="b">
        <v>0</v>
      </c>
    </row>
    <row r="120" spans="1:10" x14ac:dyDescent="0.25">
      <c r="A120" s="129">
        <v>46315</v>
      </c>
      <c r="B120" s="53" t="s">
        <v>132</v>
      </c>
      <c r="C120" s="53" t="s">
        <v>480</v>
      </c>
      <c r="D120" s="53" t="s">
        <v>80</v>
      </c>
      <c r="E120" s="53" t="s">
        <v>103</v>
      </c>
      <c r="F120" s="53">
        <v>141093</v>
      </c>
      <c r="G120" s="53">
        <v>40851</v>
      </c>
      <c r="H120" s="53">
        <f t="shared" si="8"/>
        <v>100242</v>
      </c>
      <c r="I120" s="53" t="str">
        <f t="shared" si="9"/>
        <v>Achieved</v>
      </c>
      <c r="J120" s="115" t="b">
        <v>0</v>
      </c>
    </row>
    <row r="121" spans="1:10" x14ac:dyDescent="0.25">
      <c r="A121" s="129">
        <v>46316</v>
      </c>
      <c r="B121" s="53" t="s">
        <v>141</v>
      </c>
      <c r="C121" s="53" t="s">
        <v>481</v>
      </c>
      <c r="D121" s="53" t="s">
        <v>45</v>
      </c>
      <c r="E121" s="53" t="s">
        <v>123</v>
      </c>
      <c r="F121" s="53">
        <v>79597</v>
      </c>
      <c r="G121" s="53">
        <v>76421</v>
      </c>
      <c r="H121" s="53">
        <f t="shared" si="8"/>
        <v>3176</v>
      </c>
      <c r="I121" s="53" t="str">
        <f t="shared" si="9"/>
        <v>Achieved</v>
      </c>
      <c r="J121" s="115" t="b">
        <v>1</v>
      </c>
    </row>
    <row r="122" spans="1:10" x14ac:dyDescent="0.25">
      <c r="A122" s="129">
        <v>46317</v>
      </c>
      <c r="B122" s="53" t="s">
        <v>151</v>
      </c>
      <c r="C122" s="53" t="s">
        <v>482</v>
      </c>
      <c r="D122" s="53" t="s">
        <v>45</v>
      </c>
      <c r="E122" s="53" t="s">
        <v>87</v>
      </c>
      <c r="F122" s="53">
        <v>135072</v>
      </c>
      <c r="G122" s="53">
        <v>84118</v>
      </c>
      <c r="H122" s="53">
        <f t="shared" si="8"/>
        <v>50954</v>
      </c>
      <c r="I122" s="53" t="e" cm="1">
        <f t="array" aca="1" ref="I122" ca="1">IFabc(F122&gt;=G122,"Achieved","Pending")</f>
        <v>#NAME?</v>
      </c>
      <c r="J122" s="115" t="b">
        <v>1</v>
      </c>
    </row>
    <row r="123" spans="1:10" x14ac:dyDescent="0.25">
      <c r="A123" s="129">
        <v>46318</v>
      </c>
      <c r="B123" s="53" t="s">
        <v>68</v>
      </c>
      <c r="C123" s="53" t="s">
        <v>483</v>
      </c>
      <c r="D123" s="53" t="s">
        <v>134</v>
      </c>
      <c r="E123" s="53" t="s">
        <v>57</v>
      </c>
      <c r="F123" s="53">
        <v>84797</v>
      </c>
      <c r="G123" s="53">
        <v>52676</v>
      </c>
      <c r="H123" s="53">
        <f t="shared" si="8"/>
        <v>32121</v>
      </c>
      <c r="I123" s="53" t="str">
        <f t="shared" ref="I123:I131" si="10">IF(F123&gt;=G123,"Achieved","Pending")</f>
        <v>Achieved</v>
      </c>
      <c r="J123" s="115" t="b">
        <v>1</v>
      </c>
    </row>
    <row r="124" spans="1:10" x14ac:dyDescent="0.25">
      <c r="A124" s="129">
        <v>46320</v>
      </c>
      <c r="B124" s="53" t="s">
        <v>170</v>
      </c>
      <c r="C124" s="53" t="s">
        <v>485</v>
      </c>
      <c r="D124" s="53" t="s">
        <v>134</v>
      </c>
      <c r="E124" s="53" t="s">
        <v>123</v>
      </c>
      <c r="F124" s="53">
        <v>105284</v>
      </c>
      <c r="G124" s="53">
        <v>56361</v>
      </c>
      <c r="H124" s="53">
        <f>F124-G124</f>
        <v>48923</v>
      </c>
      <c r="I124" s="53" t="str">
        <f>IF(F124&gt;=G124,"Achieved","Pending")</f>
        <v>Achieved</v>
      </c>
      <c r="J124" s="115" t="b">
        <v>1</v>
      </c>
    </row>
    <row r="125" spans="1:10" x14ac:dyDescent="0.25">
      <c r="A125" s="129">
        <v>46321</v>
      </c>
      <c r="B125" s="53" t="s">
        <v>175</v>
      </c>
      <c r="C125" s="53" t="s">
        <v>486</v>
      </c>
      <c r="D125" s="53" t="s">
        <v>126</v>
      </c>
      <c r="E125" s="53" t="s">
        <v>57</v>
      </c>
      <c r="F125" s="53">
        <v>20000</v>
      </c>
      <c r="G125" s="53">
        <v>78427</v>
      </c>
      <c r="H125" s="53">
        <f t="shared" si="8"/>
        <v>-58427</v>
      </c>
      <c r="I125" s="53" t="str">
        <f t="shared" si="10"/>
        <v>Pending</v>
      </c>
      <c r="J125" s="115" t="b">
        <v>0</v>
      </c>
    </row>
    <row r="126" spans="1:10" x14ac:dyDescent="0.25">
      <c r="A126" s="129">
        <v>46322</v>
      </c>
      <c r="B126" s="53" t="s">
        <v>180</v>
      </c>
      <c r="C126" s="53" t="s">
        <v>487</v>
      </c>
      <c r="D126" s="53" t="s">
        <v>93</v>
      </c>
      <c r="E126" s="53" t="s">
        <v>87</v>
      </c>
      <c r="F126" s="53">
        <v>110674</v>
      </c>
      <c r="G126" s="53">
        <v>65203</v>
      </c>
      <c r="H126" s="53">
        <f t="shared" si="8"/>
        <v>45471</v>
      </c>
      <c r="I126" s="53" t="str">
        <f t="shared" si="10"/>
        <v>Achieved</v>
      </c>
      <c r="J126" s="115" t="b">
        <v>1</v>
      </c>
    </row>
    <row r="127" spans="1:10" x14ac:dyDescent="0.25">
      <c r="A127" s="129">
        <v>46323</v>
      </c>
      <c r="B127" s="53" t="s">
        <v>129</v>
      </c>
      <c r="C127" s="53" t="s">
        <v>488</v>
      </c>
      <c r="D127" s="53" t="s">
        <v>93</v>
      </c>
      <c r="E127" s="53" t="s">
        <v>103</v>
      </c>
      <c r="F127" s="53">
        <v>41006</v>
      </c>
      <c r="G127" s="53">
        <v>126673</v>
      </c>
      <c r="H127" s="53">
        <f t="shared" si="8"/>
        <v>-85667</v>
      </c>
      <c r="I127" s="53" t="str">
        <f t="shared" si="10"/>
        <v>Pending</v>
      </c>
      <c r="J127" s="115" t="b">
        <v>0</v>
      </c>
    </row>
    <row r="128" spans="1:10" x14ac:dyDescent="0.25">
      <c r="A128" s="129">
        <v>46324</v>
      </c>
      <c r="B128" s="53" t="s">
        <v>190</v>
      </c>
      <c r="C128" s="53" t="s">
        <v>489</v>
      </c>
      <c r="D128" s="53" t="s">
        <v>45</v>
      </c>
      <c r="E128" s="53" t="s">
        <v>57</v>
      </c>
      <c r="F128" s="53">
        <v>45458</v>
      </c>
      <c r="G128" s="53">
        <v>70512</v>
      </c>
      <c r="H128" s="53">
        <f t="shared" si="8"/>
        <v>-25054</v>
      </c>
      <c r="I128" s="53" t="str">
        <f t="shared" si="10"/>
        <v>Pending</v>
      </c>
      <c r="J128" s="115" t="b">
        <v>0</v>
      </c>
    </row>
    <row r="129" spans="1:10" x14ac:dyDescent="0.25">
      <c r="A129" s="129">
        <v>46325</v>
      </c>
      <c r="B129" s="53" t="s">
        <v>195</v>
      </c>
      <c r="C129" s="53" t="s">
        <v>490</v>
      </c>
      <c r="D129" s="53" t="s">
        <v>134</v>
      </c>
      <c r="E129" s="53" t="s">
        <v>87</v>
      </c>
      <c r="F129" s="53">
        <v>71434</v>
      </c>
      <c r="G129" s="53">
        <v>99429</v>
      </c>
      <c r="H129" s="53">
        <f t="shared" si="8"/>
        <v>-27995</v>
      </c>
      <c r="I129" s="53" t="str">
        <f t="shared" si="10"/>
        <v>Pending</v>
      </c>
      <c r="J129" s="115" t="b">
        <v>0</v>
      </c>
    </row>
    <row r="130" spans="1:10" x14ac:dyDescent="0.25">
      <c r="A130" s="129">
        <v>46326</v>
      </c>
      <c r="B130" s="53" t="s">
        <v>200</v>
      </c>
      <c r="C130" s="53" t="s">
        <v>491</v>
      </c>
      <c r="D130" s="53" t="s">
        <v>93</v>
      </c>
      <c r="E130" s="53" t="s">
        <v>123</v>
      </c>
      <c r="F130" s="53">
        <v>56319</v>
      </c>
      <c r="G130" s="53">
        <v>88520</v>
      </c>
      <c r="H130" s="53">
        <f t="shared" si="8"/>
        <v>-32201</v>
      </c>
      <c r="I130" s="53" t="str">
        <f t="shared" si="10"/>
        <v>Pending</v>
      </c>
      <c r="J130" s="115" t="b">
        <v>0</v>
      </c>
    </row>
    <row r="131" spans="1:10" x14ac:dyDescent="0.25">
      <c r="A131" s="129">
        <v>46327</v>
      </c>
      <c r="B131" s="53" t="s">
        <v>205</v>
      </c>
      <c r="C131" s="53" t="s">
        <v>492</v>
      </c>
      <c r="D131" s="53" t="s">
        <v>185</v>
      </c>
      <c r="E131" s="53" t="s">
        <v>123</v>
      </c>
      <c r="F131" s="53">
        <v>122841</v>
      </c>
      <c r="G131" s="53">
        <v>74993</v>
      </c>
      <c r="H131" s="53">
        <f t="shared" si="8"/>
        <v>47848</v>
      </c>
      <c r="I131" s="53" t="str">
        <f t="shared" si="10"/>
        <v>Achieved</v>
      </c>
      <c r="J131" s="115" t="b">
        <v>1</v>
      </c>
    </row>
    <row r="132" spans="1:10" x14ac:dyDescent="0.25">
      <c r="A132" s="129">
        <v>46328</v>
      </c>
      <c r="B132" s="53" t="s">
        <v>210</v>
      </c>
      <c r="C132" s="53" t="s">
        <v>493</v>
      </c>
      <c r="D132" s="53" t="s">
        <v>93</v>
      </c>
      <c r="E132" s="53" t="s">
        <v>74</v>
      </c>
      <c r="F132" s="53">
        <v>114840</v>
      </c>
      <c r="G132" s="53">
        <v>123227</v>
      </c>
      <c r="H132" s="53">
        <f t="shared" si="8"/>
        <v>-8387</v>
      </c>
      <c r="I132" s="53" t="e" cm="1">
        <f t="array" aca="1" ref="I132" ca="1">IFabc(F132&gt;=G132,"Achieved","Pending")</f>
        <v>#NAME?</v>
      </c>
      <c r="J132" s="115" t="b">
        <v>0</v>
      </c>
    </row>
    <row r="133" spans="1:10" x14ac:dyDescent="0.25">
      <c r="A133" s="129">
        <v>46330</v>
      </c>
      <c r="B133" s="53" t="s">
        <v>209</v>
      </c>
      <c r="C133" s="53" t="s">
        <v>495</v>
      </c>
      <c r="D133" s="53" t="s">
        <v>126</v>
      </c>
      <c r="E133" s="53" t="s">
        <v>87</v>
      </c>
      <c r="F133" s="53">
        <v>118886</v>
      </c>
      <c r="G133" s="53">
        <v>130198</v>
      </c>
      <c r="H133" s="53">
        <f t="shared" si="8"/>
        <v>-11312</v>
      </c>
      <c r="I133" s="53" t="str">
        <f t="shared" ref="I133:I137" si="11">IF(F133&gt;=G133,"Achieved","Pending")</f>
        <v>Pending</v>
      </c>
      <c r="J133" s="115" t="b">
        <v>0</v>
      </c>
    </row>
    <row r="134" spans="1:10" x14ac:dyDescent="0.25">
      <c r="A134" s="129">
        <v>46331</v>
      </c>
      <c r="B134" s="53" t="s">
        <v>223</v>
      </c>
      <c r="C134" s="53" t="s">
        <v>496</v>
      </c>
      <c r="D134" s="53" t="s">
        <v>80</v>
      </c>
      <c r="E134" s="53" t="s">
        <v>103</v>
      </c>
      <c r="F134" s="53">
        <v>124733</v>
      </c>
      <c r="G134" s="53">
        <v>82504</v>
      </c>
      <c r="H134" s="53">
        <f t="shared" si="8"/>
        <v>42229</v>
      </c>
      <c r="I134" s="53" t="str">
        <f t="shared" si="11"/>
        <v>Achieved</v>
      </c>
      <c r="J134" s="115" t="b">
        <v>1</v>
      </c>
    </row>
    <row r="135" spans="1:10" x14ac:dyDescent="0.25">
      <c r="A135" s="129">
        <v>46332</v>
      </c>
      <c r="B135" s="53" t="s">
        <v>227</v>
      </c>
      <c r="C135" s="53" t="s">
        <v>497</v>
      </c>
      <c r="D135" s="53" t="s">
        <v>134</v>
      </c>
      <c r="E135" s="53" t="s">
        <v>123</v>
      </c>
      <c r="F135" s="53">
        <v>142715</v>
      </c>
      <c r="G135" s="53">
        <v>44207</v>
      </c>
      <c r="H135" s="53">
        <f t="shared" si="8"/>
        <v>98508</v>
      </c>
      <c r="I135" s="53" t="str">
        <f t="shared" si="11"/>
        <v>Achieved</v>
      </c>
      <c r="J135" s="115" t="b">
        <v>0</v>
      </c>
    </row>
    <row r="136" spans="1:10" x14ac:dyDescent="0.25">
      <c r="A136" s="129">
        <v>46333</v>
      </c>
      <c r="B136" s="53" t="s">
        <v>222</v>
      </c>
      <c r="C136" s="53" t="s">
        <v>498</v>
      </c>
      <c r="D136" s="53" t="s">
        <v>185</v>
      </c>
      <c r="E136" s="53" t="s">
        <v>87</v>
      </c>
      <c r="F136" s="53">
        <v>70093</v>
      </c>
      <c r="G136" s="53">
        <v>48675</v>
      </c>
      <c r="H136" s="53">
        <f t="shared" si="8"/>
        <v>21418</v>
      </c>
      <c r="I136" s="53" t="str">
        <f t="shared" si="11"/>
        <v>Achieved</v>
      </c>
      <c r="J136" s="115" t="b">
        <v>0</v>
      </c>
    </row>
    <row r="137" spans="1:10" x14ac:dyDescent="0.25">
      <c r="A137" s="129">
        <v>46334</v>
      </c>
      <c r="B137" s="53" t="s">
        <v>110</v>
      </c>
      <c r="C137" s="53" t="s">
        <v>499</v>
      </c>
      <c r="D137" s="53" t="s">
        <v>45</v>
      </c>
      <c r="E137" s="53" t="s">
        <v>87</v>
      </c>
      <c r="F137" s="53">
        <v>62869</v>
      </c>
      <c r="G137" s="53">
        <v>125909</v>
      </c>
      <c r="H137" s="53">
        <f t="shared" si="8"/>
        <v>-63040</v>
      </c>
      <c r="I137" s="53" t="str">
        <f t="shared" si="11"/>
        <v>Pending</v>
      </c>
      <c r="J137" s="115" t="b">
        <v>0</v>
      </c>
    </row>
    <row r="138" spans="1:10" x14ac:dyDescent="0.25">
      <c r="A138" s="129">
        <v>46335</v>
      </c>
      <c r="B138" s="53" t="s">
        <v>138</v>
      </c>
      <c r="C138" s="53" t="s">
        <v>500</v>
      </c>
      <c r="D138" s="53" t="s">
        <v>126</v>
      </c>
      <c r="E138" s="53" t="s">
        <v>123</v>
      </c>
      <c r="F138" s="53">
        <v>119259</v>
      </c>
      <c r="G138" s="53">
        <v>100142</v>
      </c>
      <c r="H138" s="53">
        <f t="shared" si="8"/>
        <v>19117</v>
      </c>
      <c r="I138" s="53" t="e" cm="1">
        <f t="array" aca="1" ref="I138" ca="1">IFabc(F138&gt;=G138,"Achieved","Pending")</f>
        <v>#NAME?</v>
      </c>
      <c r="J138" s="115" t="b">
        <v>1</v>
      </c>
    </row>
    <row r="139" spans="1:10" x14ac:dyDescent="0.25">
      <c r="A139" s="129">
        <v>46336</v>
      </c>
      <c r="B139" s="53" t="s">
        <v>243</v>
      </c>
      <c r="C139" s="53" t="s">
        <v>501</v>
      </c>
      <c r="D139" s="53" t="s">
        <v>45</v>
      </c>
      <c r="E139" s="53" t="s">
        <v>103</v>
      </c>
      <c r="F139" s="53">
        <v>53301</v>
      </c>
      <c r="G139" s="53">
        <v>72325</v>
      </c>
      <c r="H139" s="53">
        <f t="shared" si="8"/>
        <v>-19024</v>
      </c>
      <c r="I139" s="53" t="str">
        <f t="shared" ref="I139:I158" si="12">IF(F139&gt;=G139,"Achieved","Pending")</f>
        <v>Pending</v>
      </c>
      <c r="J139" s="115" t="b">
        <v>0</v>
      </c>
    </row>
    <row r="140" spans="1:10" x14ac:dyDescent="0.25">
      <c r="A140" s="129">
        <v>46338</v>
      </c>
      <c r="B140" s="53" t="s">
        <v>251</v>
      </c>
      <c r="C140" s="53" t="s">
        <v>503</v>
      </c>
      <c r="D140" s="53" t="s">
        <v>126</v>
      </c>
      <c r="E140" s="53" t="s">
        <v>87</v>
      </c>
      <c r="F140" s="53">
        <v>82447</v>
      </c>
      <c r="G140" s="53">
        <v>68746</v>
      </c>
      <c r="H140" s="53">
        <f t="shared" si="8"/>
        <v>13701</v>
      </c>
      <c r="I140" s="53" t="str">
        <f t="shared" si="12"/>
        <v>Achieved</v>
      </c>
      <c r="J140" s="115" t="b">
        <v>1</v>
      </c>
    </row>
    <row r="141" spans="1:10" x14ac:dyDescent="0.25">
      <c r="A141" s="129">
        <v>46339</v>
      </c>
      <c r="B141" s="53" t="s">
        <v>255</v>
      </c>
      <c r="C141" s="53" t="s">
        <v>504</v>
      </c>
      <c r="D141" s="53" t="s">
        <v>45</v>
      </c>
      <c r="E141" s="53" t="s">
        <v>123</v>
      </c>
      <c r="F141" s="53">
        <v>46915</v>
      </c>
      <c r="G141" s="53">
        <v>139061</v>
      </c>
      <c r="H141" s="53">
        <f t="shared" si="8"/>
        <v>-92146</v>
      </c>
      <c r="I141" s="53" t="str">
        <f t="shared" si="12"/>
        <v>Pending</v>
      </c>
      <c r="J141" s="115" t="b">
        <v>0</v>
      </c>
    </row>
    <row r="142" spans="1:10" x14ac:dyDescent="0.25">
      <c r="A142" s="129">
        <v>46340</v>
      </c>
      <c r="B142" s="53" t="s">
        <v>258</v>
      </c>
      <c r="C142" s="53" t="s">
        <v>505</v>
      </c>
      <c r="D142" s="53" t="s">
        <v>134</v>
      </c>
      <c r="E142" s="53" t="s">
        <v>123</v>
      </c>
      <c r="F142" s="53">
        <v>55033</v>
      </c>
      <c r="G142" s="53">
        <v>122240</v>
      </c>
      <c r="H142" s="53">
        <f t="shared" si="8"/>
        <v>-67207</v>
      </c>
      <c r="I142" s="53" t="str">
        <f t="shared" si="12"/>
        <v>Pending</v>
      </c>
      <c r="J142" s="115" t="b">
        <v>0</v>
      </c>
    </row>
    <row r="143" spans="1:10" x14ac:dyDescent="0.25">
      <c r="A143" s="129">
        <v>46341</v>
      </c>
      <c r="B143" s="53" t="s">
        <v>168</v>
      </c>
      <c r="C143" s="53" t="s">
        <v>506</v>
      </c>
      <c r="D143" s="53" t="s">
        <v>45</v>
      </c>
      <c r="E143" s="53" t="s">
        <v>74</v>
      </c>
      <c r="F143" s="53">
        <v>113172</v>
      </c>
      <c r="G143" s="53">
        <v>48326</v>
      </c>
      <c r="H143" s="53">
        <f t="shared" si="8"/>
        <v>64846</v>
      </c>
      <c r="I143" s="53" t="str">
        <f t="shared" si="12"/>
        <v>Achieved</v>
      </c>
      <c r="J143" s="115" t="b">
        <v>0</v>
      </c>
    </row>
    <row r="144" spans="1:10" x14ac:dyDescent="0.25">
      <c r="A144" s="129">
        <v>46342</v>
      </c>
      <c r="B144" s="53" t="s">
        <v>240</v>
      </c>
      <c r="C144" s="53" t="s">
        <v>507</v>
      </c>
      <c r="D144" s="53" t="s">
        <v>126</v>
      </c>
      <c r="E144" s="53" t="s">
        <v>74</v>
      </c>
      <c r="F144" s="53">
        <v>113104</v>
      </c>
      <c r="G144" s="53">
        <v>101348</v>
      </c>
      <c r="H144" s="53">
        <f t="shared" si="8"/>
        <v>11756</v>
      </c>
      <c r="I144" s="53" t="str">
        <f t="shared" si="12"/>
        <v>Achieved</v>
      </c>
      <c r="J144" s="115" t="b">
        <v>1</v>
      </c>
    </row>
    <row r="145" spans="1:10" x14ac:dyDescent="0.25">
      <c r="A145" s="129">
        <v>46343</v>
      </c>
      <c r="B145" s="53" t="s">
        <v>271</v>
      </c>
      <c r="C145" s="53" t="s">
        <v>508</v>
      </c>
      <c r="D145" s="53" t="s">
        <v>80</v>
      </c>
      <c r="E145" s="53" t="s">
        <v>103</v>
      </c>
      <c r="F145" s="53">
        <v>20000</v>
      </c>
      <c r="G145" s="53">
        <v>41504</v>
      </c>
      <c r="H145" s="53">
        <f t="shared" si="8"/>
        <v>-21504</v>
      </c>
      <c r="I145" s="53" t="str">
        <f t="shared" si="12"/>
        <v>Pending</v>
      </c>
      <c r="J145" s="115" t="b">
        <v>0</v>
      </c>
    </row>
    <row r="146" spans="1:10" x14ac:dyDescent="0.25">
      <c r="A146" s="129">
        <v>46344</v>
      </c>
      <c r="B146" s="53" t="s">
        <v>275</v>
      </c>
      <c r="C146" s="53" t="s">
        <v>509</v>
      </c>
      <c r="D146" s="53" t="s">
        <v>93</v>
      </c>
      <c r="E146" s="53" t="s">
        <v>57</v>
      </c>
      <c r="F146" s="53">
        <v>124353</v>
      </c>
      <c r="G146" s="53">
        <v>109163</v>
      </c>
      <c r="H146" s="53">
        <f t="shared" si="8"/>
        <v>15190</v>
      </c>
      <c r="I146" s="53" t="str">
        <f t="shared" si="12"/>
        <v>Achieved</v>
      </c>
      <c r="J146" s="115" t="b">
        <v>1</v>
      </c>
    </row>
    <row r="147" spans="1:10" x14ac:dyDescent="0.25">
      <c r="A147" s="129">
        <v>46345</v>
      </c>
      <c r="B147" s="53" t="s">
        <v>194</v>
      </c>
      <c r="C147" s="53" t="s">
        <v>510</v>
      </c>
      <c r="D147" s="53" t="s">
        <v>185</v>
      </c>
      <c r="E147" s="53" t="s">
        <v>74</v>
      </c>
      <c r="F147" s="53">
        <v>49621</v>
      </c>
      <c r="G147" s="53">
        <v>78469</v>
      </c>
      <c r="H147" s="53">
        <f t="shared" si="8"/>
        <v>-28848</v>
      </c>
      <c r="I147" s="53" t="str">
        <f t="shared" si="12"/>
        <v>Pending</v>
      </c>
      <c r="J147" s="115" t="b">
        <v>0</v>
      </c>
    </row>
    <row r="148" spans="1:10" x14ac:dyDescent="0.25">
      <c r="A148" s="129">
        <v>46346</v>
      </c>
      <c r="B148" s="53" t="s">
        <v>280</v>
      </c>
      <c r="C148" s="53" t="s">
        <v>511</v>
      </c>
      <c r="D148" s="53" t="s">
        <v>126</v>
      </c>
      <c r="E148" s="53" t="s">
        <v>103</v>
      </c>
      <c r="F148" s="53">
        <v>94470</v>
      </c>
      <c r="G148" s="53">
        <v>40425</v>
      </c>
      <c r="H148" s="53">
        <f t="shared" si="8"/>
        <v>54045</v>
      </c>
      <c r="I148" s="53" t="str">
        <f t="shared" si="12"/>
        <v>Achieved</v>
      </c>
      <c r="J148" s="115" t="b">
        <v>0</v>
      </c>
    </row>
    <row r="149" spans="1:10" x14ac:dyDescent="0.25">
      <c r="A149" s="129">
        <v>46347</v>
      </c>
      <c r="B149" s="53" t="s">
        <v>283</v>
      </c>
      <c r="C149" s="53" t="s">
        <v>512</v>
      </c>
      <c r="D149" s="53" t="s">
        <v>93</v>
      </c>
      <c r="E149" s="53" t="s">
        <v>57</v>
      </c>
      <c r="F149" s="53">
        <v>100612</v>
      </c>
      <c r="G149" s="53">
        <v>139871</v>
      </c>
      <c r="H149" s="53">
        <f t="shared" si="8"/>
        <v>-39259</v>
      </c>
      <c r="I149" s="53" t="str">
        <f t="shared" si="12"/>
        <v>Pending</v>
      </c>
      <c r="J149" s="115" t="b">
        <v>0</v>
      </c>
    </row>
    <row r="150" spans="1:10" x14ac:dyDescent="0.25">
      <c r="A150" s="129">
        <v>46348</v>
      </c>
      <c r="B150" s="53" t="s">
        <v>235</v>
      </c>
      <c r="C150" s="53" t="s">
        <v>513</v>
      </c>
      <c r="D150" s="53" t="s">
        <v>45</v>
      </c>
      <c r="E150" s="53" t="s">
        <v>123</v>
      </c>
      <c r="F150" s="53">
        <v>149100</v>
      </c>
      <c r="G150" s="53">
        <v>121959</v>
      </c>
      <c r="H150" s="53">
        <f t="shared" si="8"/>
        <v>27141</v>
      </c>
      <c r="I150" s="53" t="str">
        <f t="shared" si="12"/>
        <v>Achieved</v>
      </c>
      <c r="J150" s="115" t="b">
        <v>1</v>
      </c>
    </row>
    <row r="151" spans="1:10" x14ac:dyDescent="0.25">
      <c r="A151" s="129">
        <v>46350</v>
      </c>
      <c r="B151" s="53" t="s">
        <v>120</v>
      </c>
      <c r="C151" s="53" t="s">
        <v>515</v>
      </c>
      <c r="D151" s="53" t="s">
        <v>45</v>
      </c>
      <c r="E151" s="53" t="s">
        <v>57</v>
      </c>
      <c r="F151" s="53">
        <v>113504</v>
      </c>
      <c r="G151" s="53">
        <v>82487</v>
      </c>
      <c r="H151" s="53">
        <f t="shared" si="8"/>
        <v>31017</v>
      </c>
      <c r="I151" s="53" t="str">
        <f t="shared" si="12"/>
        <v>Achieved</v>
      </c>
      <c r="J151" s="115" t="b">
        <v>1</v>
      </c>
    </row>
    <row r="152" spans="1:10" x14ac:dyDescent="0.25">
      <c r="A152" s="129">
        <v>46351</v>
      </c>
      <c r="B152" s="53" t="s">
        <v>295</v>
      </c>
      <c r="C152" s="53" t="s">
        <v>516</v>
      </c>
      <c r="D152" s="53" t="s">
        <v>126</v>
      </c>
      <c r="E152" s="53" t="s">
        <v>57</v>
      </c>
      <c r="F152" s="53">
        <v>49662</v>
      </c>
      <c r="G152" s="53">
        <v>87576</v>
      </c>
      <c r="H152" s="53">
        <f t="shared" si="8"/>
        <v>-37914</v>
      </c>
      <c r="I152" s="53" t="str">
        <f t="shared" si="12"/>
        <v>Pending</v>
      </c>
      <c r="J152" s="115" t="b">
        <v>0</v>
      </c>
    </row>
    <row r="153" spans="1:10" x14ac:dyDescent="0.25">
      <c r="A153" s="129">
        <v>46352</v>
      </c>
      <c r="B153" s="53" t="s">
        <v>286</v>
      </c>
      <c r="C153" s="53" t="s">
        <v>517</v>
      </c>
      <c r="D153" s="53" t="s">
        <v>185</v>
      </c>
      <c r="E153" s="53" t="s">
        <v>123</v>
      </c>
      <c r="F153" s="53">
        <v>42592</v>
      </c>
      <c r="G153" s="53">
        <v>71571</v>
      </c>
      <c r="H153" s="53">
        <f t="shared" si="8"/>
        <v>-28979</v>
      </c>
      <c r="I153" s="53" t="str">
        <f t="shared" si="12"/>
        <v>Pending</v>
      </c>
      <c r="J153" s="115" t="b">
        <v>0</v>
      </c>
    </row>
    <row r="154" spans="1:10" x14ac:dyDescent="0.25">
      <c r="A154" s="129">
        <v>46353</v>
      </c>
      <c r="B154" s="53" t="s">
        <v>300</v>
      </c>
      <c r="C154" s="53" t="s">
        <v>518</v>
      </c>
      <c r="D154" s="53" t="s">
        <v>80</v>
      </c>
      <c r="E154" s="53" t="s">
        <v>103</v>
      </c>
      <c r="F154" s="53">
        <v>46226</v>
      </c>
      <c r="G154" s="53">
        <v>135932</v>
      </c>
      <c r="H154" s="53">
        <f t="shared" si="8"/>
        <v>-89706</v>
      </c>
      <c r="I154" s="53" t="str">
        <f t="shared" si="12"/>
        <v>Pending</v>
      </c>
      <c r="J154" s="115" t="b">
        <v>0</v>
      </c>
    </row>
    <row r="155" spans="1:10" x14ac:dyDescent="0.25">
      <c r="A155" s="129">
        <v>46354</v>
      </c>
      <c r="B155" s="53" t="s">
        <v>304</v>
      </c>
      <c r="C155" s="53" t="s">
        <v>519</v>
      </c>
      <c r="D155" s="53" t="s">
        <v>126</v>
      </c>
      <c r="E155" s="53" t="s">
        <v>87</v>
      </c>
      <c r="F155" s="53">
        <v>20000</v>
      </c>
      <c r="G155" s="53">
        <v>109822</v>
      </c>
      <c r="H155" s="53">
        <f t="shared" si="8"/>
        <v>-89822</v>
      </c>
      <c r="I155" s="53" t="str">
        <f t="shared" si="12"/>
        <v>Pending</v>
      </c>
      <c r="J155" s="115" t="b">
        <v>0</v>
      </c>
    </row>
    <row r="156" spans="1:10" x14ac:dyDescent="0.25">
      <c r="A156" s="129">
        <v>46355</v>
      </c>
      <c r="B156" s="53" t="s">
        <v>308</v>
      </c>
      <c r="C156" s="53" t="s">
        <v>520</v>
      </c>
      <c r="D156" s="53" t="s">
        <v>45</v>
      </c>
      <c r="E156" s="53" t="s">
        <v>87</v>
      </c>
      <c r="F156" s="53">
        <v>121474</v>
      </c>
      <c r="G156" s="53">
        <v>102296</v>
      </c>
      <c r="H156" s="53">
        <f t="shared" si="8"/>
        <v>19178</v>
      </c>
      <c r="I156" s="53" t="str">
        <f t="shared" si="12"/>
        <v>Achieved</v>
      </c>
      <c r="J156" s="115" t="b">
        <v>1</v>
      </c>
    </row>
    <row r="157" spans="1:10" x14ac:dyDescent="0.25">
      <c r="A157" s="129">
        <v>46356</v>
      </c>
      <c r="B157" s="53" t="s">
        <v>231</v>
      </c>
      <c r="C157" s="53" t="s">
        <v>521</v>
      </c>
      <c r="D157" s="53" t="s">
        <v>80</v>
      </c>
      <c r="E157" s="53" t="s">
        <v>87</v>
      </c>
      <c r="F157" s="53">
        <v>69741</v>
      </c>
      <c r="G157" s="53">
        <v>109163</v>
      </c>
      <c r="H157" s="53">
        <f t="shared" si="8"/>
        <v>-39422</v>
      </c>
      <c r="I157" s="53" t="str">
        <f t="shared" si="12"/>
        <v>Pending</v>
      </c>
      <c r="J157" s="115" t="b">
        <v>0</v>
      </c>
    </row>
    <row r="158" spans="1:10" ht="15.75" thickBot="1" x14ac:dyDescent="0.3">
      <c r="A158" s="130">
        <v>46357</v>
      </c>
      <c r="B158" s="58" t="s">
        <v>314</v>
      </c>
      <c r="C158" s="58" t="s">
        <v>522</v>
      </c>
      <c r="D158" s="58" t="s">
        <v>80</v>
      </c>
      <c r="E158" s="58" t="s">
        <v>123</v>
      </c>
      <c r="F158" s="58">
        <v>62760</v>
      </c>
      <c r="G158" s="58">
        <v>110686</v>
      </c>
      <c r="H158" s="58">
        <f t="shared" si="8"/>
        <v>-47926</v>
      </c>
      <c r="I158" s="58" t="str">
        <f t="shared" si="12"/>
        <v>Pending</v>
      </c>
      <c r="J158" s="117" t="b">
        <v>0</v>
      </c>
    </row>
    <row r="168" spans="1:15" ht="15.75" thickBot="1" x14ac:dyDescent="0.3"/>
    <row r="169" spans="1:15" x14ac:dyDescent="0.25">
      <c r="A169" s="238" t="s">
        <v>534</v>
      </c>
      <c r="B169" s="239"/>
      <c r="C169" s="239"/>
      <c r="D169" s="239"/>
      <c r="E169" s="239"/>
      <c r="F169" s="239"/>
      <c r="G169" s="239"/>
      <c r="H169" s="239"/>
      <c r="I169" s="239"/>
      <c r="J169" s="239"/>
      <c r="K169" s="239"/>
      <c r="L169" s="239"/>
      <c r="M169" s="239"/>
      <c r="N169" s="239"/>
      <c r="O169" s="240"/>
    </row>
    <row r="170" spans="1:15" ht="15.75" thickBot="1" x14ac:dyDescent="0.3">
      <c r="A170" s="241"/>
      <c r="B170" s="242"/>
      <c r="C170" s="242"/>
      <c r="D170" s="242"/>
      <c r="E170" s="242"/>
      <c r="F170" s="242"/>
      <c r="G170" s="242"/>
      <c r="H170" s="242"/>
      <c r="I170" s="242"/>
      <c r="J170" s="242"/>
      <c r="K170" s="242"/>
      <c r="L170" s="242"/>
      <c r="M170" s="242"/>
      <c r="N170" s="242"/>
      <c r="O170" s="243"/>
    </row>
    <row r="171" spans="1:15" x14ac:dyDescent="0.25">
      <c r="A171" s="112"/>
      <c r="B171" s="113"/>
      <c r="C171" s="113"/>
      <c r="D171" s="113"/>
      <c r="E171" s="113"/>
      <c r="F171" s="113"/>
      <c r="G171" s="113"/>
      <c r="H171" s="113"/>
      <c r="I171" s="131"/>
      <c r="J171" s="131"/>
      <c r="K171" s="131"/>
      <c r="L171" s="131"/>
      <c r="M171" s="131"/>
      <c r="N171" s="131"/>
      <c r="O171" s="88"/>
    </row>
    <row r="172" spans="1:15" x14ac:dyDescent="0.25">
      <c r="A172" s="114"/>
      <c r="B172" s="53">
        <v>2</v>
      </c>
      <c r="C172" s="53">
        <v>10</v>
      </c>
      <c r="D172" s="53"/>
      <c r="E172" s="53"/>
      <c r="F172" s="53"/>
      <c r="G172" s="53"/>
      <c r="H172" s="53"/>
      <c r="I172" s="102"/>
      <c r="J172" s="102"/>
      <c r="K172" s="102"/>
      <c r="L172" s="102"/>
      <c r="M172" s="102"/>
      <c r="N172" s="102"/>
      <c r="O172" s="89"/>
    </row>
    <row r="173" spans="1:15" x14ac:dyDescent="0.25">
      <c r="A173" s="114"/>
      <c r="B173" s="53"/>
      <c r="C173" s="53"/>
      <c r="D173" s="53"/>
      <c r="E173" s="53"/>
      <c r="F173" s="53">
        <v>70</v>
      </c>
      <c r="G173" s="53"/>
      <c r="H173" s="53"/>
      <c r="I173" s="102"/>
      <c r="J173" s="102"/>
      <c r="K173" s="102"/>
      <c r="L173" s="102"/>
      <c r="M173" s="102"/>
      <c r="N173" s="102"/>
      <c r="O173" s="89"/>
    </row>
    <row r="174" spans="1:15" x14ac:dyDescent="0.25">
      <c r="A174" s="114"/>
      <c r="B174" s="53"/>
      <c r="C174" s="53"/>
      <c r="D174" s="53"/>
      <c r="E174" s="53"/>
      <c r="F174" s="53"/>
      <c r="G174" s="53"/>
      <c r="H174" s="53"/>
      <c r="I174" s="102"/>
      <c r="J174" s="102"/>
      <c r="K174" s="102"/>
      <c r="L174" s="102"/>
      <c r="M174" s="102"/>
      <c r="N174" s="102"/>
      <c r="O174" s="89"/>
    </row>
    <row r="175" spans="1:15" x14ac:dyDescent="0.25">
      <c r="A175" s="114"/>
      <c r="B175" s="53"/>
      <c r="C175" s="53"/>
      <c r="D175" s="53">
        <f>B172*C172</f>
        <v>20</v>
      </c>
      <c r="E175" s="53"/>
      <c r="F175" s="53"/>
      <c r="G175" s="53"/>
      <c r="H175" s="53"/>
      <c r="I175" s="102"/>
      <c r="J175" s="102"/>
      <c r="K175" s="102"/>
      <c r="L175" s="102"/>
      <c r="M175" s="102"/>
      <c r="N175" s="102"/>
      <c r="O175" s="89"/>
    </row>
    <row r="176" spans="1:15" x14ac:dyDescent="0.25">
      <c r="A176" s="114"/>
      <c r="B176" s="53">
        <v>50</v>
      </c>
      <c r="C176" s="53"/>
      <c r="D176" s="53"/>
      <c r="E176" s="53"/>
      <c r="F176" s="53"/>
      <c r="G176" s="53"/>
      <c r="H176" s="53"/>
      <c r="I176" s="102"/>
      <c r="J176" s="102"/>
      <c r="K176" s="102"/>
      <c r="L176" s="102"/>
      <c r="M176" s="102"/>
      <c r="N176" s="102"/>
      <c r="O176" s="89"/>
    </row>
    <row r="177" spans="1:15" x14ac:dyDescent="0.25">
      <c r="A177" s="114"/>
      <c r="B177" s="53"/>
      <c r="C177" s="53"/>
      <c r="D177" s="53"/>
      <c r="E177" s="53"/>
      <c r="F177" s="53"/>
      <c r="G177" s="53">
        <v>80</v>
      </c>
      <c r="H177" s="53"/>
      <c r="I177" s="102"/>
      <c r="J177" s="102"/>
      <c r="K177" s="102"/>
      <c r="L177" s="102"/>
      <c r="M177" s="102"/>
      <c r="N177" s="102"/>
      <c r="O177" s="89"/>
    </row>
    <row r="178" spans="1:15" x14ac:dyDescent="0.25">
      <c r="A178" s="114"/>
      <c r="B178" s="53"/>
      <c r="C178" s="53">
        <v>60</v>
      </c>
      <c r="D178" s="53"/>
      <c r="E178" s="53"/>
      <c r="F178" s="53"/>
      <c r="G178" s="53"/>
      <c r="H178" s="53"/>
      <c r="I178" s="102"/>
      <c r="J178" s="102"/>
      <c r="K178" s="102"/>
      <c r="L178" s="102"/>
      <c r="M178" s="102"/>
      <c r="N178" s="102"/>
      <c r="O178" s="89"/>
    </row>
    <row r="179" spans="1:15" x14ac:dyDescent="0.25">
      <c r="A179" s="114"/>
      <c r="B179" s="53"/>
      <c r="C179" s="53"/>
      <c r="D179" s="53"/>
      <c r="E179" s="53"/>
      <c r="F179" s="53">
        <f>F173+G177+D175+C178</f>
        <v>230</v>
      </c>
      <c r="G179" s="53"/>
      <c r="H179" s="53"/>
      <c r="I179" s="102"/>
      <c r="J179" s="102"/>
      <c r="K179" s="102"/>
      <c r="L179" s="102"/>
      <c r="M179" s="102"/>
      <c r="N179" s="102"/>
      <c r="O179" s="89"/>
    </row>
    <row r="180" spans="1:15" ht="15.75" thickBot="1" x14ac:dyDescent="0.3">
      <c r="A180" s="116"/>
      <c r="B180" s="58"/>
      <c r="C180" s="58"/>
      <c r="D180" s="58"/>
      <c r="E180" s="58"/>
      <c r="F180" s="58"/>
      <c r="G180" s="58"/>
      <c r="H180" s="58"/>
      <c r="I180" s="132"/>
      <c r="J180" s="132"/>
      <c r="K180" s="132"/>
      <c r="L180" s="132"/>
      <c r="M180" s="132"/>
      <c r="N180" s="132"/>
      <c r="O180" s="90"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06F2-DABA-4CCF-A288-A4AD55B59A43}">
  <dimension ref="D1:AC44"/>
  <sheetViews>
    <sheetView zoomScale="55" zoomScaleNormal="55"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244" t="s">
        <v>541</v>
      </c>
      <c r="E1" s="245"/>
      <c r="F1" s="245"/>
      <c r="G1" s="245"/>
      <c r="H1" s="245"/>
      <c r="I1" s="245"/>
      <c r="X1" s="246" t="s">
        <v>542</v>
      </c>
      <c r="Y1" s="247"/>
      <c r="Z1" s="247"/>
      <c r="AA1" s="247"/>
      <c r="AB1" s="247"/>
      <c r="AC1" s="248"/>
    </row>
    <row r="2" spans="4:29" x14ac:dyDescent="0.25">
      <c r="D2" s="106" t="s">
        <v>470</v>
      </c>
      <c r="E2" s="106" t="s">
        <v>6</v>
      </c>
      <c r="F2" s="106" t="s">
        <v>36</v>
      </c>
      <c r="G2" s="105" t="s">
        <v>472</v>
      </c>
      <c r="H2" s="134" t="s">
        <v>536</v>
      </c>
      <c r="I2" s="106" t="s">
        <v>537</v>
      </c>
      <c r="K2" s="246" t="s">
        <v>543</v>
      </c>
      <c r="L2" s="247"/>
      <c r="M2" s="247"/>
      <c r="N2" s="247"/>
      <c r="O2" s="247"/>
      <c r="P2" s="247"/>
      <c r="Q2" s="247"/>
      <c r="R2" s="247"/>
      <c r="S2" s="247"/>
      <c r="T2" s="247"/>
      <c r="U2" s="247"/>
      <c r="V2" s="248"/>
      <c r="X2" s="244" t="str">
        <f t="shared" ref="X2:X17" si="0">D1</f>
        <v>OPERATIONS</v>
      </c>
      <c r="Y2" s="245"/>
      <c r="Z2" s="245"/>
      <c r="AA2" s="245"/>
      <c r="AB2" s="245"/>
      <c r="AC2" s="245"/>
    </row>
    <row r="3" spans="4:29" x14ac:dyDescent="0.25">
      <c r="D3" s="105" t="s">
        <v>473</v>
      </c>
      <c r="E3" s="105" t="s">
        <v>93</v>
      </c>
      <c r="F3" s="105" t="s">
        <v>57</v>
      </c>
      <c r="G3" s="105">
        <v>137396</v>
      </c>
      <c r="H3" s="135">
        <f t="shared" ref="H3:H16" ca="1" si="1">(RANDBETWEEN(10,50))/100</f>
        <v>0.46</v>
      </c>
      <c r="I3" s="105">
        <v>100</v>
      </c>
      <c r="X3" s="106" t="str">
        <f t="shared" si="0"/>
        <v>Employee Name</v>
      </c>
      <c r="Y3" s="106" t="str">
        <f t="shared" ref="Y3:AC4" si="2">E2</f>
        <v>Department</v>
      </c>
      <c r="Z3" s="106" t="str">
        <f t="shared" si="2"/>
        <v>Region</v>
      </c>
      <c r="AA3" s="105" t="str">
        <f t="shared" si="2"/>
        <v>Target (Rs.)</v>
      </c>
      <c r="AB3" s="134" t="str">
        <f t="shared" si="2"/>
        <v>%</v>
      </c>
      <c r="AC3" s="106" t="str">
        <f t="shared" si="2"/>
        <v xml:space="preserve">Add 100 in Target </v>
      </c>
    </row>
    <row r="4" spans="4:29" x14ac:dyDescent="0.25">
      <c r="D4" s="105" t="s">
        <v>474</v>
      </c>
      <c r="E4" s="105" t="s">
        <v>185</v>
      </c>
      <c r="F4" s="105" t="s">
        <v>74</v>
      </c>
      <c r="G4" s="105">
        <v>58489</v>
      </c>
      <c r="H4" s="135">
        <f t="shared" ca="1" si="1"/>
        <v>0.26</v>
      </c>
      <c r="X4" s="105" t="str">
        <f t="shared" si="0"/>
        <v>Muhammad Ahmed</v>
      </c>
      <c r="Y4" s="105" t="str">
        <f t="shared" si="2"/>
        <v>Operations</v>
      </c>
      <c r="Z4" s="105" t="str">
        <f t="shared" si="2"/>
        <v>South</v>
      </c>
      <c r="AA4" s="105">
        <f t="shared" si="2"/>
        <v>137396</v>
      </c>
      <c r="AB4" s="135">
        <f t="shared" ca="1" si="2"/>
        <v>0.46</v>
      </c>
      <c r="AC4" s="105">
        <f t="shared" si="2"/>
        <v>100</v>
      </c>
    </row>
    <row r="5" spans="4:29" x14ac:dyDescent="0.25">
      <c r="D5" s="105" t="s">
        <v>475</v>
      </c>
      <c r="E5" s="105" t="s">
        <v>93</v>
      </c>
      <c r="F5" s="105" t="s">
        <v>87</v>
      </c>
      <c r="G5" s="105">
        <v>137280</v>
      </c>
      <c r="H5" s="135">
        <f t="shared" ca="1" si="1"/>
        <v>0.33</v>
      </c>
      <c r="X5" s="105" t="str">
        <f t="shared" si="0"/>
        <v>Ayesha Khan</v>
      </c>
      <c r="Y5" s="105" t="str">
        <f t="shared" ref="Y5:Y17" si="3">E4</f>
        <v>Marketing</v>
      </c>
      <c r="Z5" s="105" t="str">
        <f t="shared" ref="Z5:Z17" si="4">F4</f>
        <v>North</v>
      </c>
      <c r="AA5" s="105">
        <f t="shared" ref="AA5:AA17" si="5">G4</f>
        <v>58489</v>
      </c>
      <c r="AB5" s="135">
        <f t="shared" ref="AB5:AB17" ca="1" si="6">H4</f>
        <v>0.26</v>
      </c>
    </row>
    <row r="6" spans="4:29" x14ac:dyDescent="0.25">
      <c r="D6" s="105" t="s">
        <v>476</v>
      </c>
      <c r="E6" s="105" t="s">
        <v>80</v>
      </c>
      <c r="F6" s="105" t="s">
        <v>103</v>
      </c>
      <c r="G6" s="105">
        <v>95502</v>
      </c>
      <c r="H6" s="135">
        <f t="shared" ca="1" si="1"/>
        <v>0.46</v>
      </c>
      <c r="L6" s="246" t="s">
        <v>540</v>
      </c>
      <c r="M6" s="247"/>
      <c r="N6" s="247"/>
      <c r="O6" s="247"/>
      <c r="P6" s="247"/>
      <c r="Q6" s="247"/>
      <c r="R6" s="247"/>
      <c r="S6" s="247"/>
      <c r="T6" s="247"/>
      <c r="U6" s="248"/>
      <c r="X6" s="105" t="str">
        <f t="shared" si="0"/>
        <v>Muhammad Hamza</v>
      </c>
      <c r="Y6" s="105" t="str">
        <f t="shared" si="3"/>
        <v>Operations</v>
      </c>
      <c r="Z6" s="105" t="str">
        <f t="shared" si="4"/>
        <v>West</v>
      </c>
      <c r="AA6" s="105">
        <f t="shared" si="5"/>
        <v>137280</v>
      </c>
      <c r="AB6" s="135">
        <f t="shared" ca="1" si="6"/>
        <v>0.33</v>
      </c>
    </row>
    <row r="7" spans="4:29" x14ac:dyDescent="0.25">
      <c r="D7" s="105" t="s">
        <v>477</v>
      </c>
      <c r="E7" s="105" t="s">
        <v>134</v>
      </c>
      <c r="F7" s="105" t="s">
        <v>74</v>
      </c>
      <c r="G7" s="105">
        <v>68857</v>
      </c>
      <c r="H7" s="135">
        <f t="shared" ca="1" si="1"/>
        <v>0.11</v>
      </c>
      <c r="X7" s="105" t="str">
        <f t="shared" si="0"/>
        <v>Fatima Ali</v>
      </c>
      <c r="Y7" s="105" t="str">
        <f t="shared" si="3"/>
        <v>IT</v>
      </c>
      <c r="Z7" s="105" t="str">
        <f t="shared" si="4"/>
        <v>Central</v>
      </c>
      <c r="AA7" s="105">
        <f t="shared" si="5"/>
        <v>95502</v>
      </c>
      <c r="AB7" s="135">
        <f t="shared" ca="1" si="6"/>
        <v>0.46</v>
      </c>
    </row>
    <row r="8" spans="4:29" x14ac:dyDescent="0.25">
      <c r="D8" s="105" t="s">
        <v>478</v>
      </c>
      <c r="E8" s="105" t="s">
        <v>45</v>
      </c>
      <c r="F8" s="105" t="s">
        <v>123</v>
      </c>
      <c r="G8" s="105">
        <v>66262</v>
      </c>
      <c r="H8" s="135">
        <f t="shared" ca="1" si="1"/>
        <v>0.18</v>
      </c>
      <c r="M8" s="105">
        <v>137196</v>
      </c>
      <c r="N8" s="105">
        <v>137196</v>
      </c>
      <c r="X8" s="105" t="str">
        <f t="shared" si="0"/>
        <v>Hassan Raza</v>
      </c>
      <c r="Y8" s="105" t="str">
        <f t="shared" si="3"/>
        <v>Finance</v>
      </c>
      <c r="Z8" s="105" t="str">
        <f t="shared" si="4"/>
        <v>North</v>
      </c>
      <c r="AA8" s="105">
        <f t="shared" si="5"/>
        <v>68857</v>
      </c>
      <c r="AB8" s="135">
        <f t="shared" ca="1" si="6"/>
        <v>0.11</v>
      </c>
    </row>
    <row r="9" spans="4:29" x14ac:dyDescent="0.25">
      <c r="D9" s="105" t="s">
        <v>479</v>
      </c>
      <c r="E9" s="105" t="s">
        <v>93</v>
      </c>
      <c r="F9" s="105" t="s">
        <v>57</v>
      </c>
      <c r="G9" s="105">
        <v>99078</v>
      </c>
      <c r="H9" s="135">
        <f t="shared" ca="1" si="1"/>
        <v>0.19</v>
      </c>
      <c r="M9" s="105">
        <v>64256</v>
      </c>
      <c r="N9" s="105"/>
      <c r="X9" s="105" t="str">
        <f t="shared" si="0"/>
        <v>Sana Ahmed</v>
      </c>
      <c r="Y9" s="105" t="str">
        <f t="shared" si="3"/>
        <v>Sales</v>
      </c>
      <c r="Z9" s="105" t="str">
        <f t="shared" si="4"/>
        <v>East</v>
      </c>
      <c r="AA9" s="105">
        <f t="shared" si="5"/>
        <v>66262</v>
      </c>
      <c r="AB9" s="135">
        <f t="shared" ca="1" si="6"/>
        <v>0.18</v>
      </c>
    </row>
    <row r="10" spans="4:29" x14ac:dyDescent="0.25">
      <c r="D10" s="105" t="s">
        <v>480</v>
      </c>
      <c r="E10" s="105" t="s">
        <v>80</v>
      </c>
      <c r="F10" s="105" t="s">
        <v>103</v>
      </c>
      <c r="G10" s="105">
        <v>41051</v>
      </c>
      <c r="H10" s="135">
        <f t="shared" ca="1" si="1"/>
        <v>0.16</v>
      </c>
      <c r="M10" s="105">
        <v>137080</v>
      </c>
      <c r="N10" s="105">
        <v>137080</v>
      </c>
      <c r="X10" s="105" t="str">
        <f t="shared" si="0"/>
        <v>Usman Malik</v>
      </c>
      <c r="Y10" s="105" t="str">
        <f t="shared" si="3"/>
        <v>Operations</v>
      </c>
      <c r="Z10" s="105" t="str">
        <f t="shared" si="4"/>
        <v>South</v>
      </c>
      <c r="AA10" s="105">
        <f t="shared" si="5"/>
        <v>99078</v>
      </c>
      <c r="AB10" s="135">
        <f t="shared" ca="1" si="6"/>
        <v>0.19</v>
      </c>
    </row>
    <row r="11" spans="4:29" x14ac:dyDescent="0.25">
      <c r="D11" s="105" t="s">
        <v>481</v>
      </c>
      <c r="E11" s="105" t="s">
        <v>45</v>
      </c>
      <c r="F11" s="105" t="s">
        <v>123</v>
      </c>
      <c r="G11" s="105">
        <v>76621</v>
      </c>
      <c r="H11" s="135">
        <f t="shared" ca="1" si="1"/>
        <v>0.21</v>
      </c>
      <c r="M11" s="105">
        <v>95302</v>
      </c>
      <c r="N11" s="105">
        <v>95302</v>
      </c>
      <c r="X11" s="105" t="str">
        <f t="shared" si="0"/>
        <v>Zainab Siddiqui</v>
      </c>
      <c r="Y11" s="105" t="str">
        <f t="shared" si="3"/>
        <v>IT</v>
      </c>
      <c r="Z11" s="105" t="str">
        <f t="shared" si="4"/>
        <v>Central</v>
      </c>
      <c r="AA11" s="105">
        <f t="shared" si="5"/>
        <v>41051</v>
      </c>
      <c r="AB11" s="135">
        <f t="shared" ca="1" si="6"/>
        <v>0.16</v>
      </c>
    </row>
    <row r="12" spans="4:29" x14ac:dyDescent="0.25">
      <c r="D12" s="105" t="s">
        <v>482</v>
      </c>
      <c r="E12" s="105" t="s">
        <v>45</v>
      </c>
      <c r="F12" s="105" t="s">
        <v>87</v>
      </c>
      <c r="G12" s="105">
        <v>84318</v>
      </c>
      <c r="H12" s="135">
        <f t="shared" ca="1" si="1"/>
        <v>0.35</v>
      </c>
      <c r="M12" s="105">
        <v>68657</v>
      </c>
      <c r="N12" s="105">
        <v>68657</v>
      </c>
      <c r="X12" s="105" t="str">
        <f t="shared" si="0"/>
        <v>Bilal Hussain</v>
      </c>
      <c r="Y12" s="105" t="str">
        <f t="shared" si="3"/>
        <v>Sales</v>
      </c>
      <c r="Z12" s="105" t="str">
        <f t="shared" si="4"/>
        <v>East</v>
      </c>
      <c r="AA12" s="105">
        <f t="shared" si="5"/>
        <v>76621</v>
      </c>
      <c r="AB12" s="135">
        <f t="shared" ca="1" si="6"/>
        <v>0.21</v>
      </c>
    </row>
    <row r="13" spans="4:29" x14ac:dyDescent="0.25">
      <c r="D13" s="136" t="s">
        <v>544</v>
      </c>
      <c r="E13" s="105" t="s">
        <v>134</v>
      </c>
      <c r="F13" s="105" t="s">
        <v>57</v>
      </c>
      <c r="G13" s="105">
        <v>52876</v>
      </c>
      <c r="H13" s="135">
        <f t="shared" ca="1" si="1"/>
        <v>0.46</v>
      </c>
      <c r="M13" s="105">
        <v>66062</v>
      </c>
      <c r="N13" s="105">
        <v>66062</v>
      </c>
      <c r="X13" s="105" t="str">
        <f t="shared" si="0"/>
        <v>Maryam Sheikh</v>
      </c>
      <c r="Y13" s="105" t="str">
        <f t="shared" si="3"/>
        <v>Sales</v>
      </c>
      <c r="Z13" s="105" t="str">
        <f t="shared" si="4"/>
        <v>West</v>
      </c>
      <c r="AA13" s="105">
        <f t="shared" si="5"/>
        <v>84318</v>
      </c>
      <c r="AB13" s="135">
        <f t="shared" ca="1" si="6"/>
        <v>0.35</v>
      </c>
    </row>
    <row r="14" spans="4:29" x14ac:dyDescent="0.25">
      <c r="D14" s="105" t="s">
        <v>484</v>
      </c>
      <c r="E14" s="105" t="s">
        <v>185</v>
      </c>
      <c r="F14" s="105" t="s">
        <v>123</v>
      </c>
      <c r="G14" s="105">
        <v>74871</v>
      </c>
      <c r="H14" s="135">
        <f t="shared" ca="1" si="1"/>
        <v>0.23</v>
      </c>
      <c r="M14" s="105">
        <v>98878</v>
      </c>
      <c r="N14" s="105">
        <v>98878</v>
      </c>
      <c r="X14" s="105" t="str">
        <f t="shared" si="0"/>
        <v>Ali Khan</v>
      </c>
      <c r="Y14" s="105" t="str">
        <f t="shared" si="3"/>
        <v>Finance</v>
      </c>
      <c r="Z14" s="105" t="str">
        <f t="shared" si="4"/>
        <v>South</v>
      </c>
      <c r="AA14" s="105">
        <f t="shared" si="5"/>
        <v>52876</v>
      </c>
      <c r="AB14" s="135">
        <f t="shared" ca="1" si="6"/>
        <v>0.46</v>
      </c>
    </row>
    <row r="15" spans="4:29" x14ac:dyDescent="0.25">
      <c r="D15" s="105" t="s">
        <v>485</v>
      </c>
      <c r="E15" s="105" t="s">
        <v>134</v>
      </c>
      <c r="F15" s="105" t="s">
        <v>123</v>
      </c>
      <c r="G15" s="105">
        <v>56561</v>
      </c>
      <c r="H15" s="135">
        <f t="shared" ca="1" si="1"/>
        <v>0.12</v>
      </c>
      <c r="M15" s="105">
        <v>40851</v>
      </c>
      <c r="N15" s="105">
        <v>40851</v>
      </c>
      <c r="X15" s="105" t="str">
        <f t="shared" si="0"/>
        <v>Hira Shah</v>
      </c>
      <c r="Y15" s="105" t="str">
        <f t="shared" si="3"/>
        <v>Marketing</v>
      </c>
      <c r="Z15" s="105" t="str">
        <f t="shared" si="4"/>
        <v>East</v>
      </c>
      <c r="AA15" s="105">
        <f t="shared" si="5"/>
        <v>74871</v>
      </c>
      <c r="AB15" s="135">
        <f t="shared" ca="1" si="6"/>
        <v>0.23</v>
      </c>
    </row>
    <row r="16" spans="4:29" x14ac:dyDescent="0.25">
      <c r="D16" s="105" t="s">
        <v>486</v>
      </c>
      <c r="E16" s="105" t="s">
        <v>126</v>
      </c>
      <c r="F16" s="105" t="s">
        <v>57</v>
      </c>
      <c r="G16" s="105">
        <v>78627</v>
      </c>
      <c r="H16" s="135">
        <f t="shared" ca="1" si="1"/>
        <v>0.4</v>
      </c>
      <c r="M16" s="105"/>
      <c r="N16" s="105"/>
      <c r="X16" s="105" t="str">
        <f t="shared" si="0"/>
        <v>Abdullah Qureshi</v>
      </c>
      <c r="Y16" s="105" t="str">
        <f t="shared" si="3"/>
        <v>Finance</v>
      </c>
      <c r="Z16" s="105" t="str">
        <f t="shared" si="4"/>
        <v>East</v>
      </c>
      <c r="AA16" s="105">
        <f t="shared" si="5"/>
        <v>56561</v>
      </c>
      <c r="AB16" s="135">
        <f t="shared" ca="1" si="6"/>
        <v>0.12</v>
      </c>
    </row>
    <row r="17" spans="4:28" x14ac:dyDescent="0.25">
      <c r="G17" s="133"/>
      <c r="M17" s="105">
        <v>84118</v>
      </c>
      <c r="N17" s="105">
        <v>84118</v>
      </c>
      <c r="X17" s="105" t="str">
        <f t="shared" si="0"/>
        <v>Iqra Javed</v>
      </c>
      <c r="Y17" s="105" t="str">
        <f t="shared" si="3"/>
        <v>HR</v>
      </c>
      <c r="Z17" s="105" t="str">
        <f t="shared" si="4"/>
        <v>South</v>
      </c>
      <c r="AA17" s="105">
        <f t="shared" si="5"/>
        <v>78627</v>
      </c>
      <c r="AB17" s="135">
        <f t="shared" ca="1" si="6"/>
        <v>0.4</v>
      </c>
    </row>
    <row r="18" spans="4:28" x14ac:dyDescent="0.25">
      <c r="M18" s="105">
        <v>84797</v>
      </c>
      <c r="N18" s="105"/>
    </row>
    <row r="19" spans="4:28" x14ac:dyDescent="0.25">
      <c r="M19" s="105">
        <v>74671</v>
      </c>
      <c r="N19" s="105">
        <v>74671</v>
      </c>
    </row>
    <row r="20" spans="4:28" x14ac:dyDescent="0.25">
      <c r="M20" s="105">
        <v>56361</v>
      </c>
      <c r="N20" s="105">
        <v>56361</v>
      </c>
    </row>
    <row r="21" spans="4:28" x14ac:dyDescent="0.25">
      <c r="M21" s="105">
        <v>78427</v>
      </c>
      <c r="N21" s="105">
        <v>78427</v>
      </c>
    </row>
    <row r="22" spans="4:28" x14ac:dyDescent="0.25">
      <c r="M22" s="105">
        <v>110674</v>
      </c>
      <c r="N22" s="105"/>
    </row>
    <row r="23" spans="4:28" x14ac:dyDescent="0.25">
      <c r="M23" s="105">
        <v>126673</v>
      </c>
      <c r="N23" s="105">
        <v>126673</v>
      </c>
    </row>
    <row r="29" spans="4:28" x14ac:dyDescent="0.25">
      <c r="D29" s="245" t="s">
        <v>538</v>
      </c>
      <c r="E29" s="245"/>
      <c r="F29" s="245"/>
      <c r="G29" s="245"/>
      <c r="H29" s="245"/>
      <c r="I29" s="245"/>
      <c r="J29" s="245"/>
      <c r="K29" s="245"/>
      <c r="L29" s="245"/>
      <c r="M29" s="245"/>
      <c r="N29" s="245"/>
      <c r="O29" s="245"/>
      <c r="P29" s="245"/>
      <c r="Q29" s="245"/>
      <c r="R29" s="245"/>
      <c r="U29" s="246" t="s">
        <v>539</v>
      </c>
      <c r="V29" s="247"/>
      <c r="W29" s="247"/>
      <c r="X29" s="247"/>
      <c r="Y29" s="247"/>
      <c r="Z29" s="248"/>
    </row>
    <row r="30" spans="4:28" x14ac:dyDescent="0.25">
      <c r="D30" s="106" t="s">
        <v>470</v>
      </c>
      <c r="E30" s="105" t="s">
        <v>473</v>
      </c>
      <c r="F30" s="105" t="s">
        <v>474</v>
      </c>
      <c r="G30" s="105" t="s">
        <v>475</v>
      </c>
      <c r="H30" s="105" t="s">
        <v>476</v>
      </c>
      <c r="I30" s="105" t="s">
        <v>477</v>
      </c>
      <c r="J30" s="105" t="s">
        <v>478</v>
      </c>
      <c r="K30" s="105" t="s">
        <v>479</v>
      </c>
      <c r="L30" s="105" t="s">
        <v>480</v>
      </c>
      <c r="M30" s="105" t="s">
        <v>481</v>
      </c>
      <c r="N30" s="105" t="s">
        <v>482</v>
      </c>
      <c r="O30" s="136" t="s">
        <v>544</v>
      </c>
      <c r="P30" s="105" t="s">
        <v>484</v>
      </c>
      <c r="Q30" s="105" t="s">
        <v>485</v>
      </c>
      <c r="R30" s="105" t="s">
        <v>486</v>
      </c>
      <c r="U30" s="106" t="s">
        <v>470</v>
      </c>
      <c r="V30" s="106" t="s">
        <v>6</v>
      </c>
      <c r="W30" s="106" t="s">
        <v>36</v>
      </c>
      <c r="X30" s="105" t="s">
        <v>472</v>
      </c>
      <c r="Y30" s="134" t="s">
        <v>536</v>
      </c>
      <c r="Z30" s="106" t="s">
        <v>537</v>
      </c>
    </row>
    <row r="31" spans="4:28" x14ac:dyDescent="0.25">
      <c r="D31" s="106" t="s">
        <v>6</v>
      </c>
      <c r="E31" s="105" t="s">
        <v>93</v>
      </c>
      <c r="F31" s="105" t="s">
        <v>185</v>
      </c>
      <c r="G31" s="105" t="s">
        <v>93</v>
      </c>
      <c r="H31" s="105" t="s">
        <v>80</v>
      </c>
      <c r="I31" s="105" t="s">
        <v>134</v>
      </c>
      <c r="J31" s="105" t="s">
        <v>45</v>
      </c>
      <c r="K31" s="105" t="s">
        <v>93</v>
      </c>
      <c r="L31" s="105" t="s">
        <v>80</v>
      </c>
      <c r="M31" s="105" t="s">
        <v>45</v>
      </c>
      <c r="N31" s="105" t="s">
        <v>45</v>
      </c>
      <c r="O31" s="105" t="s">
        <v>134</v>
      </c>
      <c r="P31" s="105" t="s">
        <v>185</v>
      </c>
      <c r="Q31" s="105" t="s">
        <v>134</v>
      </c>
      <c r="R31" s="105" t="s">
        <v>126</v>
      </c>
      <c r="U31" s="105" t="s">
        <v>473</v>
      </c>
      <c r="V31" s="105" t="s">
        <v>93</v>
      </c>
      <c r="W31" s="105" t="s">
        <v>57</v>
      </c>
      <c r="X31" s="105">
        <v>137396</v>
      </c>
      <c r="Y31" s="135">
        <v>0.47</v>
      </c>
      <c r="Z31" s="105">
        <v>100</v>
      </c>
    </row>
    <row r="32" spans="4:28" x14ac:dyDescent="0.25">
      <c r="D32" s="106" t="s">
        <v>36</v>
      </c>
      <c r="E32" s="105" t="s">
        <v>57</v>
      </c>
      <c r="F32" s="105" t="s">
        <v>74</v>
      </c>
      <c r="G32" s="105" t="s">
        <v>87</v>
      </c>
      <c r="H32" s="105" t="s">
        <v>103</v>
      </c>
      <c r="I32" s="105" t="s">
        <v>74</v>
      </c>
      <c r="J32" s="105" t="s">
        <v>123</v>
      </c>
      <c r="K32" s="105" t="s">
        <v>57</v>
      </c>
      <c r="L32" s="105" t="s">
        <v>103</v>
      </c>
      <c r="M32" s="105" t="s">
        <v>123</v>
      </c>
      <c r="N32" s="105" t="s">
        <v>87</v>
      </c>
      <c r="O32" s="105" t="s">
        <v>57</v>
      </c>
      <c r="P32" s="105" t="s">
        <v>123</v>
      </c>
      <c r="Q32" s="105" t="s">
        <v>123</v>
      </c>
      <c r="R32" s="105" t="s">
        <v>57</v>
      </c>
      <c r="U32" s="105" t="s">
        <v>474</v>
      </c>
      <c r="V32" s="105" t="s">
        <v>185</v>
      </c>
      <c r="W32" s="105" t="s">
        <v>74</v>
      </c>
      <c r="X32" s="105">
        <v>58489</v>
      </c>
      <c r="Y32" s="135">
        <v>0.42</v>
      </c>
    </row>
    <row r="33" spans="4:25" x14ac:dyDescent="0.25">
      <c r="D33" s="105" t="s">
        <v>472</v>
      </c>
      <c r="E33" s="105">
        <v>137396</v>
      </c>
      <c r="F33" s="105">
        <v>58489</v>
      </c>
      <c r="G33" s="105">
        <v>137280</v>
      </c>
      <c r="H33" s="105">
        <v>95502</v>
      </c>
      <c r="I33" s="105">
        <v>68857</v>
      </c>
      <c r="J33" s="105">
        <v>66262</v>
      </c>
      <c r="K33" s="105">
        <v>99078</v>
      </c>
      <c r="L33" s="105">
        <v>41051</v>
      </c>
      <c r="M33" s="105">
        <v>76621</v>
      </c>
      <c r="N33" s="105">
        <v>84318</v>
      </c>
      <c r="O33" s="105">
        <v>52876</v>
      </c>
      <c r="P33" s="105">
        <v>74871</v>
      </c>
      <c r="Q33" s="105">
        <v>56561</v>
      </c>
      <c r="R33" s="105">
        <v>78627</v>
      </c>
      <c r="U33" s="105" t="s">
        <v>475</v>
      </c>
      <c r="V33" s="105" t="s">
        <v>93</v>
      </c>
      <c r="W33" s="105" t="s">
        <v>87</v>
      </c>
      <c r="X33" s="105">
        <v>137280</v>
      </c>
      <c r="Y33" s="135">
        <v>0.28999999999999998</v>
      </c>
    </row>
    <row r="34" spans="4:25" x14ac:dyDescent="0.25">
      <c r="D34" s="134" t="s">
        <v>536</v>
      </c>
      <c r="E34" s="135">
        <v>0.46</v>
      </c>
      <c r="F34" s="135">
        <v>0.39</v>
      </c>
      <c r="G34" s="135">
        <v>0.22</v>
      </c>
      <c r="H34" s="135">
        <v>0.11</v>
      </c>
      <c r="I34" s="135">
        <v>0.37</v>
      </c>
      <c r="J34" s="135">
        <v>0.2</v>
      </c>
      <c r="K34" s="135">
        <v>0.47</v>
      </c>
      <c r="L34" s="135">
        <v>0.49</v>
      </c>
      <c r="M34" s="135">
        <v>0.23</v>
      </c>
      <c r="N34" s="135">
        <v>0.27</v>
      </c>
      <c r="O34" s="135">
        <v>0.3</v>
      </c>
      <c r="P34" s="135">
        <v>0.32</v>
      </c>
      <c r="Q34" s="135">
        <v>0.11</v>
      </c>
      <c r="R34" s="135">
        <v>0.34</v>
      </c>
      <c r="U34" s="105" t="s">
        <v>476</v>
      </c>
      <c r="V34" s="105" t="s">
        <v>80</v>
      </c>
      <c r="W34" s="105" t="s">
        <v>103</v>
      </c>
      <c r="X34" s="105">
        <v>95502</v>
      </c>
      <c r="Y34" s="135">
        <v>0.44</v>
      </c>
    </row>
    <row r="35" spans="4:25" x14ac:dyDescent="0.25">
      <c r="D35" s="106" t="s">
        <v>537</v>
      </c>
      <c r="E35" s="105">
        <v>100</v>
      </c>
      <c r="U35" s="105" t="s">
        <v>477</v>
      </c>
      <c r="V35" s="105" t="s">
        <v>134</v>
      </c>
      <c r="W35" s="105" t="s">
        <v>74</v>
      </c>
      <c r="X35" s="105">
        <v>68857</v>
      </c>
      <c r="Y35" s="135">
        <v>0.35</v>
      </c>
    </row>
    <row r="36" spans="4:25" x14ac:dyDescent="0.25">
      <c r="U36" s="105" t="s">
        <v>478</v>
      </c>
      <c r="V36" s="105" t="s">
        <v>45</v>
      </c>
      <c r="W36" s="105" t="s">
        <v>123</v>
      </c>
      <c r="X36" s="105">
        <v>66262</v>
      </c>
      <c r="Y36" s="135">
        <v>0.42</v>
      </c>
    </row>
    <row r="37" spans="4:25" x14ac:dyDescent="0.25">
      <c r="U37" s="105" t="s">
        <v>479</v>
      </c>
      <c r="V37" s="105" t="s">
        <v>93</v>
      </c>
      <c r="W37" s="105" t="s">
        <v>57</v>
      </c>
      <c r="X37" s="105">
        <v>99078</v>
      </c>
      <c r="Y37" s="135">
        <v>0.44</v>
      </c>
    </row>
    <row r="38" spans="4:25" x14ac:dyDescent="0.25">
      <c r="U38" s="105" t="s">
        <v>480</v>
      </c>
      <c r="V38" s="105" t="s">
        <v>80</v>
      </c>
      <c r="W38" s="105" t="s">
        <v>103</v>
      </c>
      <c r="X38" s="105">
        <v>41051</v>
      </c>
      <c r="Y38" s="135">
        <v>0.19</v>
      </c>
    </row>
    <row r="39" spans="4:25" x14ac:dyDescent="0.25">
      <c r="U39" s="105" t="s">
        <v>481</v>
      </c>
      <c r="V39" s="105" t="s">
        <v>45</v>
      </c>
      <c r="W39" s="105" t="s">
        <v>123</v>
      </c>
      <c r="X39" s="105">
        <v>76621</v>
      </c>
      <c r="Y39" s="135">
        <v>0.5</v>
      </c>
    </row>
    <row r="40" spans="4:25" x14ac:dyDescent="0.25">
      <c r="U40" s="105" t="s">
        <v>482</v>
      </c>
      <c r="V40" s="105" t="s">
        <v>45</v>
      </c>
      <c r="W40" s="105" t="s">
        <v>87</v>
      </c>
      <c r="X40" s="105">
        <v>84318</v>
      </c>
      <c r="Y40" s="135">
        <v>0.3</v>
      </c>
    </row>
    <row r="41" spans="4:25" x14ac:dyDescent="0.25">
      <c r="U41" s="136" t="s">
        <v>544</v>
      </c>
      <c r="V41" s="105" t="s">
        <v>134</v>
      </c>
      <c r="W41" s="105" t="s">
        <v>57</v>
      </c>
      <c r="X41" s="105">
        <v>52876</v>
      </c>
      <c r="Y41" s="135">
        <v>0.47</v>
      </c>
    </row>
    <row r="42" spans="4:25" x14ac:dyDescent="0.25">
      <c r="U42" s="105" t="s">
        <v>484</v>
      </c>
      <c r="V42" s="105" t="s">
        <v>185</v>
      </c>
      <c r="W42" s="105" t="s">
        <v>123</v>
      </c>
      <c r="X42" s="105">
        <v>74871</v>
      </c>
      <c r="Y42" s="135">
        <v>0.47</v>
      </c>
    </row>
    <row r="43" spans="4:25" x14ac:dyDescent="0.25">
      <c r="U43" s="105" t="s">
        <v>485</v>
      </c>
      <c r="V43" s="105" t="s">
        <v>134</v>
      </c>
      <c r="W43" s="105" t="s">
        <v>123</v>
      </c>
      <c r="X43" s="105">
        <v>56561</v>
      </c>
      <c r="Y43" s="135">
        <v>0.46</v>
      </c>
    </row>
    <row r="44" spans="4:25" x14ac:dyDescent="0.25">
      <c r="U44" s="105" t="s">
        <v>486</v>
      </c>
      <c r="V44" s="105" t="s">
        <v>126</v>
      </c>
      <c r="W44" s="105" t="s">
        <v>57</v>
      </c>
      <c r="X44" s="105">
        <v>78627</v>
      </c>
      <c r="Y44" s="135">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2EFD-B6FA-4B0F-ADC3-3722B7ACA4BB}">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249" t="s">
        <v>545</v>
      </c>
      <c r="B4" s="250"/>
      <c r="C4" s="250"/>
      <c r="D4" s="250"/>
      <c r="E4" s="250"/>
      <c r="F4" s="250"/>
      <c r="H4" s="249" t="s">
        <v>546</v>
      </c>
      <c r="I4" s="250"/>
      <c r="J4" s="250"/>
      <c r="K4" s="250"/>
      <c r="L4" s="250"/>
      <c r="M4" s="250"/>
      <c r="P4" s="249" t="s">
        <v>548</v>
      </c>
      <c r="Q4" s="250"/>
      <c r="R4" s="250"/>
      <c r="S4" s="250"/>
      <c r="T4" s="250"/>
      <c r="U4" s="250"/>
      <c r="W4" s="249" t="s">
        <v>547</v>
      </c>
      <c r="X4" s="250"/>
      <c r="Y4" s="250"/>
      <c r="Z4" s="250"/>
      <c r="AA4" s="250"/>
      <c r="AB4" s="250"/>
    </row>
    <row r="5" spans="1:28" ht="15.75" thickBot="1" x14ac:dyDescent="0.3"/>
    <row r="6" spans="1:28" ht="15.75" x14ac:dyDescent="0.25">
      <c r="A6" s="48" t="s">
        <v>469</v>
      </c>
      <c r="B6" s="49" t="s">
        <v>470</v>
      </c>
      <c r="C6" s="49" t="s">
        <v>6</v>
      </c>
      <c r="D6" s="49" t="s">
        <v>36</v>
      </c>
      <c r="E6" s="50" t="s">
        <v>471</v>
      </c>
      <c r="F6" s="51" t="s">
        <v>472</v>
      </c>
      <c r="H6" t="s">
        <v>469</v>
      </c>
      <c r="I6" t="s">
        <v>470</v>
      </c>
      <c r="J6" t="s">
        <v>6</v>
      </c>
      <c r="K6" t="s">
        <v>36</v>
      </c>
      <c r="L6" t="s">
        <v>471</v>
      </c>
      <c r="M6" t="s">
        <v>472</v>
      </c>
      <c r="P6" s="35"/>
      <c r="Q6" s="36"/>
      <c r="R6" s="36"/>
      <c r="S6" s="36"/>
      <c r="T6" s="37"/>
      <c r="U6" s="38"/>
    </row>
    <row r="7" spans="1:28" x14ac:dyDescent="0.25">
      <c r="A7" s="52">
        <v>46304</v>
      </c>
      <c r="B7" s="53" t="s">
        <v>473</v>
      </c>
      <c r="C7" s="53" t="s">
        <v>93</v>
      </c>
      <c r="D7" s="53" t="s">
        <v>74</v>
      </c>
      <c r="E7" s="54">
        <v>38278</v>
      </c>
      <c r="F7" s="55">
        <v>137196</v>
      </c>
      <c r="H7">
        <v>46304</v>
      </c>
      <c r="I7" t="s">
        <v>473</v>
      </c>
      <c r="J7" t="s">
        <v>93</v>
      </c>
      <c r="K7" t="s">
        <v>74</v>
      </c>
      <c r="L7">
        <v>38278</v>
      </c>
      <c r="M7">
        <v>137196</v>
      </c>
      <c r="P7" s="43"/>
      <c r="Q7" s="31"/>
      <c r="R7" s="31"/>
      <c r="S7" s="31"/>
      <c r="T7" s="32"/>
      <c r="U7" s="39"/>
    </row>
    <row r="8" spans="1:28" x14ac:dyDescent="0.25">
      <c r="A8" s="56">
        <f>A7+1</f>
        <v>46305</v>
      </c>
      <c r="B8" s="53" t="s">
        <v>474</v>
      </c>
      <c r="C8" s="53" t="s">
        <v>185</v>
      </c>
      <c r="D8" s="53" t="s">
        <v>57</v>
      </c>
      <c r="E8" s="54">
        <v>64256</v>
      </c>
      <c r="F8" s="55">
        <v>58289</v>
      </c>
      <c r="H8">
        <f>H7+1</f>
        <v>46305</v>
      </c>
      <c r="I8" t="s">
        <v>474</v>
      </c>
      <c r="J8" t="s">
        <v>185</v>
      </c>
      <c r="K8" t="s">
        <v>57</v>
      </c>
      <c r="L8">
        <v>64256</v>
      </c>
      <c r="M8">
        <v>58289</v>
      </c>
      <c r="P8" s="40"/>
      <c r="Q8" s="31"/>
      <c r="R8" s="31"/>
      <c r="S8" s="31"/>
      <c r="T8" s="32"/>
      <c r="U8" s="39"/>
    </row>
    <row r="9" spans="1:28" x14ac:dyDescent="0.25">
      <c r="A9" s="56">
        <f t="shared" ref="A9:A56" si="0">A8+1</f>
        <v>46306</v>
      </c>
      <c r="B9" s="53" t="s">
        <v>475</v>
      </c>
      <c r="C9" s="53" t="s">
        <v>93</v>
      </c>
      <c r="D9" s="53" t="s">
        <v>74</v>
      </c>
      <c r="E9" s="54">
        <v>123696</v>
      </c>
      <c r="F9" s="55">
        <v>137080</v>
      </c>
      <c r="H9">
        <f t="shared" ref="H9:H56" si="1">H8+1</f>
        <v>46306</v>
      </c>
      <c r="I9" t="s">
        <v>475</v>
      </c>
      <c r="J9" t="s">
        <v>93</v>
      </c>
      <c r="K9" t="s">
        <v>74</v>
      </c>
      <c r="L9">
        <v>123696</v>
      </c>
      <c r="M9">
        <v>137080</v>
      </c>
      <c r="P9" s="40"/>
      <c r="Q9" s="31"/>
      <c r="R9" s="31"/>
      <c r="S9" s="31"/>
      <c r="T9" s="32"/>
      <c r="U9" s="39"/>
    </row>
    <row r="10" spans="1:28" x14ac:dyDescent="0.25">
      <c r="A10" s="56">
        <f t="shared" si="0"/>
        <v>46307</v>
      </c>
      <c r="B10" s="53" t="s">
        <v>476</v>
      </c>
      <c r="C10" s="53" t="s">
        <v>80</v>
      </c>
      <c r="D10" s="53" t="s">
        <v>74</v>
      </c>
      <c r="E10" s="54">
        <v>112397</v>
      </c>
      <c r="F10" s="55">
        <v>95302</v>
      </c>
      <c r="H10">
        <f t="shared" si="1"/>
        <v>46307</v>
      </c>
      <c r="I10" t="s">
        <v>476</v>
      </c>
      <c r="J10" t="s">
        <v>80</v>
      </c>
      <c r="K10" t="s">
        <v>74</v>
      </c>
      <c r="L10">
        <v>112397</v>
      </c>
      <c r="M10">
        <v>95302</v>
      </c>
      <c r="P10" s="40"/>
      <c r="Q10" s="31"/>
      <c r="R10" s="31"/>
      <c r="S10" s="31"/>
      <c r="T10" s="32"/>
      <c r="U10" s="39"/>
    </row>
    <row r="11" spans="1:28" x14ac:dyDescent="0.25">
      <c r="A11" s="56">
        <f t="shared" si="0"/>
        <v>46308</v>
      </c>
      <c r="B11" s="53" t="s">
        <v>477</v>
      </c>
      <c r="C11" s="53" t="s">
        <v>134</v>
      </c>
      <c r="D11" s="53" t="s">
        <v>74</v>
      </c>
      <c r="E11" s="54">
        <v>47280</v>
      </c>
      <c r="F11" s="55">
        <v>68657</v>
      </c>
      <c r="H11">
        <f t="shared" si="1"/>
        <v>46308</v>
      </c>
      <c r="I11" t="s">
        <v>477</v>
      </c>
      <c r="J11" t="s">
        <v>134</v>
      </c>
      <c r="K11" t="s">
        <v>74</v>
      </c>
      <c r="L11">
        <v>47280</v>
      </c>
      <c r="M11">
        <v>68657</v>
      </c>
      <c r="P11" s="40"/>
      <c r="Q11" s="31"/>
      <c r="R11" s="31"/>
      <c r="S11" s="31"/>
      <c r="T11" s="32"/>
      <c r="U11" s="39"/>
    </row>
    <row r="12" spans="1:28" x14ac:dyDescent="0.25">
      <c r="A12" s="56">
        <f t="shared" si="0"/>
        <v>46309</v>
      </c>
      <c r="B12" s="53" t="s">
        <v>478</v>
      </c>
      <c r="C12" s="53" t="s">
        <v>45</v>
      </c>
      <c r="D12" s="53" t="s">
        <v>74</v>
      </c>
      <c r="E12" s="54">
        <v>108563</v>
      </c>
      <c r="F12" s="55">
        <v>66062</v>
      </c>
      <c r="H12">
        <f t="shared" si="1"/>
        <v>46309</v>
      </c>
      <c r="I12" t="s">
        <v>478</v>
      </c>
      <c r="J12" t="s">
        <v>45</v>
      </c>
      <c r="K12" t="s">
        <v>74</v>
      </c>
      <c r="L12">
        <v>108563</v>
      </c>
      <c r="M12">
        <v>66062</v>
      </c>
      <c r="P12" s="40"/>
      <c r="Q12" s="31"/>
      <c r="R12" s="31"/>
      <c r="S12" s="31"/>
      <c r="T12" s="32"/>
      <c r="U12" s="39"/>
    </row>
    <row r="13" spans="1:28" x14ac:dyDescent="0.25">
      <c r="A13" s="56">
        <f t="shared" si="0"/>
        <v>46310</v>
      </c>
      <c r="B13" s="53" t="s">
        <v>479</v>
      </c>
      <c r="C13" s="53" t="s">
        <v>93</v>
      </c>
      <c r="D13" s="53" t="s">
        <v>87</v>
      </c>
      <c r="E13" s="54">
        <v>63893</v>
      </c>
      <c r="F13" s="55">
        <v>98878</v>
      </c>
      <c r="H13">
        <f t="shared" si="1"/>
        <v>46310</v>
      </c>
      <c r="I13" t="s">
        <v>479</v>
      </c>
      <c r="J13" t="s">
        <v>93</v>
      </c>
      <c r="K13" t="s">
        <v>87</v>
      </c>
      <c r="L13">
        <v>63893</v>
      </c>
      <c r="M13">
        <v>98878</v>
      </c>
      <c r="P13" s="40"/>
      <c r="Q13" s="31"/>
      <c r="R13" s="31"/>
      <c r="S13" s="31"/>
      <c r="T13" s="32"/>
      <c r="U13" s="39"/>
    </row>
    <row r="14" spans="1:28" x14ac:dyDescent="0.25">
      <c r="A14" s="56">
        <f t="shared" si="0"/>
        <v>46311</v>
      </c>
      <c r="B14" s="53" t="s">
        <v>480</v>
      </c>
      <c r="C14" s="53" t="s">
        <v>80</v>
      </c>
      <c r="D14" s="53" t="s">
        <v>123</v>
      </c>
      <c r="E14" s="54">
        <v>141093</v>
      </c>
      <c r="F14" s="55">
        <v>40851</v>
      </c>
      <c r="H14">
        <f t="shared" si="1"/>
        <v>46311</v>
      </c>
      <c r="I14" t="s">
        <v>480</v>
      </c>
      <c r="J14" t="s">
        <v>80</v>
      </c>
      <c r="K14" t="s">
        <v>123</v>
      </c>
      <c r="L14">
        <v>141093</v>
      </c>
      <c r="M14">
        <v>40851</v>
      </c>
      <c r="P14" s="40"/>
      <c r="Q14" s="31"/>
      <c r="R14" s="31"/>
      <c r="S14" s="31"/>
      <c r="T14" s="32"/>
      <c r="U14" s="39"/>
    </row>
    <row r="15" spans="1:28" x14ac:dyDescent="0.25">
      <c r="A15" s="56">
        <f t="shared" si="0"/>
        <v>46312</v>
      </c>
      <c r="B15" s="53" t="s">
        <v>481</v>
      </c>
      <c r="C15" s="53" t="s">
        <v>45</v>
      </c>
      <c r="D15" s="53" t="s">
        <v>87</v>
      </c>
      <c r="E15" s="54">
        <v>79597</v>
      </c>
      <c r="F15" s="55">
        <v>76421</v>
      </c>
      <c r="H15">
        <f t="shared" si="1"/>
        <v>46312</v>
      </c>
      <c r="I15" t="s">
        <v>481</v>
      </c>
      <c r="J15" t="s">
        <v>45</v>
      </c>
      <c r="K15" t="s">
        <v>87</v>
      </c>
      <c r="L15">
        <v>79597</v>
      </c>
      <c r="M15">
        <v>76421</v>
      </c>
      <c r="P15" s="40"/>
      <c r="Q15" s="31"/>
      <c r="R15" s="31"/>
      <c r="S15" s="31"/>
      <c r="T15" s="32"/>
      <c r="U15" s="39"/>
    </row>
    <row r="16" spans="1:28" x14ac:dyDescent="0.25">
      <c r="A16" s="56">
        <f t="shared" si="0"/>
        <v>46313</v>
      </c>
      <c r="B16" s="53" t="s">
        <v>482</v>
      </c>
      <c r="C16" s="53" t="s">
        <v>45</v>
      </c>
      <c r="D16" s="53" t="s">
        <v>57</v>
      </c>
      <c r="E16" s="54">
        <v>135072</v>
      </c>
      <c r="F16" s="55">
        <v>84118</v>
      </c>
      <c r="H16">
        <f t="shared" si="1"/>
        <v>46313</v>
      </c>
      <c r="I16" t="s">
        <v>482</v>
      </c>
      <c r="J16" t="s">
        <v>45</v>
      </c>
      <c r="K16" t="s">
        <v>57</v>
      </c>
      <c r="L16">
        <v>135072</v>
      </c>
      <c r="M16">
        <v>84118</v>
      </c>
      <c r="P16" s="40"/>
      <c r="Q16" s="31"/>
      <c r="R16" s="31"/>
      <c r="S16" s="31"/>
      <c r="T16" s="32"/>
      <c r="U16" s="39"/>
    </row>
    <row r="17" spans="1:21" x14ac:dyDescent="0.25">
      <c r="A17" s="56">
        <f t="shared" si="0"/>
        <v>46314</v>
      </c>
      <c r="B17" s="53" t="s">
        <v>483</v>
      </c>
      <c r="C17" s="53" t="s">
        <v>134</v>
      </c>
      <c r="D17" s="53" t="s">
        <v>74</v>
      </c>
      <c r="E17" s="54">
        <v>84797</v>
      </c>
      <c r="F17" s="55">
        <v>52676</v>
      </c>
      <c r="H17">
        <f t="shared" si="1"/>
        <v>46314</v>
      </c>
      <c r="I17" t="s">
        <v>483</v>
      </c>
      <c r="J17" t="s">
        <v>134</v>
      </c>
      <c r="K17" t="s">
        <v>74</v>
      </c>
      <c r="L17">
        <v>84797</v>
      </c>
      <c r="M17">
        <v>52676</v>
      </c>
      <c r="P17" s="40"/>
      <c r="Q17" s="31"/>
      <c r="R17" s="31"/>
      <c r="S17" s="31"/>
      <c r="T17" s="32"/>
      <c r="U17" s="39"/>
    </row>
    <row r="18" spans="1:21" x14ac:dyDescent="0.25">
      <c r="A18" s="56">
        <f t="shared" si="0"/>
        <v>46315</v>
      </c>
      <c r="B18" s="53" t="s">
        <v>484</v>
      </c>
      <c r="C18" s="53" t="s">
        <v>185</v>
      </c>
      <c r="D18" s="53" t="s">
        <v>123</v>
      </c>
      <c r="E18" s="54">
        <v>20000</v>
      </c>
      <c r="F18" s="55">
        <v>74671</v>
      </c>
      <c r="H18">
        <f t="shared" si="1"/>
        <v>46315</v>
      </c>
      <c r="I18" t="s">
        <v>484</v>
      </c>
      <c r="J18" t="s">
        <v>185</v>
      </c>
      <c r="K18" t="s">
        <v>123</v>
      </c>
      <c r="L18">
        <v>20000</v>
      </c>
      <c r="M18">
        <v>74671</v>
      </c>
      <c r="P18" s="40"/>
      <c r="Q18" s="31"/>
      <c r="R18" s="31"/>
      <c r="S18" s="31"/>
      <c r="T18" s="32"/>
      <c r="U18" s="39"/>
    </row>
    <row r="19" spans="1:21" x14ac:dyDescent="0.25">
      <c r="A19" s="56">
        <f t="shared" si="0"/>
        <v>46316</v>
      </c>
      <c r="B19" s="53" t="s">
        <v>485</v>
      </c>
      <c r="C19" s="53" t="s">
        <v>134</v>
      </c>
      <c r="D19" s="53" t="s">
        <v>87</v>
      </c>
      <c r="E19" s="54">
        <v>105284</v>
      </c>
      <c r="F19" s="55">
        <v>56361</v>
      </c>
      <c r="H19">
        <f t="shared" si="1"/>
        <v>46316</v>
      </c>
      <c r="I19" t="s">
        <v>485</v>
      </c>
      <c r="J19" t="s">
        <v>134</v>
      </c>
      <c r="K19" t="s">
        <v>87</v>
      </c>
      <c r="L19">
        <v>105284</v>
      </c>
      <c r="M19">
        <v>56361</v>
      </c>
      <c r="P19" s="40"/>
      <c r="Q19" s="31"/>
      <c r="R19" s="31"/>
      <c r="S19" s="31"/>
      <c r="T19" s="32"/>
      <c r="U19" s="39"/>
    </row>
    <row r="20" spans="1:21" x14ac:dyDescent="0.25">
      <c r="A20" s="56">
        <f t="shared" si="0"/>
        <v>46317</v>
      </c>
      <c r="B20" s="53" t="s">
        <v>486</v>
      </c>
      <c r="C20" s="53" t="s">
        <v>126</v>
      </c>
      <c r="D20" s="53" t="s">
        <v>74</v>
      </c>
      <c r="E20" s="54">
        <v>20000</v>
      </c>
      <c r="F20" s="55">
        <v>78427</v>
      </c>
      <c r="H20">
        <f t="shared" si="1"/>
        <v>46317</v>
      </c>
      <c r="I20" t="s">
        <v>486</v>
      </c>
      <c r="J20" t="s">
        <v>126</v>
      </c>
      <c r="K20" t="s">
        <v>74</v>
      </c>
      <c r="L20">
        <v>20000</v>
      </c>
      <c r="M20">
        <v>78427</v>
      </c>
      <c r="P20" s="40"/>
      <c r="Q20" s="31"/>
      <c r="R20" s="31"/>
      <c r="S20" s="31"/>
      <c r="T20" s="32"/>
      <c r="U20" s="39"/>
    </row>
    <row r="21" spans="1:21" x14ac:dyDescent="0.25">
      <c r="A21" s="56">
        <f t="shared" si="0"/>
        <v>46318</v>
      </c>
      <c r="B21" s="53" t="s">
        <v>487</v>
      </c>
      <c r="C21" s="53" t="s">
        <v>93</v>
      </c>
      <c r="D21" s="53" t="s">
        <v>123</v>
      </c>
      <c r="E21" s="54">
        <v>110674</v>
      </c>
      <c r="F21" s="55">
        <v>65203</v>
      </c>
      <c r="H21">
        <f t="shared" si="1"/>
        <v>46318</v>
      </c>
      <c r="I21" t="s">
        <v>487</v>
      </c>
      <c r="J21" t="s">
        <v>93</v>
      </c>
      <c r="K21" t="s">
        <v>123</v>
      </c>
      <c r="L21">
        <v>110674</v>
      </c>
      <c r="M21">
        <v>65203</v>
      </c>
      <c r="P21" s="40"/>
      <c r="Q21" s="31"/>
      <c r="R21" s="31"/>
      <c r="S21" s="31"/>
      <c r="T21" s="32"/>
      <c r="U21" s="39"/>
    </row>
    <row r="22" spans="1:21" x14ac:dyDescent="0.25">
      <c r="A22" s="56">
        <f t="shared" si="0"/>
        <v>46319</v>
      </c>
      <c r="B22" s="53" t="s">
        <v>488</v>
      </c>
      <c r="C22" s="53" t="s">
        <v>93</v>
      </c>
      <c r="D22" s="53" t="s">
        <v>74</v>
      </c>
      <c r="E22" s="54">
        <v>41006</v>
      </c>
      <c r="F22" s="55">
        <v>126673</v>
      </c>
      <c r="H22">
        <f t="shared" si="1"/>
        <v>46319</v>
      </c>
      <c r="I22" t="s">
        <v>488</v>
      </c>
      <c r="J22" t="s">
        <v>93</v>
      </c>
      <c r="K22" t="s">
        <v>74</v>
      </c>
      <c r="L22">
        <v>41006</v>
      </c>
      <c r="M22">
        <v>126673</v>
      </c>
      <c r="P22" s="40"/>
      <c r="Q22" s="31"/>
      <c r="R22" s="31"/>
      <c r="S22" s="31"/>
      <c r="T22" s="32"/>
      <c r="U22" s="39"/>
    </row>
    <row r="23" spans="1:21" x14ac:dyDescent="0.25">
      <c r="A23" s="56">
        <f t="shared" si="0"/>
        <v>46320</v>
      </c>
      <c r="B23" s="53" t="s">
        <v>489</v>
      </c>
      <c r="C23" s="53" t="s">
        <v>45</v>
      </c>
      <c r="D23" s="53" t="s">
        <v>123</v>
      </c>
      <c r="E23" s="54">
        <v>45458</v>
      </c>
      <c r="F23" s="55">
        <v>70512</v>
      </c>
      <c r="H23">
        <f t="shared" si="1"/>
        <v>46320</v>
      </c>
      <c r="I23" t="s">
        <v>489</v>
      </c>
      <c r="J23" t="s">
        <v>45</v>
      </c>
      <c r="K23" t="s">
        <v>123</v>
      </c>
      <c r="L23">
        <v>45458</v>
      </c>
      <c r="M23">
        <v>70512</v>
      </c>
      <c r="P23" s="40"/>
      <c r="Q23" s="31"/>
      <c r="R23" s="31"/>
      <c r="S23" s="31"/>
      <c r="T23" s="32"/>
      <c r="U23" s="39"/>
    </row>
    <row r="24" spans="1:21" x14ac:dyDescent="0.25">
      <c r="A24" s="56">
        <f t="shared" si="0"/>
        <v>46321</v>
      </c>
      <c r="B24" s="53" t="s">
        <v>490</v>
      </c>
      <c r="C24" s="53" t="s">
        <v>134</v>
      </c>
      <c r="D24" s="53" t="s">
        <v>87</v>
      </c>
      <c r="E24" s="54">
        <v>71434</v>
      </c>
      <c r="F24" s="55">
        <v>99429</v>
      </c>
      <c r="H24">
        <f t="shared" si="1"/>
        <v>46321</v>
      </c>
      <c r="I24" t="s">
        <v>490</v>
      </c>
      <c r="J24" t="s">
        <v>134</v>
      </c>
      <c r="K24" t="s">
        <v>87</v>
      </c>
      <c r="L24">
        <v>71434</v>
      </c>
      <c r="M24">
        <v>99429</v>
      </c>
      <c r="P24" s="40"/>
      <c r="Q24" s="31"/>
      <c r="R24" s="31"/>
      <c r="S24" s="31"/>
      <c r="T24" s="32"/>
      <c r="U24" s="39"/>
    </row>
    <row r="25" spans="1:21" x14ac:dyDescent="0.25">
      <c r="A25" s="56">
        <f t="shared" si="0"/>
        <v>46322</v>
      </c>
      <c r="B25" s="53" t="s">
        <v>491</v>
      </c>
      <c r="C25" s="53" t="s">
        <v>93</v>
      </c>
      <c r="D25" s="53" t="s">
        <v>123</v>
      </c>
      <c r="E25" s="54">
        <v>56319</v>
      </c>
      <c r="F25" s="55">
        <v>88520</v>
      </c>
      <c r="H25">
        <f t="shared" si="1"/>
        <v>46322</v>
      </c>
      <c r="I25" t="s">
        <v>491</v>
      </c>
      <c r="J25" t="s">
        <v>93</v>
      </c>
      <c r="K25" t="s">
        <v>123</v>
      </c>
      <c r="L25">
        <v>56319</v>
      </c>
      <c r="M25">
        <v>88520</v>
      </c>
      <c r="P25" s="40"/>
      <c r="Q25" s="31"/>
      <c r="R25" s="31"/>
      <c r="S25" s="31"/>
      <c r="T25" s="32"/>
      <c r="U25" s="39"/>
    </row>
    <row r="26" spans="1:21" x14ac:dyDescent="0.25">
      <c r="A26" s="56">
        <f t="shared" si="0"/>
        <v>46323</v>
      </c>
      <c r="B26" s="53" t="s">
        <v>492</v>
      </c>
      <c r="C26" s="53" t="s">
        <v>185</v>
      </c>
      <c r="D26" s="53" t="s">
        <v>57</v>
      </c>
      <c r="E26" s="54">
        <v>122841</v>
      </c>
      <c r="F26" s="55">
        <v>74993</v>
      </c>
      <c r="H26">
        <f t="shared" si="1"/>
        <v>46323</v>
      </c>
      <c r="I26" t="s">
        <v>492</v>
      </c>
      <c r="J26" t="s">
        <v>185</v>
      </c>
      <c r="K26" t="s">
        <v>57</v>
      </c>
      <c r="L26">
        <v>122841</v>
      </c>
      <c r="M26">
        <v>74993</v>
      </c>
      <c r="P26" s="40"/>
      <c r="Q26" s="31"/>
      <c r="R26" s="31"/>
      <c r="S26" s="31"/>
      <c r="T26" s="32"/>
      <c r="U26" s="39"/>
    </row>
    <row r="27" spans="1:21" x14ac:dyDescent="0.25">
      <c r="A27" s="56">
        <f t="shared" si="0"/>
        <v>46324</v>
      </c>
      <c r="B27" s="53" t="s">
        <v>493</v>
      </c>
      <c r="C27" s="53" t="s">
        <v>93</v>
      </c>
      <c r="D27" s="53" t="s">
        <v>74</v>
      </c>
      <c r="E27" s="54">
        <v>114840</v>
      </c>
      <c r="F27" s="55">
        <v>123227</v>
      </c>
      <c r="H27">
        <f t="shared" si="1"/>
        <v>46324</v>
      </c>
      <c r="I27" t="s">
        <v>493</v>
      </c>
      <c r="J27" t="s">
        <v>93</v>
      </c>
      <c r="K27" t="s">
        <v>74</v>
      </c>
      <c r="L27">
        <v>114840</v>
      </c>
      <c r="M27">
        <v>123227</v>
      </c>
      <c r="P27" s="40"/>
      <c r="Q27" s="31"/>
      <c r="R27" s="31"/>
      <c r="S27" s="31"/>
      <c r="T27" s="32"/>
      <c r="U27" s="39"/>
    </row>
    <row r="28" spans="1:21" x14ac:dyDescent="0.25">
      <c r="A28" s="56">
        <f t="shared" si="0"/>
        <v>46325</v>
      </c>
      <c r="B28" s="53" t="s">
        <v>494</v>
      </c>
      <c r="C28" s="53" t="s">
        <v>45</v>
      </c>
      <c r="D28" s="53" t="s">
        <v>57</v>
      </c>
      <c r="E28" s="54">
        <v>56417</v>
      </c>
      <c r="F28" s="55">
        <v>100589</v>
      </c>
      <c r="H28">
        <f t="shared" si="1"/>
        <v>46325</v>
      </c>
      <c r="I28" t="s">
        <v>494</v>
      </c>
      <c r="J28" t="s">
        <v>45</v>
      </c>
      <c r="K28" t="s">
        <v>57</v>
      </c>
      <c r="L28">
        <v>56417</v>
      </c>
      <c r="M28">
        <v>100589</v>
      </c>
      <c r="P28" s="40"/>
      <c r="Q28" s="31"/>
      <c r="R28" s="31"/>
      <c r="S28" s="31"/>
      <c r="T28" s="32"/>
      <c r="U28" s="39"/>
    </row>
    <row r="29" spans="1:21" x14ac:dyDescent="0.25">
      <c r="A29" s="56">
        <f t="shared" si="0"/>
        <v>46326</v>
      </c>
      <c r="B29" s="53" t="s">
        <v>495</v>
      </c>
      <c r="C29" s="53" t="s">
        <v>126</v>
      </c>
      <c r="D29" s="53" t="s">
        <v>123</v>
      </c>
      <c r="E29" s="54">
        <v>118886</v>
      </c>
      <c r="F29" s="55">
        <v>130198</v>
      </c>
      <c r="H29">
        <f t="shared" si="1"/>
        <v>46326</v>
      </c>
      <c r="I29" t="s">
        <v>495</v>
      </c>
      <c r="J29" t="s">
        <v>126</v>
      </c>
      <c r="K29" t="s">
        <v>123</v>
      </c>
      <c r="L29">
        <v>118886</v>
      </c>
      <c r="M29">
        <v>130198</v>
      </c>
      <c r="P29" s="40"/>
      <c r="Q29" s="31"/>
      <c r="R29" s="31"/>
      <c r="S29" s="31"/>
      <c r="T29" s="32"/>
      <c r="U29" s="39"/>
    </row>
    <row r="30" spans="1:21" x14ac:dyDescent="0.25">
      <c r="A30" s="56">
        <f t="shared" si="0"/>
        <v>46327</v>
      </c>
      <c r="B30" s="53" t="s">
        <v>496</v>
      </c>
      <c r="C30" s="53" t="s">
        <v>80</v>
      </c>
      <c r="D30" s="53" t="s">
        <v>57</v>
      </c>
      <c r="E30" s="54">
        <v>124733</v>
      </c>
      <c r="F30" s="55">
        <v>82504</v>
      </c>
      <c r="H30">
        <f t="shared" si="1"/>
        <v>46327</v>
      </c>
      <c r="I30" t="s">
        <v>496</v>
      </c>
      <c r="J30" t="s">
        <v>80</v>
      </c>
      <c r="K30" t="s">
        <v>57</v>
      </c>
      <c r="L30">
        <v>124733</v>
      </c>
      <c r="M30">
        <v>82504</v>
      </c>
      <c r="P30" s="40"/>
      <c r="Q30" s="31"/>
      <c r="R30" s="31"/>
      <c r="S30" s="31"/>
      <c r="T30" s="32"/>
      <c r="U30" s="39"/>
    </row>
    <row r="31" spans="1:21" x14ac:dyDescent="0.25">
      <c r="A31" s="56">
        <f t="shared" si="0"/>
        <v>46328</v>
      </c>
      <c r="B31" s="53" t="s">
        <v>497</v>
      </c>
      <c r="C31" s="53" t="s">
        <v>134</v>
      </c>
      <c r="D31" s="53" t="s">
        <v>57</v>
      </c>
      <c r="E31" s="54">
        <v>142715</v>
      </c>
      <c r="F31" s="55">
        <v>44207</v>
      </c>
      <c r="H31">
        <f t="shared" si="1"/>
        <v>46328</v>
      </c>
      <c r="I31" t="s">
        <v>497</v>
      </c>
      <c r="J31" t="s">
        <v>134</v>
      </c>
      <c r="K31" t="s">
        <v>57</v>
      </c>
      <c r="L31">
        <v>142715</v>
      </c>
      <c r="M31">
        <v>44207</v>
      </c>
      <c r="P31" s="40"/>
      <c r="Q31" s="31"/>
      <c r="R31" s="31"/>
      <c r="S31" s="31"/>
      <c r="T31" s="32"/>
      <c r="U31" s="39"/>
    </row>
    <row r="32" spans="1:21" x14ac:dyDescent="0.25">
      <c r="A32" s="56">
        <f t="shared" si="0"/>
        <v>46329</v>
      </c>
      <c r="B32" s="53" t="s">
        <v>498</v>
      </c>
      <c r="C32" s="53" t="s">
        <v>185</v>
      </c>
      <c r="D32" s="53" t="s">
        <v>87</v>
      </c>
      <c r="E32" s="54">
        <v>70093</v>
      </c>
      <c r="F32" s="55">
        <v>48675</v>
      </c>
      <c r="H32">
        <f t="shared" si="1"/>
        <v>46329</v>
      </c>
      <c r="I32" t="s">
        <v>498</v>
      </c>
      <c r="J32" t="s">
        <v>185</v>
      </c>
      <c r="K32" t="s">
        <v>87</v>
      </c>
      <c r="L32">
        <v>70093</v>
      </c>
      <c r="M32">
        <v>48675</v>
      </c>
      <c r="P32" s="40"/>
      <c r="Q32" s="31"/>
      <c r="R32" s="31"/>
      <c r="S32" s="31"/>
      <c r="T32" s="32"/>
      <c r="U32" s="39"/>
    </row>
    <row r="33" spans="1:21" x14ac:dyDescent="0.25">
      <c r="A33" s="56">
        <f t="shared" si="0"/>
        <v>46330</v>
      </c>
      <c r="B33" s="53" t="s">
        <v>499</v>
      </c>
      <c r="C33" s="53" t="s">
        <v>45</v>
      </c>
      <c r="D33" s="53" t="s">
        <v>123</v>
      </c>
      <c r="E33" s="54">
        <v>62869</v>
      </c>
      <c r="F33" s="55">
        <v>125909</v>
      </c>
      <c r="H33">
        <f t="shared" si="1"/>
        <v>46330</v>
      </c>
      <c r="I33" t="s">
        <v>499</v>
      </c>
      <c r="J33" t="s">
        <v>45</v>
      </c>
      <c r="K33" t="s">
        <v>123</v>
      </c>
      <c r="L33">
        <v>62869</v>
      </c>
      <c r="M33">
        <v>125909</v>
      </c>
      <c r="P33" s="40"/>
      <c r="Q33" s="31"/>
      <c r="R33" s="31"/>
      <c r="S33" s="31"/>
      <c r="T33" s="32"/>
      <c r="U33" s="39"/>
    </row>
    <row r="34" spans="1:21" x14ac:dyDescent="0.25">
      <c r="A34" s="56">
        <f t="shared" si="0"/>
        <v>46331</v>
      </c>
      <c r="B34" s="53" t="s">
        <v>500</v>
      </c>
      <c r="C34" s="53" t="s">
        <v>126</v>
      </c>
      <c r="D34" s="53" t="s">
        <v>87</v>
      </c>
      <c r="E34" s="54">
        <v>119259</v>
      </c>
      <c r="F34" s="55">
        <v>100142</v>
      </c>
      <c r="H34">
        <f t="shared" si="1"/>
        <v>46331</v>
      </c>
      <c r="I34" t="s">
        <v>500</v>
      </c>
      <c r="J34" t="s">
        <v>126</v>
      </c>
      <c r="K34" t="s">
        <v>87</v>
      </c>
      <c r="L34">
        <v>119259</v>
      </c>
      <c r="M34">
        <v>100142</v>
      </c>
      <c r="P34" s="40"/>
      <c r="Q34" s="31"/>
      <c r="R34" s="31"/>
      <c r="S34" s="31"/>
      <c r="T34" s="32"/>
      <c r="U34" s="39"/>
    </row>
    <row r="35" spans="1:21" x14ac:dyDescent="0.25">
      <c r="A35" s="56">
        <f t="shared" si="0"/>
        <v>46332</v>
      </c>
      <c r="B35" s="53" t="s">
        <v>501</v>
      </c>
      <c r="C35" s="53" t="s">
        <v>45</v>
      </c>
      <c r="D35" s="53" t="s">
        <v>123</v>
      </c>
      <c r="E35" s="54">
        <v>53301</v>
      </c>
      <c r="F35" s="55">
        <v>72325</v>
      </c>
      <c r="H35">
        <f t="shared" si="1"/>
        <v>46332</v>
      </c>
      <c r="I35" t="s">
        <v>501</v>
      </c>
      <c r="J35" t="s">
        <v>45</v>
      </c>
      <c r="K35" t="s">
        <v>123</v>
      </c>
      <c r="L35">
        <v>53301</v>
      </c>
      <c r="M35">
        <v>72325</v>
      </c>
      <c r="P35" s="40"/>
      <c r="Q35" s="31"/>
      <c r="R35" s="31"/>
      <c r="S35" s="31"/>
      <c r="T35" s="32"/>
      <c r="U35" s="39"/>
    </row>
    <row r="36" spans="1:21" x14ac:dyDescent="0.25">
      <c r="A36" s="56">
        <f t="shared" si="0"/>
        <v>46333</v>
      </c>
      <c r="B36" s="53" t="s">
        <v>502</v>
      </c>
      <c r="C36" s="53" t="s">
        <v>93</v>
      </c>
      <c r="D36" s="53" t="s">
        <v>123</v>
      </c>
      <c r="E36" s="54">
        <v>132912</v>
      </c>
      <c r="F36" s="55">
        <v>116622</v>
      </c>
      <c r="H36">
        <f t="shared" si="1"/>
        <v>46333</v>
      </c>
      <c r="I36" t="s">
        <v>502</v>
      </c>
      <c r="J36" t="s">
        <v>93</v>
      </c>
      <c r="K36" t="s">
        <v>123</v>
      </c>
      <c r="L36">
        <v>132912</v>
      </c>
      <c r="M36">
        <v>116622</v>
      </c>
      <c r="P36" s="40"/>
      <c r="Q36" s="31"/>
      <c r="R36" s="31"/>
      <c r="S36" s="31"/>
      <c r="T36" s="32"/>
      <c r="U36" s="39"/>
    </row>
    <row r="37" spans="1:21" x14ac:dyDescent="0.25">
      <c r="A37" s="56">
        <f t="shared" si="0"/>
        <v>46334</v>
      </c>
      <c r="B37" s="53" t="s">
        <v>503</v>
      </c>
      <c r="C37" s="53" t="s">
        <v>126</v>
      </c>
      <c r="D37" s="53" t="s">
        <v>87</v>
      </c>
      <c r="E37" s="54">
        <v>82447</v>
      </c>
      <c r="F37" s="55">
        <v>68746</v>
      </c>
      <c r="H37">
        <f t="shared" si="1"/>
        <v>46334</v>
      </c>
      <c r="I37" t="s">
        <v>503</v>
      </c>
      <c r="J37" t="s">
        <v>126</v>
      </c>
      <c r="K37" t="s">
        <v>87</v>
      </c>
      <c r="L37">
        <v>82447</v>
      </c>
      <c r="M37">
        <v>68746</v>
      </c>
      <c r="P37" s="40"/>
      <c r="Q37" s="31"/>
      <c r="R37" s="31"/>
      <c r="S37" s="31"/>
      <c r="T37" s="32"/>
      <c r="U37" s="39"/>
    </row>
    <row r="38" spans="1:21" x14ac:dyDescent="0.25">
      <c r="A38" s="56">
        <f t="shared" si="0"/>
        <v>46335</v>
      </c>
      <c r="B38" s="53" t="s">
        <v>504</v>
      </c>
      <c r="C38" s="53" t="s">
        <v>45</v>
      </c>
      <c r="D38" s="53" t="s">
        <v>87</v>
      </c>
      <c r="E38" s="54">
        <v>46915</v>
      </c>
      <c r="F38" s="55">
        <v>139061</v>
      </c>
      <c r="H38">
        <f t="shared" si="1"/>
        <v>46335</v>
      </c>
      <c r="I38" t="s">
        <v>504</v>
      </c>
      <c r="J38" t="s">
        <v>45</v>
      </c>
      <c r="K38" t="s">
        <v>87</v>
      </c>
      <c r="L38">
        <v>46915</v>
      </c>
      <c r="M38">
        <v>139061</v>
      </c>
      <c r="P38" s="40"/>
      <c r="Q38" s="31"/>
      <c r="R38" s="31"/>
      <c r="S38" s="31"/>
      <c r="T38" s="32"/>
      <c r="U38" s="39"/>
    </row>
    <row r="39" spans="1:21" x14ac:dyDescent="0.25">
      <c r="A39" s="56">
        <f t="shared" si="0"/>
        <v>46336</v>
      </c>
      <c r="B39" s="53" t="s">
        <v>505</v>
      </c>
      <c r="C39" s="53" t="s">
        <v>134</v>
      </c>
      <c r="D39" s="53" t="s">
        <v>74</v>
      </c>
      <c r="E39" s="54">
        <v>55033</v>
      </c>
      <c r="F39" s="55">
        <v>122240</v>
      </c>
      <c r="H39">
        <f t="shared" si="1"/>
        <v>46336</v>
      </c>
      <c r="I39" t="s">
        <v>505</v>
      </c>
      <c r="J39" t="s">
        <v>134</v>
      </c>
      <c r="K39" t="s">
        <v>74</v>
      </c>
      <c r="L39">
        <v>55033</v>
      </c>
      <c r="M39">
        <v>122240</v>
      </c>
      <c r="P39" s="40"/>
      <c r="Q39" s="31"/>
      <c r="R39" s="31"/>
      <c r="S39" s="31"/>
      <c r="T39" s="32"/>
      <c r="U39" s="39"/>
    </row>
    <row r="40" spans="1:21" x14ac:dyDescent="0.25">
      <c r="A40" s="56">
        <f t="shared" si="0"/>
        <v>46337</v>
      </c>
      <c r="B40" s="53" t="s">
        <v>506</v>
      </c>
      <c r="C40" s="53" t="s">
        <v>45</v>
      </c>
      <c r="D40" s="53" t="s">
        <v>87</v>
      </c>
      <c r="E40" s="54">
        <v>113172</v>
      </c>
      <c r="F40" s="55">
        <v>48326</v>
      </c>
      <c r="H40">
        <f t="shared" si="1"/>
        <v>46337</v>
      </c>
      <c r="I40" t="s">
        <v>506</v>
      </c>
      <c r="J40" t="s">
        <v>45</v>
      </c>
      <c r="K40" t="s">
        <v>87</v>
      </c>
      <c r="L40">
        <v>113172</v>
      </c>
      <c r="M40">
        <v>48326</v>
      </c>
      <c r="P40" s="40"/>
      <c r="Q40" s="31"/>
      <c r="R40" s="31"/>
      <c r="S40" s="31"/>
      <c r="T40" s="32"/>
      <c r="U40" s="39"/>
    </row>
    <row r="41" spans="1:21" x14ac:dyDescent="0.25">
      <c r="A41" s="56">
        <f t="shared" si="0"/>
        <v>46338</v>
      </c>
      <c r="B41" s="53" t="s">
        <v>507</v>
      </c>
      <c r="C41" s="53" t="s">
        <v>126</v>
      </c>
      <c r="D41" s="53" t="s">
        <v>87</v>
      </c>
      <c r="E41" s="54">
        <v>113104</v>
      </c>
      <c r="F41" s="55">
        <v>101348</v>
      </c>
      <c r="H41">
        <f t="shared" si="1"/>
        <v>46338</v>
      </c>
      <c r="I41" t="s">
        <v>507</v>
      </c>
      <c r="J41" t="s">
        <v>126</v>
      </c>
      <c r="K41" t="s">
        <v>87</v>
      </c>
      <c r="L41">
        <v>113104</v>
      </c>
      <c r="M41">
        <v>101348</v>
      </c>
      <c r="P41" s="40"/>
      <c r="Q41" s="31"/>
      <c r="R41" s="31"/>
      <c r="S41" s="31"/>
      <c r="T41" s="32"/>
      <c r="U41" s="39"/>
    </row>
    <row r="42" spans="1:21" x14ac:dyDescent="0.25">
      <c r="A42" s="56">
        <f t="shared" si="0"/>
        <v>46339</v>
      </c>
      <c r="B42" s="53" t="s">
        <v>508</v>
      </c>
      <c r="C42" s="53" t="s">
        <v>80</v>
      </c>
      <c r="D42" s="53" t="s">
        <v>123</v>
      </c>
      <c r="E42" s="54">
        <v>20000</v>
      </c>
      <c r="F42" s="55">
        <v>41504</v>
      </c>
      <c r="H42">
        <f t="shared" si="1"/>
        <v>46339</v>
      </c>
      <c r="I42" t="s">
        <v>508</v>
      </c>
      <c r="J42" t="s">
        <v>80</v>
      </c>
      <c r="K42" t="s">
        <v>123</v>
      </c>
      <c r="L42">
        <v>20000</v>
      </c>
      <c r="M42">
        <v>41504</v>
      </c>
      <c r="P42" s="40"/>
      <c r="Q42" s="31"/>
      <c r="R42" s="31"/>
      <c r="S42" s="31"/>
      <c r="T42" s="32"/>
      <c r="U42" s="39"/>
    </row>
    <row r="43" spans="1:21" x14ac:dyDescent="0.25">
      <c r="A43" s="56">
        <f t="shared" si="0"/>
        <v>46340</v>
      </c>
      <c r="B43" s="53" t="s">
        <v>509</v>
      </c>
      <c r="C43" s="53" t="s">
        <v>93</v>
      </c>
      <c r="D43" s="53" t="s">
        <v>74</v>
      </c>
      <c r="E43" s="54">
        <v>124353</v>
      </c>
      <c r="F43" s="55">
        <v>109163</v>
      </c>
      <c r="H43">
        <f t="shared" si="1"/>
        <v>46340</v>
      </c>
      <c r="I43" t="s">
        <v>509</v>
      </c>
      <c r="J43" t="s">
        <v>93</v>
      </c>
      <c r="K43" t="s">
        <v>74</v>
      </c>
      <c r="L43">
        <v>124353</v>
      </c>
      <c r="M43">
        <v>109163</v>
      </c>
      <c r="P43" s="40"/>
      <c r="Q43" s="31"/>
      <c r="R43" s="31"/>
      <c r="S43" s="31"/>
      <c r="T43" s="32"/>
      <c r="U43" s="39"/>
    </row>
    <row r="44" spans="1:21" x14ac:dyDescent="0.25">
      <c r="A44" s="56">
        <f t="shared" si="0"/>
        <v>46341</v>
      </c>
      <c r="B44" s="53" t="s">
        <v>510</v>
      </c>
      <c r="C44" s="53" t="s">
        <v>185</v>
      </c>
      <c r="D44" s="53" t="s">
        <v>123</v>
      </c>
      <c r="E44" s="54">
        <v>49621</v>
      </c>
      <c r="F44" s="55">
        <v>78469</v>
      </c>
      <c r="H44">
        <f t="shared" si="1"/>
        <v>46341</v>
      </c>
      <c r="I44" t="s">
        <v>510</v>
      </c>
      <c r="J44" t="s">
        <v>185</v>
      </c>
      <c r="K44" t="s">
        <v>123</v>
      </c>
      <c r="L44">
        <v>49621</v>
      </c>
      <c r="M44">
        <v>78469</v>
      </c>
      <c r="P44" s="40"/>
      <c r="Q44" s="31"/>
      <c r="R44" s="31"/>
      <c r="S44" s="31"/>
      <c r="T44" s="32"/>
      <c r="U44" s="39"/>
    </row>
    <row r="45" spans="1:21" x14ac:dyDescent="0.25">
      <c r="A45" s="56">
        <f t="shared" si="0"/>
        <v>46342</v>
      </c>
      <c r="B45" s="53" t="s">
        <v>511</v>
      </c>
      <c r="C45" s="53" t="s">
        <v>126</v>
      </c>
      <c r="D45" s="53" t="s">
        <v>57</v>
      </c>
      <c r="E45" s="54">
        <v>94470</v>
      </c>
      <c r="F45" s="55">
        <v>40425</v>
      </c>
      <c r="H45">
        <f t="shared" si="1"/>
        <v>46342</v>
      </c>
      <c r="I45" t="s">
        <v>511</v>
      </c>
      <c r="J45" t="s">
        <v>126</v>
      </c>
      <c r="K45" t="s">
        <v>57</v>
      </c>
      <c r="L45">
        <v>94470</v>
      </c>
      <c r="M45">
        <v>40425</v>
      </c>
      <c r="P45" s="40"/>
      <c r="Q45" s="31"/>
      <c r="R45" s="31"/>
      <c r="S45" s="31"/>
      <c r="T45" s="32"/>
      <c r="U45" s="39"/>
    </row>
    <row r="46" spans="1:21" x14ac:dyDescent="0.25">
      <c r="A46" s="56">
        <f t="shared" si="0"/>
        <v>46343</v>
      </c>
      <c r="B46" s="53" t="s">
        <v>512</v>
      </c>
      <c r="C46" s="53" t="s">
        <v>93</v>
      </c>
      <c r="D46" s="53" t="s">
        <v>123</v>
      </c>
      <c r="E46" s="54">
        <v>100612</v>
      </c>
      <c r="F46" s="55">
        <v>139871</v>
      </c>
      <c r="H46">
        <f t="shared" si="1"/>
        <v>46343</v>
      </c>
      <c r="I46" t="s">
        <v>512</v>
      </c>
      <c r="J46" t="s">
        <v>93</v>
      </c>
      <c r="K46" t="s">
        <v>123</v>
      </c>
      <c r="L46">
        <v>100612</v>
      </c>
      <c r="M46">
        <v>139871</v>
      </c>
      <c r="P46" s="40"/>
      <c r="Q46" s="31"/>
      <c r="R46" s="31"/>
      <c r="S46" s="31"/>
      <c r="T46" s="32"/>
      <c r="U46" s="39"/>
    </row>
    <row r="47" spans="1:21" x14ac:dyDescent="0.25">
      <c r="A47" s="56">
        <f>A46+1</f>
        <v>46344</v>
      </c>
      <c r="B47" s="53" t="s">
        <v>513</v>
      </c>
      <c r="C47" s="53" t="s">
        <v>45</v>
      </c>
      <c r="D47" s="53" t="s">
        <v>74</v>
      </c>
      <c r="E47" s="54">
        <v>149100</v>
      </c>
      <c r="F47" s="55">
        <v>121959</v>
      </c>
      <c r="H47">
        <f>H46+1</f>
        <v>46344</v>
      </c>
      <c r="I47" t="s">
        <v>513</v>
      </c>
      <c r="J47" t="s">
        <v>45</v>
      </c>
      <c r="K47" t="s">
        <v>74</v>
      </c>
      <c r="L47">
        <v>149100</v>
      </c>
      <c r="M47">
        <v>121959</v>
      </c>
      <c r="P47" s="40"/>
      <c r="Q47" s="31"/>
      <c r="R47" s="31"/>
      <c r="S47" s="31"/>
      <c r="T47" s="32"/>
      <c r="U47" s="39"/>
    </row>
    <row r="48" spans="1:21" x14ac:dyDescent="0.25">
      <c r="A48" s="56">
        <f t="shared" si="0"/>
        <v>46345</v>
      </c>
      <c r="B48" s="53" t="s">
        <v>514</v>
      </c>
      <c r="C48" s="53" t="s">
        <v>185</v>
      </c>
      <c r="D48" s="53" t="s">
        <v>57</v>
      </c>
      <c r="E48" s="54">
        <v>55032</v>
      </c>
      <c r="F48" s="55">
        <v>89009</v>
      </c>
      <c r="H48">
        <f t="shared" si="1"/>
        <v>46345</v>
      </c>
      <c r="I48" t="s">
        <v>514</v>
      </c>
      <c r="J48" t="s">
        <v>185</v>
      </c>
      <c r="K48" t="s">
        <v>57</v>
      </c>
      <c r="L48">
        <v>55032</v>
      </c>
      <c r="M48">
        <v>89009</v>
      </c>
      <c r="P48" s="40"/>
      <c r="Q48" s="31"/>
      <c r="R48" s="31"/>
      <c r="S48" s="31"/>
      <c r="T48" s="32"/>
      <c r="U48" s="39"/>
    </row>
    <row r="49" spans="1:21" x14ac:dyDescent="0.25">
      <c r="A49" s="56">
        <f t="shared" si="0"/>
        <v>46346</v>
      </c>
      <c r="B49" s="53" t="s">
        <v>515</v>
      </c>
      <c r="C49" s="53" t="s">
        <v>45</v>
      </c>
      <c r="D49" s="53" t="s">
        <v>74</v>
      </c>
      <c r="E49" s="54">
        <v>113504</v>
      </c>
      <c r="F49" s="55">
        <v>82487</v>
      </c>
      <c r="H49">
        <f t="shared" si="1"/>
        <v>46346</v>
      </c>
      <c r="I49" t="s">
        <v>515</v>
      </c>
      <c r="J49" t="s">
        <v>45</v>
      </c>
      <c r="K49" t="s">
        <v>74</v>
      </c>
      <c r="L49">
        <v>113504</v>
      </c>
      <c r="M49">
        <v>82487</v>
      </c>
      <c r="P49" s="40"/>
      <c r="Q49" s="31"/>
      <c r="R49" s="31"/>
      <c r="S49" s="31"/>
      <c r="T49" s="32"/>
      <c r="U49" s="39"/>
    </row>
    <row r="50" spans="1:21" x14ac:dyDescent="0.25">
      <c r="A50" s="56">
        <f t="shared" si="0"/>
        <v>46347</v>
      </c>
      <c r="B50" s="53" t="s">
        <v>516</v>
      </c>
      <c r="C50" s="53" t="s">
        <v>126</v>
      </c>
      <c r="D50" s="53" t="s">
        <v>74</v>
      </c>
      <c r="E50" s="54">
        <v>49662</v>
      </c>
      <c r="F50" s="55">
        <v>87576</v>
      </c>
      <c r="H50">
        <f t="shared" si="1"/>
        <v>46347</v>
      </c>
      <c r="I50" t="s">
        <v>516</v>
      </c>
      <c r="J50" t="s">
        <v>126</v>
      </c>
      <c r="K50" t="s">
        <v>74</v>
      </c>
      <c r="L50">
        <v>49662</v>
      </c>
      <c r="M50">
        <v>87576</v>
      </c>
      <c r="P50" s="40"/>
      <c r="Q50" s="31"/>
      <c r="R50" s="31"/>
      <c r="S50" s="31"/>
      <c r="T50" s="32"/>
      <c r="U50" s="39"/>
    </row>
    <row r="51" spans="1:21" x14ac:dyDescent="0.25">
      <c r="A51" s="56">
        <f t="shared" si="0"/>
        <v>46348</v>
      </c>
      <c r="B51" s="53" t="s">
        <v>517</v>
      </c>
      <c r="C51" s="53" t="s">
        <v>185</v>
      </c>
      <c r="D51" s="53" t="s">
        <v>57</v>
      </c>
      <c r="E51" s="54">
        <v>42592</v>
      </c>
      <c r="F51" s="55">
        <v>71571</v>
      </c>
      <c r="H51">
        <f t="shared" si="1"/>
        <v>46348</v>
      </c>
      <c r="I51" t="s">
        <v>517</v>
      </c>
      <c r="J51" t="s">
        <v>185</v>
      </c>
      <c r="K51" t="s">
        <v>57</v>
      </c>
      <c r="L51">
        <v>42592</v>
      </c>
      <c r="M51">
        <v>71571</v>
      </c>
      <c r="P51" s="40"/>
      <c r="Q51" s="31"/>
      <c r="R51" s="31"/>
      <c r="S51" s="31"/>
      <c r="T51" s="32"/>
      <c r="U51" s="39"/>
    </row>
    <row r="52" spans="1:21" x14ac:dyDescent="0.25">
      <c r="A52" s="56">
        <f t="shared" si="0"/>
        <v>46349</v>
      </c>
      <c r="B52" s="53" t="s">
        <v>518</v>
      </c>
      <c r="C52" s="53" t="s">
        <v>80</v>
      </c>
      <c r="D52" s="53" t="s">
        <v>74</v>
      </c>
      <c r="E52" s="54">
        <v>46226</v>
      </c>
      <c r="F52" s="55">
        <v>135932</v>
      </c>
      <c r="H52">
        <f t="shared" si="1"/>
        <v>46349</v>
      </c>
      <c r="I52" t="s">
        <v>518</v>
      </c>
      <c r="J52" t="s">
        <v>80</v>
      </c>
      <c r="K52" t="s">
        <v>74</v>
      </c>
      <c r="L52">
        <v>46226</v>
      </c>
      <c r="M52">
        <v>135932</v>
      </c>
      <c r="P52" s="40"/>
      <c r="Q52" s="31"/>
      <c r="R52" s="31"/>
      <c r="S52" s="31"/>
      <c r="T52" s="32"/>
      <c r="U52" s="39"/>
    </row>
    <row r="53" spans="1:21" x14ac:dyDescent="0.25">
      <c r="A53" s="56">
        <f t="shared" si="0"/>
        <v>46350</v>
      </c>
      <c r="B53" s="53" t="s">
        <v>519</v>
      </c>
      <c r="C53" s="53" t="s">
        <v>126</v>
      </c>
      <c r="D53" s="53" t="s">
        <v>74</v>
      </c>
      <c r="E53" s="54">
        <v>20000</v>
      </c>
      <c r="F53" s="55">
        <v>109822</v>
      </c>
      <c r="H53">
        <f t="shared" si="1"/>
        <v>46350</v>
      </c>
      <c r="I53" t="s">
        <v>519</v>
      </c>
      <c r="J53" t="s">
        <v>126</v>
      </c>
      <c r="K53" t="s">
        <v>74</v>
      </c>
      <c r="L53">
        <v>20000</v>
      </c>
      <c r="M53">
        <v>109822</v>
      </c>
      <c r="P53" s="40"/>
      <c r="Q53" s="31"/>
      <c r="R53" s="31"/>
      <c r="S53" s="31"/>
      <c r="T53" s="32"/>
      <c r="U53" s="39"/>
    </row>
    <row r="54" spans="1:21" x14ac:dyDescent="0.25">
      <c r="A54" s="56">
        <f t="shared" si="0"/>
        <v>46351</v>
      </c>
      <c r="B54" s="53" t="s">
        <v>520</v>
      </c>
      <c r="C54" s="53" t="s">
        <v>45</v>
      </c>
      <c r="D54" s="53" t="s">
        <v>57</v>
      </c>
      <c r="E54" s="54">
        <v>121474</v>
      </c>
      <c r="F54" s="55">
        <v>102296</v>
      </c>
      <c r="H54">
        <f t="shared" si="1"/>
        <v>46351</v>
      </c>
      <c r="I54" t="s">
        <v>520</v>
      </c>
      <c r="J54" t="s">
        <v>45</v>
      </c>
      <c r="K54" t="s">
        <v>57</v>
      </c>
      <c r="L54">
        <v>121474</v>
      </c>
      <c r="M54">
        <v>102296</v>
      </c>
      <c r="P54" s="40"/>
      <c r="Q54" s="31"/>
      <c r="R54" s="31"/>
      <c r="S54" s="31"/>
      <c r="T54" s="32"/>
      <c r="U54" s="39"/>
    </row>
    <row r="55" spans="1:21" x14ac:dyDescent="0.25">
      <c r="A55" s="56">
        <f t="shared" si="0"/>
        <v>46352</v>
      </c>
      <c r="B55" s="53" t="s">
        <v>521</v>
      </c>
      <c r="C55" s="53" t="s">
        <v>80</v>
      </c>
      <c r="D55" s="53" t="s">
        <v>57</v>
      </c>
      <c r="E55" s="54">
        <v>69741</v>
      </c>
      <c r="F55" s="55">
        <v>109163</v>
      </c>
      <c r="H55">
        <f t="shared" si="1"/>
        <v>46352</v>
      </c>
      <c r="I55" t="s">
        <v>521</v>
      </c>
      <c r="J55" t="s">
        <v>80</v>
      </c>
      <c r="K55" t="s">
        <v>57</v>
      </c>
      <c r="L55">
        <v>69741</v>
      </c>
      <c r="M55">
        <v>109163</v>
      </c>
      <c r="P55" s="40"/>
      <c r="Q55" s="31"/>
      <c r="R55" s="31"/>
      <c r="S55" s="31"/>
      <c r="T55" s="32"/>
      <c r="U55" s="39"/>
    </row>
    <row r="56" spans="1:21" ht="15.75" thickBot="1" x14ac:dyDescent="0.3">
      <c r="A56" s="57">
        <f t="shared" si="0"/>
        <v>46353</v>
      </c>
      <c r="B56" s="58" t="s">
        <v>522</v>
      </c>
      <c r="C56" s="58" t="s">
        <v>80</v>
      </c>
      <c r="D56" s="58" t="s">
        <v>87</v>
      </c>
      <c r="E56" s="59">
        <v>62760</v>
      </c>
      <c r="F56" s="60">
        <v>110686</v>
      </c>
      <c r="H56">
        <f t="shared" si="1"/>
        <v>46353</v>
      </c>
      <c r="I56" t="s">
        <v>522</v>
      </c>
      <c r="J56" t="s">
        <v>80</v>
      </c>
      <c r="K56" t="s">
        <v>87</v>
      </c>
      <c r="L56">
        <v>62760</v>
      </c>
      <c r="M56">
        <v>110686</v>
      </c>
      <c r="P56" s="41"/>
      <c r="Q56" s="33"/>
      <c r="R56" s="33"/>
      <c r="S56" s="33"/>
      <c r="T56" s="34"/>
      <c r="U56" s="42"/>
    </row>
  </sheetData>
  <mergeCells count="4">
    <mergeCell ref="A4:F4"/>
    <mergeCell ref="H4:M4"/>
    <mergeCell ref="P4:U4"/>
    <mergeCell ref="W4:AB4"/>
  </mergeCells>
  <conditionalFormatting sqref="E7:E56">
    <cfRule type="cellIs" dxfId="29" priority="37" operator="equal">
      <formula>20000</formula>
    </cfRule>
    <cfRule type="cellIs" dxfId="28" priority="38" operator="between">
      <formula>50000</formula>
      <formula>100000</formula>
    </cfRule>
    <cfRule type="cellIs" dxfId="27" priority="39" operator="between">
      <formula>"Rs. 65,984"</formula>
      <formula>"Rs. 121,395"</formula>
    </cfRule>
    <cfRule type="cellIs" dxfId="26" priority="40" operator="lessThan">
      <formula>93689</formula>
    </cfRule>
    <cfRule type="cellIs" dxfId="25" priority="41" operator="greaterThan">
      <formula>93689</formula>
    </cfRule>
    <cfRule type="cellIs" dxfId="24" priority="42" operator="greaterThan">
      <formula>"Rs. 93,689"</formula>
    </cfRule>
  </conditionalFormatting>
  <conditionalFormatting sqref="B7:B56">
    <cfRule type="containsText" dxfId="23" priority="36" operator="containsText" text="Ayesha khan">
      <formula>NOT(ISERROR(SEARCH("Ayesha khan",B7)))</formula>
    </cfRule>
  </conditionalFormatting>
  <conditionalFormatting sqref="A8:A56">
    <cfRule type="timePeriod" dxfId="22" priority="34" timePeriod="yesterday">
      <formula>FLOOR(A8,1)=TODAY()-1</formula>
    </cfRule>
    <cfRule type="timePeriod" dxfId="21" priority="35" timePeriod="yesterday">
      <formula>FLOOR(A8,1)=TODAY()-1</formula>
    </cfRule>
  </conditionalFormatting>
  <conditionalFormatting sqref="A7:A56">
    <cfRule type="timePeriod" dxfId="20" priority="31" timePeriod="nextWeek">
      <formula>AND(ROUNDDOWN(A7,0)-TODAY()&gt;(7-WEEKDAY(TODAY())),ROUNDDOWN(A7,0)-TODAY()&lt;(15-WEEKDAY(TODAY())))</formula>
    </cfRule>
    <cfRule type="timePeriod" dxfId="19" priority="32" timePeriod="yesterday">
      <formula>FLOOR(A7,1)=TODAY()-1</formula>
    </cfRule>
    <cfRule type="timePeriod" dxfId="18" priority="33" timePeriod="today">
      <formula>FLOOR(A7,1)=TODAY()</formula>
    </cfRule>
  </conditionalFormatting>
  <conditionalFormatting sqref="F7:F56">
    <cfRule type="uniqueValues" dxfId="17" priority="29"/>
    <cfRule type="duplicateValues" dxfId="16" priority="30"/>
  </conditionalFormatting>
  <conditionalFormatting sqref="T7:T56">
    <cfRule type="cellIs" dxfId="15" priority="9" operator="equal">
      <formula>20000</formula>
    </cfRule>
    <cfRule type="cellIs" dxfId="14" priority="10" operator="between">
      <formula>50000</formula>
      <formula>100000</formula>
    </cfRule>
    <cfRule type="cellIs" dxfId="13" priority="11" operator="between">
      <formula>"Rs. 65,984"</formula>
      <formula>"Rs. 121,395"</formula>
    </cfRule>
    <cfRule type="cellIs" dxfId="12" priority="12" operator="lessThan">
      <formula>93689</formula>
    </cfRule>
    <cfRule type="cellIs" dxfId="11" priority="13" operator="greaterThan">
      <formula>93689</formula>
    </cfRule>
    <cfRule type="cellIs" dxfId="10" priority="14" operator="greaterThan">
      <formula>"Rs. 93,689"</formula>
    </cfRule>
  </conditionalFormatting>
  <conditionalFormatting sqref="Q7:Q56">
    <cfRule type="containsText" dxfId="9" priority="8" operator="containsText" text="Ayesha khan">
      <formula>NOT(ISERROR(SEARCH("Ayesha khan",Q7)))</formula>
    </cfRule>
  </conditionalFormatting>
  <conditionalFormatting sqref="P8:P56">
    <cfRule type="timePeriod" dxfId="8" priority="6" timePeriod="yesterday">
      <formula>FLOOR(P8,1)=TODAY()-1</formula>
    </cfRule>
    <cfRule type="timePeriod" dxfId="7" priority="7" timePeriod="yesterday">
      <formula>FLOOR(P8,1)=TODAY()-1</formula>
    </cfRule>
  </conditionalFormatting>
  <conditionalFormatting sqref="P7:P56">
    <cfRule type="timePeriod" dxfId="6" priority="3" timePeriod="nextWeek">
      <formula>AND(ROUNDDOWN(P7,0)-TODAY()&gt;(7-WEEKDAY(TODAY())),ROUNDDOWN(P7,0)-TODAY()&lt;(15-WEEKDAY(TODAY())))</formula>
    </cfRule>
    <cfRule type="timePeriod" dxfId="5" priority="4" timePeriod="yesterday">
      <formula>FLOOR(P7,1)=TODAY()-1</formula>
    </cfRule>
    <cfRule type="timePeriod" dxfId="4" priority="5" timePeriod="today">
      <formula>FLOOR(P7,1)=TODAY()</formula>
    </cfRule>
  </conditionalFormatting>
  <conditionalFormatting sqref="U7:U56">
    <cfRule type="uniqueValues" dxfId="3" priority="1"/>
    <cfRule type="duplicateValues" dxfId="2"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35C9-1881-44D8-8A07-81190F12B4B5}">
  <dimension ref="B3:M41"/>
  <sheetViews>
    <sheetView topLeftCell="A19" zoomScale="85" zoomScaleNormal="85" workbookViewId="0">
      <selection activeCell="E27" sqref="E27"/>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251" t="s">
        <v>553</v>
      </c>
      <c r="C3" s="251"/>
      <c r="D3" s="251"/>
      <c r="E3" s="251"/>
      <c r="F3" s="251"/>
      <c r="G3" s="252">
        <v>400</v>
      </c>
      <c r="H3" s="252"/>
      <c r="I3" s="252"/>
      <c r="J3" s="252"/>
      <c r="K3" s="252"/>
      <c r="L3" s="252"/>
      <c r="M3" s="252"/>
    </row>
    <row r="4" spans="2:13" x14ac:dyDescent="0.25">
      <c r="B4" s="137" t="s">
        <v>470</v>
      </c>
      <c r="C4" s="137" t="s">
        <v>461</v>
      </c>
      <c r="D4" s="137" t="s">
        <v>462</v>
      </c>
      <c r="E4" s="137" t="s">
        <v>463</v>
      </c>
      <c r="F4" s="137" t="s">
        <v>464</v>
      </c>
      <c r="G4" s="137" t="s">
        <v>552</v>
      </c>
      <c r="H4" s="137" t="s">
        <v>536</v>
      </c>
      <c r="I4" s="137" t="s">
        <v>536</v>
      </c>
      <c r="J4" s="137" t="s">
        <v>554</v>
      </c>
      <c r="K4" s="137" t="s">
        <v>555</v>
      </c>
      <c r="L4" s="137" t="s">
        <v>556</v>
      </c>
      <c r="M4" s="137" t="s">
        <v>557</v>
      </c>
    </row>
    <row r="5" spans="2:13" x14ac:dyDescent="0.25">
      <c r="B5" s="105" t="s">
        <v>473</v>
      </c>
      <c r="C5" s="105">
        <v>40</v>
      </c>
      <c r="D5" s="105">
        <v>46</v>
      </c>
      <c r="E5" s="105">
        <v>63</v>
      </c>
      <c r="F5" s="105">
        <v>66</v>
      </c>
      <c r="G5" s="105">
        <v>215</v>
      </c>
      <c r="H5" s="135">
        <f>G5/400</f>
        <v>0.53749999999999998</v>
      </c>
      <c r="I5" s="135">
        <f>G5/$G$3</f>
        <v>0.53749999999999998</v>
      </c>
      <c r="J5" s="135">
        <f>C5/$G5</f>
        <v>0.18604651162790697</v>
      </c>
      <c r="K5" s="135">
        <f t="shared" ref="K5:M5" si="0">D5/$G5</f>
        <v>0.21395348837209302</v>
      </c>
      <c r="L5" s="135">
        <f t="shared" si="0"/>
        <v>0.2930232558139535</v>
      </c>
      <c r="M5" s="135">
        <f t="shared" si="0"/>
        <v>0.30697674418604654</v>
      </c>
    </row>
    <row r="6" spans="2:13" x14ac:dyDescent="0.25">
      <c r="B6" s="105" t="s">
        <v>474</v>
      </c>
      <c r="C6" s="105">
        <v>9</v>
      </c>
      <c r="D6" s="105">
        <v>13</v>
      </c>
      <c r="E6" s="105">
        <v>98</v>
      </c>
      <c r="F6" s="105">
        <v>19</v>
      </c>
      <c r="G6" s="105">
        <v>139</v>
      </c>
      <c r="H6" s="135">
        <f t="shared" ref="H6:H19" si="1">G6/400</f>
        <v>0.34749999999999998</v>
      </c>
      <c r="I6" s="135">
        <f t="shared" ref="I6:I19" si="2">G6/$G$3</f>
        <v>0.34749999999999998</v>
      </c>
      <c r="J6" s="135">
        <f>C6/$G6</f>
        <v>6.4748201438848921E-2</v>
      </c>
      <c r="K6" s="135">
        <f t="shared" ref="K6:K19" si="3">D6/$G6</f>
        <v>9.3525179856115109E-2</v>
      </c>
      <c r="L6" s="135">
        <f t="shared" ref="L6:L19" si="4">E6/$G6</f>
        <v>0.70503597122302153</v>
      </c>
      <c r="M6" s="135">
        <f t="shared" ref="M6:M19" si="5">F6/$G6</f>
        <v>0.1366906474820144</v>
      </c>
    </row>
    <row r="7" spans="2:13" x14ac:dyDescent="0.25">
      <c r="B7" s="105" t="s">
        <v>475</v>
      </c>
      <c r="C7" s="105">
        <v>82</v>
      </c>
      <c r="D7" s="105">
        <v>43</v>
      </c>
      <c r="E7" s="105">
        <v>63</v>
      </c>
      <c r="F7" s="105">
        <v>84</v>
      </c>
      <c r="G7" s="105">
        <v>272</v>
      </c>
      <c r="H7" s="135">
        <f>G7/400</f>
        <v>0.68</v>
      </c>
      <c r="I7" s="135">
        <f t="shared" si="2"/>
        <v>0.68</v>
      </c>
      <c r="J7" s="135">
        <f t="shared" ref="J7:J19" si="6">C7/$G7</f>
        <v>0.3014705882352941</v>
      </c>
      <c r="K7" s="135">
        <f t="shared" si="3"/>
        <v>0.15808823529411764</v>
      </c>
      <c r="L7" s="135">
        <f t="shared" si="4"/>
        <v>0.23161764705882354</v>
      </c>
      <c r="M7" s="135">
        <f t="shared" si="5"/>
        <v>0.30882352941176472</v>
      </c>
    </row>
    <row r="8" spans="2:13" x14ac:dyDescent="0.25">
      <c r="B8" s="105" t="s">
        <v>476</v>
      </c>
      <c r="C8" s="105">
        <v>32</v>
      </c>
      <c r="D8" s="105">
        <v>48</v>
      </c>
      <c r="E8" s="105">
        <v>26</v>
      </c>
      <c r="F8" s="105">
        <v>81</v>
      </c>
      <c r="G8" s="105">
        <v>187</v>
      </c>
      <c r="H8" s="135">
        <f t="shared" si="1"/>
        <v>0.46750000000000003</v>
      </c>
      <c r="I8" s="135">
        <f t="shared" si="2"/>
        <v>0.46750000000000003</v>
      </c>
      <c r="J8" s="135">
        <f t="shared" si="6"/>
        <v>0.17112299465240641</v>
      </c>
      <c r="K8" s="135">
        <f t="shared" si="3"/>
        <v>0.25668449197860965</v>
      </c>
      <c r="L8" s="135">
        <f t="shared" si="4"/>
        <v>0.13903743315508021</v>
      </c>
      <c r="M8" s="135">
        <f t="shared" si="5"/>
        <v>0.43315508021390375</v>
      </c>
    </row>
    <row r="9" spans="2:13" x14ac:dyDescent="0.25">
      <c r="B9" s="105" t="s">
        <v>477</v>
      </c>
      <c r="C9" s="105">
        <v>20</v>
      </c>
      <c r="D9" s="105">
        <v>3</v>
      </c>
      <c r="E9" s="105">
        <v>76</v>
      </c>
      <c r="F9" s="105">
        <v>78</v>
      </c>
      <c r="G9" s="105">
        <v>177</v>
      </c>
      <c r="H9" s="135">
        <f t="shared" si="1"/>
        <v>0.4425</v>
      </c>
      <c r="I9" s="135">
        <f t="shared" si="2"/>
        <v>0.4425</v>
      </c>
      <c r="J9" s="135">
        <f t="shared" si="6"/>
        <v>0.11299435028248588</v>
      </c>
      <c r="K9" s="135">
        <f t="shared" si="3"/>
        <v>1.6949152542372881E-2</v>
      </c>
      <c r="L9" s="135">
        <f t="shared" si="4"/>
        <v>0.42937853107344631</v>
      </c>
      <c r="M9" s="135">
        <f t="shared" si="5"/>
        <v>0.44067796610169491</v>
      </c>
    </row>
    <row r="10" spans="2:13" x14ac:dyDescent="0.25">
      <c r="B10" s="105" t="s">
        <v>478</v>
      </c>
      <c r="C10" s="105">
        <v>80</v>
      </c>
      <c r="D10" s="105">
        <v>46</v>
      </c>
      <c r="E10" s="105">
        <v>0</v>
      </c>
      <c r="F10" s="105">
        <v>76</v>
      </c>
      <c r="G10" s="105">
        <v>202</v>
      </c>
      <c r="H10" s="135">
        <f t="shared" si="1"/>
        <v>0.505</v>
      </c>
      <c r="I10" s="135">
        <f t="shared" si="2"/>
        <v>0.505</v>
      </c>
      <c r="J10" s="135">
        <f t="shared" si="6"/>
        <v>0.39603960396039606</v>
      </c>
      <c r="K10" s="135">
        <f t="shared" si="3"/>
        <v>0.22772277227722773</v>
      </c>
      <c r="L10" s="135">
        <f t="shared" si="4"/>
        <v>0</v>
      </c>
      <c r="M10" s="135">
        <f t="shared" si="5"/>
        <v>0.37623762376237624</v>
      </c>
    </row>
    <row r="11" spans="2:13" x14ac:dyDescent="0.25">
      <c r="B11" s="105" t="s">
        <v>479</v>
      </c>
      <c r="C11" s="105">
        <v>62</v>
      </c>
      <c r="D11" s="105">
        <v>40</v>
      </c>
      <c r="E11" s="105">
        <v>40</v>
      </c>
      <c r="F11" s="105">
        <v>76</v>
      </c>
      <c r="G11" s="105">
        <v>218</v>
      </c>
      <c r="H11" s="135">
        <f t="shared" si="1"/>
        <v>0.54500000000000004</v>
      </c>
      <c r="I11" s="135">
        <f t="shared" si="2"/>
        <v>0.54500000000000004</v>
      </c>
      <c r="J11" s="135">
        <f t="shared" si="6"/>
        <v>0.28440366972477066</v>
      </c>
      <c r="K11" s="135">
        <f t="shared" si="3"/>
        <v>0.1834862385321101</v>
      </c>
      <c r="L11" s="135">
        <f t="shared" si="4"/>
        <v>0.1834862385321101</v>
      </c>
      <c r="M11" s="135">
        <f t="shared" si="5"/>
        <v>0.34862385321100919</v>
      </c>
    </row>
    <row r="12" spans="2:13" x14ac:dyDescent="0.25">
      <c r="B12" s="105" t="s">
        <v>549</v>
      </c>
      <c r="C12" s="105">
        <v>11</v>
      </c>
      <c r="D12" s="105">
        <v>88</v>
      </c>
      <c r="E12" s="105">
        <v>23</v>
      </c>
      <c r="F12" s="105">
        <v>77</v>
      </c>
      <c r="G12" s="105">
        <v>199</v>
      </c>
      <c r="H12" s="135">
        <f t="shared" si="1"/>
        <v>0.4975</v>
      </c>
      <c r="I12" s="135">
        <f t="shared" si="2"/>
        <v>0.4975</v>
      </c>
      <c r="J12" s="135">
        <f t="shared" si="6"/>
        <v>5.5276381909547742E-2</v>
      </c>
      <c r="K12" s="135">
        <f t="shared" si="3"/>
        <v>0.44221105527638194</v>
      </c>
      <c r="L12" s="135">
        <f t="shared" si="4"/>
        <v>0.11557788944723618</v>
      </c>
      <c r="M12" s="135">
        <f t="shared" si="5"/>
        <v>0.38693467336683418</v>
      </c>
    </row>
    <row r="13" spans="2:13" x14ac:dyDescent="0.25">
      <c r="B13" s="105" t="s">
        <v>481</v>
      </c>
      <c r="C13" s="105">
        <v>62</v>
      </c>
      <c r="D13" s="105">
        <v>61</v>
      </c>
      <c r="E13" s="105">
        <v>93</v>
      </c>
      <c r="F13" s="105">
        <v>95</v>
      </c>
      <c r="G13" s="105">
        <v>311</v>
      </c>
      <c r="H13" s="135">
        <f t="shared" si="1"/>
        <v>0.77749999999999997</v>
      </c>
      <c r="I13" s="135">
        <f t="shared" si="2"/>
        <v>0.77749999999999997</v>
      </c>
      <c r="J13" s="135">
        <f t="shared" si="6"/>
        <v>0.19935691318327975</v>
      </c>
      <c r="K13" s="135">
        <f t="shared" si="3"/>
        <v>0.19614147909967847</v>
      </c>
      <c r="L13" s="135">
        <f t="shared" si="4"/>
        <v>0.29903536977491962</v>
      </c>
      <c r="M13" s="135">
        <f t="shared" si="5"/>
        <v>0.30546623794212219</v>
      </c>
    </row>
    <row r="14" spans="2:13" x14ac:dyDescent="0.25">
      <c r="B14" s="105" t="s">
        <v>482</v>
      </c>
      <c r="C14" s="105">
        <v>7</v>
      </c>
      <c r="D14" s="105">
        <v>63</v>
      </c>
      <c r="E14" s="105">
        <v>37</v>
      </c>
      <c r="F14" s="105">
        <v>80</v>
      </c>
      <c r="G14" s="105">
        <v>187</v>
      </c>
      <c r="H14" s="135">
        <f t="shared" si="1"/>
        <v>0.46750000000000003</v>
      </c>
      <c r="I14" s="135">
        <f t="shared" si="2"/>
        <v>0.46750000000000003</v>
      </c>
      <c r="J14" s="135">
        <f t="shared" si="6"/>
        <v>3.7433155080213901E-2</v>
      </c>
      <c r="K14" s="135">
        <f t="shared" si="3"/>
        <v>0.33689839572192515</v>
      </c>
      <c r="L14" s="135">
        <f t="shared" si="4"/>
        <v>0.19786096256684493</v>
      </c>
      <c r="M14" s="135">
        <f t="shared" si="5"/>
        <v>0.42780748663101603</v>
      </c>
    </row>
    <row r="15" spans="2:13" x14ac:dyDescent="0.25">
      <c r="B15" s="105" t="s">
        <v>550</v>
      </c>
      <c r="C15" s="105">
        <v>97</v>
      </c>
      <c r="D15" s="105">
        <v>47</v>
      </c>
      <c r="E15" s="105">
        <v>26</v>
      </c>
      <c r="F15" s="105">
        <v>99</v>
      </c>
      <c r="G15" s="105">
        <v>269</v>
      </c>
      <c r="H15" s="135">
        <f t="shared" si="1"/>
        <v>0.67249999999999999</v>
      </c>
      <c r="I15" s="135">
        <f t="shared" si="2"/>
        <v>0.67249999999999999</v>
      </c>
      <c r="J15" s="135">
        <f t="shared" si="6"/>
        <v>0.36059479553903345</v>
      </c>
      <c r="K15" s="135">
        <f t="shared" si="3"/>
        <v>0.17472118959107807</v>
      </c>
      <c r="L15" s="135">
        <f t="shared" si="4"/>
        <v>9.6654275092936809E-2</v>
      </c>
      <c r="M15" s="135">
        <f t="shared" si="5"/>
        <v>0.36802973977695169</v>
      </c>
    </row>
    <row r="16" spans="2:13" x14ac:dyDescent="0.25">
      <c r="B16" s="105" t="s">
        <v>484</v>
      </c>
      <c r="C16" s="105">
        <v>6</v>
      </c>
      <c r="D16" s="105">
        <v>63</v>
      </c>
      <c r="E16" s="105">
        <v>68</v>
      </c>
      <c r="F16" s="105">
        <v>39</v>
      </c>
      <c r="G16" s="105">
        <v>176</v>
      </c>
      <c r="H16" s="135">
        <f t="shared" si="1"/>
        <v>0.44</v>
      </c>
      <c r="I16" s="135">
        <f t="shared" si="2"/>
        <v>0.44</v>
      </c>
      <c r="J16" s="135">
        <f t="shared" si="6"/>
        <v>3.4090909090909088E-2</v>
      </c>
      <c r="K16" s="135">
        <f t="shared" si="3"/>
        <v>0.35795454545454547</v>
      </c>
      <c r="L16" s="135">
        <f t="shared" si="4"/>
        <v>0.38636363636363635</v>
      </c>
      <c r="M16" s="135">
        <f t="shared" si="5"/>
        <v>0.22159090909090909</v>
      </c>
    </row>
    <row r="17" spans="2:13" x14ac:dyDescent="0.25">
      <c r="B17" s="105" t="s">
        <v>551</v>
      </c>
      <c r="C17" s="105">
        <v>18</v>
      </c>
      <c r="D17" s="105">
        <v>26</v>
      </c>
      <c r="E17" s="105">
        <v>40</v>
      </c>
      <c r="F17" s="105">
        <v>5</v>
      </c>
      <c r="G17" s="105">
        <v>89</v>
      </c>
      <c r="H17" s="135">
        <f t="shared" si="1"/>
        <v>0.2225</v>
      </c>
      <c r="I17" s="135">
        <f t="shared" si="2"/>
        <v>0.2225</v>
      </c>
      <c r="J17" s="135">
        <f t="shared" si="6"/>
        <v>0.20224719101123595</v>
      </c>
      <c r="K17" s="135">
        <f t="shared" si="3"/>
        <v>0.29213483146067415</v>
      </c>
      <c r="L17" s="135">
        <f t="shared" si="4"/>
        <v>0.449438202247191</v>
      </c>
      <c r="M17" s="135">
        <f t="shared" si="5"/>
        <v>5.6179775280898875E-2</v>
      </c>
    </row>
    <row r="18" spans="2:13" x14ac:dyDescent="0.25">
      <c r="B18" s="105" t="s">
        <v>486</v>
      </c>
      <c r="C18" s="105">
        <v>40</v>
      </c>
      <c r="D18" s="105">
        <v>77</v>
      </c>
      <c r="E18" s="105">
        <v>69</v>
      </c>
      <c r="F18" s="105">
        <v>40</v>
      </c>
      <c r="G18" s="105">
        <v>226</v>
      </c>
      <c r="H18" s="135">
        <f t="shared" si="1"/>
        <v>0.56499999999999995</v>
      </c>
      <c r="I18" s="135">
        <f t="shared" si="2"/>
        <v>0.56499999999999995</v>
      </c>
      <c r="J18" s="135">
        <f t="shared" si="6"/>
        <v>0.17699115044247787</v>
      </c>
      <c r="K18" s="135">
        <f t="shared" si="3"/>
        <v>0.34070796460176989</v>
      </c>
      <c r="L18" s="135">
        <f t="shared" si="4"/>
        <v>0.30530973451327431</v>
      </c>
      <c r="M18" s="135">
        <f t="shared" si="5"/>
        <v>0.17699115044247787</v>
      </c>
    </row>
    <row r="19" spans="2:13" ht="15.75" thickBot="1" x14ac:dyDescent="0.3">
      <c r="B19" s="139" t="s">
        <v>487</v>
      </c>
      <c r="C19" s="139">
        <v>52</v>
      </c>
      <c r="D19" s="139">
        <v>81</v>
      </c>
      <c r="E19" s="139">
        <v>39</v>
      </c>
      <c r="F19" s="139">
        <v>11</v>
      </c>
      <c r="G19" s="139">
        <v>183</v>
      </c>
      <c r="H19" s="140">
        <f t="shared" si="1"/>
        <v>0.45750000000000002</v>
      </c>
      <c r="I19" s="140">
        <f t="shared" si="2"/>
        <v>0.45750000000000002</v>
      </c>
      <c r="J19" s="135">
        <f t="shared" si="6"/>
        <v>0.28415300546448086</v>
      </c>
      <c r="K19" s="135">
        <f t="shared" si="3"/>
        <v>0.44262295081967212</v>
      </c>
      <c r="L19" s="135">
        <f t="shared" si="4"/>
        <v>0.21311475409836064</v>
      </c>
      <c r="M19" s="135">
        <f t="shared" si="5"/>
        <v>6.0109289617486336E-2</v>
      </c>
    </row>
    <row r="25" spans="2:13" x14ac:dyDescent="0.25">
      <c r="B25" s="251" t="s">
        <v>553</v>
      </c>
      <c r="C25" s="251"/>
      <c r="D25" s="251"/>
      <c r="E25" s="251"/>
      <c r="F25" s="251"/>
      <c r="G25" s="253">
        <v>400</v>
      </c>
      <c r="H25" s="254"/>
      <c r="I25" s="254"/>
    </row>
    <row r="26" spans="2:13" x14ac:dyDescent="0.25">
      <c r="B26" s="137" t="s">
        <v>470</v>
      </c>
      <c r="C26" s="137" t="s">
        <v>461</v>
      </c>
      <c r="D26" s="137" t="s">
        <v>462</v>
      </c>
      <c r="E26" s="137" t="s">
        <v>463</v>
      </c>
      <c r="F26" s="137" t="s">
        <v>464</v>
      </c>
      <c r="G26" s="137" t="s">
        <v>552</v>
      </c>
      <c r="H26" s="137" t="s">
        <v>536</v>
      </c>
      <c r="I26" s="138" t="s">
        <v>558</v>
      </c>
    </row>
    <row r="27" spans="2:13" x14ac:dyDescent="0.25">
      <c r="B27" s="105" t="s">
        <v>473</v>
      </c>
      <c r="C27" s="105">
        <v>40</v>
      </c>
      <c r="D27" s="105">
        <v>46</v>
      </c>
      <c r="E27" s="105">
        <v>63</v>
      </c>
      <c r="F27" s="105">
        <v>66</v>
      </c>
      <c r="G27" s="105">
        <v>215</v>
      </c>
      <c r="H27" s="135">
        <f>G27/400</f>
        <v>0.53749999999999998</v>
      </c>
      <c r="I27" s="141">
        <f>RANK(H27,$H$27:$H$41,0)</f>
        <v>6</v>
      </c>
    </row>
    <row r="28" spans="2:13" x14ac:dyDescent="0.25">
      <c r="B28" s="105" t="s">
        <v>474</v>
      </c>
      <c r="C28" s="105">
        <v>9</v>
      </c>
      <c r="D28" s="105">
        <v>13</v>
      </c>
      <c r="E28" s="105">
        <v>98</v>
      </c>
      <c r="F28" s="105">
        <v>19</v>
      </c>
      <c r="G28" s="105">
        <v>139</v>
      </c>
      <c r="H28" s="135">
        <f t="shared" ref="H28:H41" si="7">G28/400</f>
        <v>0.34749999999999998</v>
      </c>
      <c r="I28" s="141">
        <f t="shared" ref="I28:I41" si="8">RANK(H28,$H$27:$H$41,0)</f>
        <v>14</v>
      </c>
    </row>
    <row r="29" spans="2:13" x14ac:dyDescent="0.25">
      <c r="B29" s="105" t="s">
        <v>475</v>
      </c>
      <c r="C29" s="105">
        <v>82</v>
      </c>
      <c r="D29" s="105">
        <v>43</v>
      </c>
      <c r="E29" s="105">
        <v>63</v>
      </c>
      <c r="F29" s="105">
        <v>84</v>
      </c>
      <c r="G29" s="105">
        <v>272</v>
      </c>
      <c r="H29" s="135">
        <f t="shared" si="7"/>
        <v>0.68</v>
      </c>
      <c r="I29" s="141">
        <f t="shared" si="8"/>
        <v>2</v>
      </c>
    </row>
    <row r="30" spans="2:13" x14ac:dyDescent="0.25">
      <c r="B30" s="105" t="s">
        <v>476</v>
      </c>
      <c r="C30" s="105">
        <v>32</v>
      </c>
      <c r="D30" s="105">
        <v>48</v>
      </c>
      <c r="E30" s="105">
        <v>26</v>
      </c>
      <c r="F30" s="105">
        <v>81</v>
      </c>
      <c r="G30" s="105">
        <v>187</v>
      </c>
      <c r="H30" s="135">
        <f t="shared" si="7"/>
        <v>0.46750000000000003</v>
      </c>
      <c r="I30" s="141">
        <f t="shared" si="8"/>
        <v>9</v>
      </c>
    </row>
    <row r="31" spans="2:13" x14ac:dyDescent="0.25">
      <c r="B31" s="105" t="s">
        <v>477</v>
      </c>
      <c r="C31" s="105">
        <v>20</v>
      </c>
      <c r="D31" s="105">
        <v>3</v>
      </c>
      <c r="E31" s="105">
        <v>76</v>
      </c>
      <c r="F31" s="105">
        <v>78</v>
      </c>
      <c r="G31" s="105">
        <v>177</v>
      </c>
      <c r="H31" s="135">
        <f t="shared" si="7"/>
        <v>0.4425</v>
      </c>
      <c r="I31" s="141">
        <f t="shared" si="8"/>
        <v>12</v>
      </c>
    </row>
    <row r="32" spans="2:13" x14ac:dyDescent="0.25">
      <c r="B32" s="105" t="s">
        <v>478</v>
      </c>
      <c r="C32" s="105">
        <v>80</v>
      </c>
      <c r="D32" s="105">
        <v>46</v>
      </c>
      <c r="E32" s="105">
        <v>0</v>
      </c>
      <c r="F32" s="105">
        <v>76</v>
      </c>
      <c r="G32" s="105">
        <v>202</v>
      </c>
      <c r="H32" s="135">
        <f t="shared" si="7"/>
        <v>0.505</v>
      </c>
      <c r="I32" s="141">
        <f t="shared" si="8"/>
        <v>7</v>
      </c>
    </row>
    <row r="33" spans="2:9" x14ac:dyDescent="0.25">
      <c r="B33" s="105" t="s">
        <v>479</v>
      </c>
      <c r="C33" s="105">
        <v>62</v>
      </c>
      <c r="D33" s="105">
        <v>40</v>
      </c>
      <c r="E33" s="105">
        <v>40</v>
      </c>
      <c r="F33" s="105">
        <v>76</v>
      </c>
      <c r="G33" s="105">
        <v>218</v>
      </c>
      <c r="H33" s="135">
        <f t="shared" si="7"/>
        <v>0.54500000000000004</v>
      </c>
      <c r="I33" s="141">
        <f t="shared" si="8"/>
        <v>5</v>
      </c>
    </row>
    <row r="34" spans="2:9" x14ac:dyDescent="0.25">
      <c r="B34" s="105" t="s">
        <v>549</v>
      </c>
      <c r="C34" s="105">
        <v>11</v>
      </c>
      <c r="D34" s="105">
        <v>88</v>
      </c>
      <c r="E34" s="105">
        <v>23</v>
      </c>
      <c r="F34" s="105">
        <v>77</v>
      </c>
      <c r="G34" s="105">
        <v>199</v>
      </c>
      <c r="H34" s="135">
        <f t="shared" si="7"/>
        <v>0.4975</v>
      </c>
      <c r="I34" s="141">
        <f t="shared" si="8"/>
        <v>8</v>
      </c>
    </row>
    <row r="35" spans="2:9" x14ac:dyDescent="0.25">
      <c r="B35" s="105" t="s">
        <v>481</v>
      </c>
      <c r="C35" s="105">
        <v>62</v>
      </c>
      <c r="D35" s="105">
        <v>61</v>
      </c>
      <c r="E35" s="105">
        <v>93</v>
      </c>
      <c r="F35" s="105">
        <v>95</v>
      </c>
      <c r="G35" s="105">
        <v>311</v>
      </c>
      <c r="H35" s="135">
        <f t="shared" si="7"/>
        <v>0.77749999999999997</v>
      </c>
      <c r="I35" s="141">
        <f t="shared" si="8"/>
        <v>1</v>
      </c>
    </row>
    <row r="36" spans="2:9" x14ac:dyDescent="0.25">
      <c r="B36" s="105" t="s">
        <v>482</v>
      </c>
      <c r="C36" s="105">
        <v>7</v>
      </c>
      <c r="D36" s="105">
        <v>63</v>
      </c>
      <c r="E36" s="105">
        <v>37</v>
      </c>
      <c r="F36" s="105">
        <v>80</v>
      </c>
      <c r="G36" s="105">
        <v>187</v>
      </c>
      <c r="H36" s="135">
        <f t="shared" si="7"/>
        <v>0.46750000000000003</v>
      </c>
      <c r="I36" s="141">
        <f t="shared" si="8"/>
        <v>9</v>
      </c>
    </row>
    <row r="37" spans="2:9" x14ac:dyDescent="0.25">
      <c r="B37" s="105" t="s">
        <v>550</v>
      </c>
      <c r="C37" s="105">
        <v>97</v>
      </c>
      <c r="D37" s="105">
        <v>47</v>
      </c>
      <c r="E37" s="105">
        <v>26</v>
      </c>
      <c r="F37" s="105">
        <v>99</v>
      </c>
      <c r="G37" s="105">
        <v>269</v>
      </c>
      <c r="H37" s="135">
        <f t="shared" si="7"/>
        <v>0.67249999999999999</v>
      </c>
      <c r="I37" s="141">
        <f t="shared" si="8"/>
        <v>3</v>
      </c>
    </row>
    <row r="38" spans="2:9" x14ac:dyDescent="0.25">
      <c r="B38" s="105" t="s">
        <v>484</v>
      </c>
      <c r="C38" s="105">
        <v>6</v>
      </c>
      <c r="D38" s="105">
        <v>63</v>
      </c>
      <c r="E38" s="105">
        <v>68</v>
      </c>
      <c r="F38" s="105">
        <v>39</v>
      </c>
      <c r="G38" s="105">
        <v>176</v>
      </c>
      <c r="H38" s="135">
        <f t="shared" si="7"/>
        <v>0.44</v>
      </c>
      <c r="I38" s="141">
        <f t="shared" si="8"/>
        <v>13</v>
      </c>
    </row>
    <row r="39" spans="2:9" x14ac:dyDescent="0.25">
      <c r="B39" s="105" t="s">
        <v>551</v>
      </c>
      <c r="C39" s="105">
        <v>18</v>
      </c>
      <c r="D39" s="105">
        <v>26</v>
      </c>
      <c r="E39" s="105">
        <v>40</v>
      </c>
      <c r="F39" s="105">
        <v>5</v>
      </c>
      <c r="G39" s="105">
        <v>89</v>
      </c>
      <c r="H39" s="135">
        <f t="shared" si="7"/>
        <v>0.2225</v>
      </c>
      <c r="I39" s="141">
        <f t="shared" si="8"/>
        <v>15</v>
      </c>
    </row>
    <row r="40" spans="2:9" x14ac:dyDescent="0.25">
      <c r="B40" s="105" t="s">
        <v>486</v>
      </c>
      <c r="C40" s="105">
        <v>40</v>
      </c>
      <c r="D40" s="105">
        <v>77</v>
      </c>
      <c r="E40" s="105">
        <v>69</v>
      </c>
      <c r="F40" s="105">
        <v>40</v>
      </c>
      <c r="G40" s="105">
        <v>226</v>
      </c>
      <c r="H40" s="135">
        <f t="shared" si="7"/>
        <v>0.56499999999999995</v>
      </c>
      <c r="I40" s="141">
        <f t="shared" si="8"/>
        <v>4</v>
      </c>
    </row>
    <row r="41" spans="2:9" ht="15.75" thickBot="1" x14ac:dyDescent="0.3">
      <c r="B41" s="139" t="s">
        <v>487</v>
      </c>
      <c r="C41" s="139">
        <v>52</v>
      </c>
      <c r="D41" s="139">
        <v>81</v>
      </c>
      <c r="E41" s="139">
        <v>39</v>
      </c>
      <c r="F41" s="139">
        <v>11</v>
      </c>
      <c r="G41" s="139">
        <v>183</v>
      </c>
      <c r="H41" s="140">
        <f t="shared" si="7"/>
        <v>0.45750000000000002</v>
      </c>
      <c r="I41" s="141">
        <f t="shared" si="8"/>
        <v>11</v>
      </c>
    </row>
  </sheetData>
  <mergeCells count="4">
    <mergeCell ref="B3:F3"/>
    <mergeCell ref="G3:M3"/>
    <mergeCell ref="B25:F25"/>
    <mergeCell ref="G25:I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D35D-42B3-4FB6-B1C2-2E99B2FC7CC6}">
  <dimension ref="B2:G24"/>
  <sheetViews>
    <sheetView showGridLines="0" zoomScaleNormal="100" workbookViewId="0">
      <selection activeCell="C4" sqref="B3:G24"/>
    </sheetView>
  </sheetViews>
  <sheetFormatPr defaultRowHeight="15" x14ac:dyDescent="0.25"/>
  <cols>
    <col min="2" max="2" width="9.140625" customWidth="1"/>
    <col min="3" max="3" width="18.140625" customWidth="1"/>
    <col min="4" max="4" width="35.28515625" customWidth="1"/>
    <col min="5" max="5" width="40" customWidth="1"/>
    <col min="6" max="6" width="30.42578125" customWidth="1"/>
    <col min="7" max="7" width="47.5703125" customWidth="1"/>
  </cols>
  <sheetData>
    <row r="2" spans="2:7" ht="15.75" thickBot="1" x14ac:dyDescent="0.3"/>
    <row r="3" spans="2:7" x14ac:dyDescent="0.25">
      <c r="B3" s="142" t="s">
        <v>559</v>
      </c>
      <c r="C3" s="143" t="s">
        <v>560</v>
      </c>
      <c r="D3" s="143" t="s">
        <v>561</v>
      </c>
      <c r="E3" s="143" t="s">
        <v>645</v>
      </c>
      <c r="F3" s="143" t="s">
        <v>562</v>
      </c>
      <c r="G3" s="144" t="s">
        <v>563</v>
      </c>
    </row>
    <row r="4" spans="2:7" x14ac:dyDescent="0.25">
      <c r="B4" s="163">
        <v>1</v>
      </c>
      <c r="C4" s="164" t="s">
        <v>564</v>
      </c>
      <c r="D4" s="165" t="s">
        <v>565</v>
      </c>
      <c r="E4" s="165" t="s">
        <v>566</v>
      </c>
      <c r="F4" s="165" t="s">
        <v>567</v>
      </c>
      <c r="G4" s="166" t="s">
        <v>648</v>
      </c>
    </row>
    <row r="5" spans="2:7" x14ac:dyDescent="0.25">
      <c r="B5" s="163">
        <v>2</v>
      </c>
      <c r="C5" s="164" t="s">
        <v>568</v>
      </c>
      <c r="D5" s="165" t="s">
        <v>569</v>
      </c>
      <c r="E5" s="165" t="s">
        <v>570</v>
      </c>
      <c r="F5" s="165" t="s">
        <v>571</v>
      </c>
      <c r="G5" s="166" t="s">
        <v>649</v>
      </c>
    </row>
    <row r="6" spans="2:7" x14ac:dyDescent="0.25">
      <c r="B6" s="163">
        <v>3</v>
      </c>
      <c r="C6" s="164" t="s">
        <v>572</v>
      </c>
      <c r="D6" s="165" t="s">
        <v>573</v>
      </c>
      <c r="E6" s="165" t="s">
        <v>574</v>
      </c>
      <c r="F6" s="165" t="s">
        <v>575</v>
      </c>
      <c r="G6" s="166" t="s">
        <v>653</v>
      </c>
    </row>
    <row r="7" spans="2:7" x14ac:dyDescent="0.25">
      <c r="B7" s="151">
        <v>4</v>
      </c>
      <c r="C7" s="152" t="s">
        <v>576</v>
      </c>
      <c r="D7" s="153" t="s">
        <v>577</v>
      </c>
      <c r="E7" s="153" t="s">
        <v>578</v>
      </c>
      <c r="F7" s="153" t="s">
        <v>579</v>
      </c>
      <c r="G7" s="154" t="s">
        <v>654</v>
      </c>
    </row>
    <row r="8" spans="2:7" x14ac:dyDescent="0.25">
      <c r="B8" s="151">
        <v>5</v>
      </c>
      <c r="C8" s="152" t="s">
        <v>580</v>
      </c>
      <c r="D8" s="153" t="s">
        <v>581</v>
      </c>
      <c r="E8" s="153" t="s">
        <v>582</v>
      </c>
      <c r="F8" s="153" t="s">
        <v>583</v>
      </c>
      <c r="G8" s="154" t="s">
        <v>655</v>
      </c>
    </row>
    <row r="9" spans="2:7" x14ac:dyDescent="0.25">
      <c r="B9" s="155">
        <v>6</v>
      </c>
      <c r="C9" s="156" t="s">
        <v>584</v>
      </c>
      <c r="D9" s="157" t="s">
        <v>585</v>
      </c>
      <c r="E9" s="157" t="s">
        <v>586</v>
      </c>
      <c r="F9" s="157" t="s">
        <v>587</v>
      </c>
      <c r="G9" s="158" t="s">
        <v>656</v>
      </c>
    </row>
    <row r="10" spans="2:7" x14ac:dyDescent="0.25">
      <c r="B10" s="155">
        <v>7</v>
      </c>
      <c r="C10" s="156" t="s">
        <v>588</v>
      </c>
      <c r="D10" s="157" t="s">
        <v>589</v>
      </c>
      <c r="E10" s="157" t="s">
        <v>590</v>
      </c>
      <c r="F10" s="157" t="s">
        <v>591</v>
      </c>
      <c r="G10" s="158" t="s">
        <v>657</v>
      </c>
    </row>
    <row r="11" spans="2:7" x14ac:dyDescent="0.25">
      <c r="B11" s="155">
        <v>8</v>
      </c>
      <c r="C11" s="156" t="s">
        <v>592</v>
      </c>
      <c r="D11" s="157" t="s">
        <v>593</v>
      </c>
      <c r="E11" s="157" t="s">
        <v>594</v>
      </c>
      <c r="F11" s="157" t="s">
        <v>595</v>
      </c>
      <c r="G11" s="158" t="s">
        <v>650</v>
      </c>
    </row>
    <row r="12" spans="2:7" x14ac:dyDescent="0.25">
      <c r="B12" s="159">
        <v>9</v>
      </c>
      <c r="C12" s="160" t="s">
        <v>596</v>
      </c>
      <c r="D12" s="161" t="s">
        <v>597</v>
      </c>
      <c r="E12" s="161" t="s">
        <v>598</v>
      </c>
      <c r="F12" s="161" t="s">
        <v>599</v>
      </c>
      <c r="G12" s="162" t="s">
        <v>658</v>
      </c>
    </row>
    <row r="13" spans="2:7" x14ac:dyDescent="0.25">
      <c r="B13" s="159">
        <v>10</v>
      </c>
      <c r="C13" s="160" t="s">
        <v>600</v>
      </c>
      <c r="D13" s="161" t="s">
        <v>601</v>
      </c>
      <c r="E13" s="161" t="s">
        <v>602</v>
      </c>
      <c r="F13" s="161" t="s">
        <v>603</v>
      </c>
      <c r="G13" s="162" t="s">
        <v>659</v>
      </c>
    </row>
    <row r="14" spans="2:7" ht="25.5" x14ac:dyDescent="0.25">
      <c r="B14" s="159">
        <v>11</v>
      </c>
      <c r="C14" s="160" t="s">
        <v>604</v>
      </c>
      <c r="D14" s="161" t="s">
        <v>605</v>
      </c>
      <c r="E14" s="161" t="s">
        <v>606</v>
      </c>
      <c r="F14" s="161" t="s">
        <v>607</v>
      </c>
      <c r="G14" s="162" t="s">
        <v>660</v>
      </c>
    </row>
    <row r="15" spans="2:7" x14ac:dyDescent="0.25">
      <c r="B15" s="175">
        <v>12</v>
      </c>
      <c r="C15" s="176" t="s">
        <v>608</v>
      </c>
      <c r="D15" s="177" t="s">
        <v>609</v>
      </c>
      <c r="E15" s="177" t="s">
        <v>610</v>
      </c>
      <c r="F15" s="177" t="s">
        <v>611</v>
      </c>
      <c r="G15" s="178" t="s">
        <v>651</v>
      </c>
    </row>
    <row r="16" spans="2:7" x14ac:dyDescent="0.25">
      <c r="B16" s="175">
        <v>13</v>
      </c>
      <c r="C16" s="176" t="s">
        <v>612</v>
      </c>
      <c r="D16" s="177" t="s">
        <v>613</v>
      </c>
      <c r="E16" s="177" t="s">
        <v>614</v>
      </c>
      <c r="F16" s="177" t="s">
        <v>615</v>
      </c>
      <c r="G16" s="178" t="s">
        <v>652</v>
      </c>
    </row>
    <row r="17" spans="2:7" ht="25.5" x14ac:dyDescent="0.25">
      <c r="B17" s="179">
        <v>14</v>
      </c>
      <c r="C17" s="180" t="s">
        <v>616</v>
      </c>
      <c r="D17" s="181" t="s">
        <v>617</v>
      </c>
      <c r="E17" s="181" t="s">
        <v>618</v>
      </c>
      <c r="F17" s="181" t="s">
        <v>619</v>
      </c>
      <c r="G17" s="182" t="s">
        <v>661</v>
      </c>
    </row>
    <row r="18" spans="2:7" ht="25.5" x14ac:dyDescent="0.25">
      <c r="B18" s="179">
        <v>15</v>
      </c>
      <c r="C18" s="180" t="s">
        <v>620</v>
      </c>
      <c r="D18" s="181" t="s">
        <v>621</v>
      </c>
      <c r="E18" s="181" t="s">
        <v>622</v>
      </c>
      <c r="F18" s="181" t="s">
        <v>623</v>
      </c>
      <c r="G18" s="182" t="s">
        <v>662</v>
      </c>
    </row>
    <row r="19" spans="2:7" x14ac:dyDescent="0.25">
      <c r="B19" s="151">
        <v>16</v>
      </c>
      <c r="C19" s="152" t="s">
        <v>624</v>
      </c>
      <c r="D19" s="153" t="s">
        <v>625</v>
      </c>
      <c r="E19" s="153" t="s">
        <v>626</v>
      </c>
      <c r="F19" s="153" t="s">
        <v>627</v>
      </c>
      <c r="G19" s="154" t="s">
        <v>663</v>
      </c>
    </row>
    <row r="20" spans="2:7" x14ac:dyDescent="0.25">
      <c r="B20" s="151">
        <v>17</v>
      </c>
      <c r="C20" s="152" t="s">
        <v>628</v>
      </c>
      <c r="D20" s="153" t="s">
        <v>629</v>
      </c>
      <c r="E20" s="153" t="s">
        <v>630</v>
      </c>
      <c r="F20" s="153" t="s">
        <v>631</v>
      </c>
      <c r="G20" s="154" t="s">
        <v>666</v>
      </c>
    </row>
    <row r="21" spans="2:7" x14ac:dyDescent="0.25">
      <c r="B21" s="151">
        <v>18</v>
      </c>
      <c r="C21" s="152" t="s">
        <v>632</v>
      </c>
      <c r="D21" s="153" t="s">
        <v>633</v>
      </c>
      <c r="E21" s="153" t="s">
        <v>634</v>
      </c>
      <c r="F21" s="153" t="s">
        <v>635</v>
      </c>
      <c r="G21" s="154" t="s">
        <v>664</v>
      </c>
    </row>
    <row r="22" spans="2:7" x14ac:dyDescent="0.25">
      <c r="B22" s="151" t="s">
        <v>636</v>
      </c>
      <c r="C22" s="152" t="s">
        <v>637</v>
      </c>
      <c r="D22" s="153" t="s">
        <v>638</v>
      </c>
      <c r="E22" s="153" t="s">
        <v>639</v>
      </c>
      <c r="F22" s="153" t="s">
        <v>640</v>
      </c>
      <c r="G22" s="154" t="s">
        <v>665</v>
      </c>
    </row>
    <row r="23" spans="2:7" ht="15.75" thickBot="1" x14ac:dyDescent="0.3">
      <c r="B23" s="171">
        <v>20</v>
      </c>
      <c r="C23" s="172" t="s">
        <v>641</v>
      </c>
      <c r="D23" s="173" t="s">
        <v>642</v>
      </c>
      <c r="E23" s="173" t="s">
        <v>643</v>
      </c>
      <c r="F23" s="173" t="s">
        <v>644</v>
      </c>
      <c r="G23" s="174" t="s">
        <v>535</v>
      </c>
    </row>
    <row r="24" spans="2:7" ht="15.75" thickBot="1" x14ac:dyDescent="0.3">
      <c r="B24" s="255" t="s">
        <v>734</v>
      </c>
      <c r="C24" s="256"/>
      <c r="D24" s="256"/>
      <c r="E24" s="256"/>
      <c r="F24" s="256"/>
      <c r="G24" s="257"/>
    </row>
  </sheetData>
  <mergeCells count="1">
    <mergeCell ref="B24:G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D473-BB1A-4083-B1E9-1F028EFD68A4}">
  <sheetPr>
    <pageSetUpPr autoPageBreaks="0"/>
  </sheetPr>
  <dimension ref="B1:Y100"/>
  <sheetViews>
    <sheetView topLeftCell="A37" zoomScale="55" zoomScaleNormal="55" workbookViewId="0">
      <selection activeCell="G59" sqref="G59:I70"/>
    </sheetView>
  </sheetViews>
  <sheetFormatPr defaultRowHeight="15" x14ac:dyDescent="0.25"/>
  <cols>
    <col min="2" max="2" width="17.85546875" bestFit="1" customWidth="1"/>
    <col min="3" max="4" width="17.5703125" bestFit="1" customWidth="1"/>
    <col min="5" max="5" width="26.7109375" bestFit="1" customWidth="1"/>
    <col min="6" max="6" width="22.42578125" bestFit="1" customWidth="1"/>
    <col min="7" max="7" width="22.85546875" customWidth="1"/>
    <col min="8" max="8" width="18.5703125" bestFit="1" customWidth="1"/>
    <col min="9" max="9" width="17.85546875" bestFit="1" customWidth="1"/>
    <col min="10" max="10" width="15.28515625" customWidth="1"/>
    <col min="11" max="11" width="19.5703125" customWidth="1"/>
    <col min="12" max="12" width="15.5703125" customWidth="1"/>
    <col min="13" max="13" width="15.42578125" customWidth="1"/>
    <col min="15" max="15" width="19.5703125" customWidth="1"/>
    <col min="16" max="16" width="15.5703125" customWidth="1"/>
    <col min="17" max="17" width="15.42578125" customWidth="1"/>
    <col min="19" max="19" width="19.5703125" customWidth="1"/>
    <col min="20" max="20" width="15.5703125" customWidth="1"/>
    <col min="21" max="21" width="15.42578125" customWidth="1"/>
    <col min="23" max="23" width="14.85546875" bestFit="1" customWidth="1"/>
    <col min="24" max="24" width="18.5703125" bestFit="1" customWidth="1"/>
    <col min="25" max="25" width="17.85546875" bestFit="1" customWidth="1"/>
  </cols>
  <sheetData>
    <row r="1" spans="2:9" ht="15.75" thickBot="1" x14ac:dyDescent="0.3"/>
    <row r="2" spans="2:9" x14ac:dyDescent="0.25">
      <c r="B2" s="258" t="s">
        <v>564</v>
      </c>
      <c r="C2" s="259"/>
      <c r="D2" s="145"/>
      <c r="E2" s="258" t="s">
        <v>568</v>
      </c>
      <c r="F2" s="259"/>
      <c r="H2" s="258" t="s">
        <v>572</v>
      </c>
      <c r="I2" s="259"/>
    </row>
    <row r="3" spans="2:9" x14ac:dyDescent="0.25">
      <c r="B3" s="148" t="s">
        <v>646</v>
      </c>
      <c r="C3" s="148" t="s">
        <v>647</v>
      </c>
      <c r="D3" s="146"/>
      <c r="E3" s="148" t="s">
        <v>667</v>
      </c>
      <c r="F3" s="148" t="s">
        <v>668</v>
      </c>
      <c r="H3" s="148" t="s">
        <v>667</v>
      </c>
      <c r="I3" s="148" t="s">
        <v>668</v>
      </c>
    </row>
    <row r="4" spans="2:9" x14ac:dyDescent="0.25">
      <c r="B4" s="149" t="s">
        <v>669</v>
      </c>
      <c r="C4" s="150" t="str">
        <f>LEFT(B4,3)</f>
        <v>Mr.</v>
      </c>
      <c r="D4" s="146"/>
      <c r="E4" s="149" t="s">
        <v>678</v>
      </c>
      <c r="F4" s="149" t="str">
        <f>RIGHT(E4,3)</f>
        <v>MNO</v>
      </c>
      <c r="H4" s="149" t="s">
        <v>678</v>
      </c>
      <c r="I4" s="149" t="str">
        <f>MID(H4,5,4)</f>
        <v>7842</v>
      </c>
    </row>
    <row r="5" spans="2:9" x14ac:dyDescent="0.25">
      <c r="B5" s="149" t="s">
        <v>670</v>
      </c>
      <c r="C5" s="150" t="str">
        <f t="shared" ref="C5:C12" si="0">LEFT(B5,3)</f>
        <v>Mr.</v>
      </c>
      <c r="D5" s="146"/>
      <c r="E5" s="149" t="s">
        <v>679</v>
      </c>
      <c r="F5" s="149" t="str">
        <f t="shared" ref="F5:F12" si="1">RIGHT(E5,3)</f>
        <v>KLM</v>
      </c>
      <c r="H5" s="149" t="s">
        <v>679</v>
      </c>
      <c r="I5" s="149" t="str">
        <f t="shared" ref="I5:I12" si="2">MID(H5,5,4)</f>
        <v>8492</v>
      </c>
    </row>
    <row r="6" spans="2:9" x14ac:dyDescent="0.25">
      <c r="B6" s="149" t="s">
        <v>671</v>
      </c>
      <c r="C6" s="150" t="str">
        <f t="shared" si="0"/>
        <v>Mr.</v>
      </c>
      <c r="D6" s="146"/>
      <c r="E6" s="149" t="s">
        <v>680</v>
      </c>
      <c r="F6" s="149" t="str">
        <f t="shared" si="1"/>
        <v>YZQ</v>
      </c>
      <c r="H6" s="149" t="s">
        <v>680</v>
      </c>
      <c r="I6" s="149" t="str">
        <f t="shared" si="2"/>
        <v>2345</v>
      </c>
    </row>
    <row r="7" spans="2:9" x14ac:dyDescent="0.25">
      <c r="B7" s="149" t="s">
        <v>672</v>
      </c>
      <c r="C7" s="150" t="str">
        <f t="shared" si="0"/>
        <v>Mr.</v>
      </c>
      <c r="D7" s="146"/>
      <c r="E7" s="149" t="s">
        <v>681</v>
      </c>
      <c r="F7" s="149" t="str">
        <f t="shared" si="1"/>
        <v>PQR</v>
      </c>
      <c r="H7" s="149" t="s">
        <v>681</v>
      </c>
      <c r="I7" s="149" t="str">
        <f t="shared" si="2"/>
        <v>6789</v>
      </c>
    </row>
    <row r="8" spans="2:9" x14ac:dyDescent="0.25">
      <c r="B8" s="149" t="s">
        <v>673</v>
      </c>
      <c r="C8" s="150" t="str">
        <f t="shared" si="0"/>
        <v>Ms.</v>
      </c>
      <c r="D8" s="146"/>
      <c r="E8" s="149" t="s">
        <v>682</v>
      </c>
      <c r="F8" s="149" t="str">
        <f t="shared" si="1"/>
        <v>ABC</v>
      </c>
      <c r="H8" s="149" t="s">
        <v>682</v>
      </c>
      <c r="I8" s="149" t="str">
        <f t="shared" si="2"/>
        <v>4532</v>
      </c>
    </row>
    <row r="9" spans="2:9" x14ac:dyDescent="0.25">
      <c r="B9" s="149" t="s">
        <v>674</v>
      </c>
      <c r="C9" s="150" t="str">
        <f t="shared" si="0"/>
        <v>Mr.</v>
      </c>
      <c r="D9" s="146"/>
      <c r="E9" s="149" t="s">
        <v>683</v>
      </c>
      <c r="F9" s="149" t="str">
        <f t="shared" si="1"/>
        <v>DEF</v>
      </c>
      <c r="H9" s="149" t="s">
        <v>683</v>
      </c>
      <c r="I9" s="149" t="str">
        <f t="shared" si="2"/>
        <v>9102</v>
      </c>
    </row>
    <row r="10" spans="2:9" x14ac:dyDescent="0.25">
      <c r="B10" s="149" t="s">
        <v>675</v>
      </c>
      <c r="C10" s="150" t="str">
        <f t="shared" si="0"/>
        <v>Ms.</v>
      </c>
      <c r="D10" s="146"/>
      <c r="E10" s="149" t="s">
        <v>684</v>
      </c>
      <c r="F10" s="149" t="str">
        <f t="shared" si="1"/>
        <v>GHI</v>
      </c>
      <c r="H10" s="149" t="s">
        <v>684</v>
      </c>
      <c r="I10" s="149" t="str">
        <f t="shared" si="2"/>
        <v>3217</v>
      </c>
    </row>
    <row r="11" spans="2:9" x14ac:dyDescent="0.25">
      <c r="B11" s="149" t="s">
        <v>676</v>
      </c>
      <c r="C11" s="150" t="str">
        <f t="shared" si="0"/>
        <v>Mr.</v>
      </c>
      <c r="D11" s="146"/>
      <c r="E11" s="149" t="s">
        <v>685</v>
      </c>
      <c r="F11" s="149" t="str">
        <f t="shared" si="1"/>
        <v>JKL</v>
      </c>
      <c r="H11" s="149" t="s">
        <v>685</v>
      </c>
      <c r="I11" s="149" t="str">
        <f t="shared" si="2"/>
        <v>7654</v>
      </c>
    </row>
    <row r="12" spans="2:9" x14ac:dyDescent="0.25">
      <c r="B12" s="149" t="s">
        <v>677</v>
      </c>
      <c r="C12" s="150" t="str">
        <f t="shared" si="0"/>
        <v>Ms.</v>
      </c>
      <c r="D12" s="147"/>
      <c r="E12" s="149" t="s">
        <v>686</v>
      </c>
      <c r="F12" s="149" t="str">
        <f t="shared" si="1"/>
        <v>STU</v>
      </c>
      <c r="H12" s="149" t="s">
        <v>686</v>
      </c>
      <c r="I12" s="149" t="str">
        <f t="shared" si="2"/>
        <v>1876</v>
      </c>
    </row>
    <row r="15" spans="2:9" ht="15.75" thickBot="1" x14ac:dyDescent="0.3"/>
    <row r="16" spans="2:9" x14ac:dyDescent="0.25">
      <c r="B16" s="258" t="s">
        <v>687</v>
      </c>
      <c r="C16" s="259"/>
      <c r="E16" s="258" t="s">
        <v>580</v>
      </c>
      <c r="F16" s="259"/>
    </row>
    <row r="17" spans="2:9" x14ac:dyDescent="0.25">
      <c r="B17" s="148" t="s">
        <v>667</v>
      </c>
      <c r="C17" s="148"/>
      <c r="E17" s="148" t="s">
        <v>646</v>
      </c>
      <c r="F17" s="148"/>
    </row>
    <row r="18" spans="2:9" x14ac:dyDescent="0.25">
      <c r="B18" s="149" t="s">
        <v>678</v>
      </c>
      <c r="C18" s="149">
        <f>LEN(B18)</f>
        <v>12</v>
      </c>
      <c r="E18" s="149" t="s">
        <v>688</v>
      </c>
      <c r="F18" s="150" t="str">
        <f>TRIM(E18)</f>
        <v>Mr. Oneeb Arif</v>
      </c>
    </row>
    <row r="19" spans="2:9" x14ac:dyDescent="0.25">
      <c r="B19" s="149" t="s">
        <v>679</v>
      </c>
      <c r="C19" s="149">
        <f t="shared" ref="C19:C26" si="3">LEN(B19)</f>
        <v>12</v>
      </c>
      <c r="E19" s="149" t="s">
        <v>689</v>
      </c>
      <c r="F19" s="150" t="str">
        <f t="shared" ref="F19:F26" si="4">TRIM(E19)</f>
        <v>Mr. Bilal Ahmed</v>
      </c>
    </row>
    <row r="20" spans="2:9" x14ac:dyDescent="0.25">
      <c r="B20" s="149" t="s">
        <v>680</v>
      </c>
      <c r="C20" s="149">
        <f t="shared" si="3"/>
        <v>12</v>
      </c>
      <c r="E20" s="149" t="s">
        <v>694</v>
      </c>
      <c r="F20" s="150" t="str">
        <f t="shared" si="4"/>
        <v>Mr. Muneer Khan</v>
      </c>
    </row>
    <row r="21" spans="2:9" x14ac:dyDescent="0.25">
      <c r="B21" s="149" t="s">
        <v>681</v>
      </c>
      <c r="C21" s="149">
        <f t="shared" si="3"/>
        <v>12</v>
      </c>
      <c r="E21" s="149" t="s">
        <v>690</v>
      </c>
      <c r="F21" s="150" t="str">
        <f t="shared" si="4"/>
        <v>Mr. Affan Ahmed</v>
      </c>
    </row>
    <row r="22" spans="2:9" x14ac:dyDescent="0.25">
      <c r="B22" s="149" t="s">
        <v>682</v>
      </c>
      <c r="C22" s="149">
        <f t="shared" si="3"/>
        <v>12</v>
      </c>
      <c r="E22" s="149" t="s">
        <v>693</v>
      </c>
      <c r="F22" s="150" t="str">
        <f t="shared" si="4"/>
        <v>Ms. Ayesha Malik</v>
      </c>
    </row>
    <row r="23" spans="2:9" x14ac:dyDescent="0.25">
      <c r="B23" s="149" t="s">
        <v>683</v>
      </c>
      <c r="C23" s="149">
        <f t="shared" si="3"/>
        <v>12</v>
      </c>
      <c r="E23" s="149" t="s">
        <v>692</v>
      </c>
      <c r="F23" s="150" t="str">
        <f t="shared" si="4"/>
        <v>Mr. Abdul Wasay</v>
      </c>
    </row>
    <row r="24" spans="2:9" x14ac:dyDescent="0.25">
      <c r="B24" s="149" t="s">
        <v>684</v>
      </c>
      <c r="C24" s="149">
        <f t="shared" si="3"/>
        <v>12</v>
      </c>
      <c r="E24" s="149" t="s">
        <v>675</v>
      </c>
      <c r="F24" s="150" t="str">
        <f t="shared" si="4"/>
        <v>Ms. Fatima Raza</v>
      </c>
    </row>
    <row r="25" spans="2:9" x14ac:dyDescent="0.25">
      <c r="B25" s="149" t="s">
        <v>685</v>
      </c>
      <c r="C25" s="149">
        <f t="shared" si="3"/>
        <v>12</v>
      </c>
      <c r="E25" s="149" t="s">
        <v>676</v>
      </c>
      <c r="F25" s="150" t="str">
        <f t="shared" si="4"/>
        <v>Mr. Hamza Sheikh</v>
      </c>
    </row>
    <row r="26" spans="2:9" x14ac:dyDescent="0.25">
      <c r="B26" s="149" t="s">
        <v>686</v>
      </c>
      <c r="C26" s="149">
        <f t="shared" si="3"/>
        <v>12</v>
      </c>
      <c r="E26" s="149" t="s">
        <v>691</v>
      </c>
      <c r="F26" s="150" t="str">
        <f t="shared" si="4"/>
        <v>Ms. Zainab Ali</v>
      </c>
    </row>
    <row r="31" spans="2:9" ht="15.75" thickBot="1" x14ac:dyDescent="0.3"/>
    <row r="32" spans="2:9" x14ac:dyDescent="0.25">
      <c r="B32" s="258" t="s">
        <v>588</v>
      </c>
      <c r="C32" s="259"/>
      <c r="E32" s="258" t="s">
        <v>584</v>
      </c>
      <c r="F32" s="259"/>
      <c r="H32" s="258" t="s">
        <v>592</v>
      </c>
      <c r="I32" s="259"/>
    </row>
    <row r="33" spans="2:25" x14ac:dyDescent="0.25">
      <c r="B33" s="148" t="s">
        <v>646</v>
      </c>
      <c r="C33" s="148" t="s">
        <v>695</v>
      </c>
      <c r="E33" s="148" t="s">
        <v>646</v>
      </c>
      <c r="F33" s="148" t="s">
        <v>696</v>
      </c>
      <c r="H33" s="148" t="s">
        <v>646</v>
      </c>
      <c r="I33" s="148" t="s">
        <v>697</v>
      </c>
    </row>
    <row r="34" spans="2:25" x14ac:dyDescent="0.25">
      <c r="B34" s="149" t="s">
        <v>669</v>
      </c>
      <c r="C34" s="150" t="str">
        <f>LOWER(B34)</f>
        <v>mr. oneeb arif</v>
      </c>
      <c r="E34" s="149" t="s">
        <v>669</v>
      </c>
      <c r="F34" s="150" t="str">
        <f>UPPER(E34)</f>
        <v>MR. ONEEB ARIF</v>
      </c>
      <c r="H34" s="149" t="s">
        <v>698</v>
      </c>
      <c r="I34" s="149" t="str">
        <f>PROPER(H34)</f>
        <v>Mr. Oneeb Arif</v>
      </c>
    </row>
    <row r="35" spans="2:25" x14ac:dyDescent="0.25">
      <c r="B35" s="149" t="s">
        <v>670</v>
      </c>
      <c r="C35" s="150" t="str">
        <f t="shared" ref="C35:C42" si="5">LOWER(B35)</f>
        <v>mr. bilal ahmed</v>
      </c>
      <c r="E35" s="149" t="s">
        <v>670</v>
      </c>
      <c r="F35" s="150" t="str">
        <f t="shared" ref="F35:F42" si="6">UPPER(E35)</f>
        <v>MR. BILAL AHMED</v>
      </c>
      <c r="H35" s="149" t="s">
        <v>699</v>
      </c>
      <c r="I35" s="149" t="str">
        <f t="shared" ref="I35:I42" si="7">PROPER(H35)</f>
        <v>Mr. Bilal Ahmed</v>
      </c>
    </row>
    <row r="36" spans="2:25" x14ac:dyDescent="0.25">
      <c r="B36" s="149" t="s">
        <v>671</v>
      </c>
      <c r="C36" s="150" t="str">
        <f t="shared" si="5"/>
        <v>mr. muneer khan</v>
      </c>
      <c r="E36" s="149" t="s">
        <v>671</v>
      </c>
      <c r="F36" s="150" t="str">
        <f t="shared" si="6"/>
        <v>MR. MUNEER KHAN</v>
      </c>
      <c r="H36" s="149" t="s">
        <v>700</v>
      </c>
      <c r="I36" s="149" t="str">
        <f t="shared" si="7"/>
        <v>Mr. Muneer Khan</v>
      </c>
    </row>
    <row r="37" spans="2:25" x14ac:dyDescent="0.25">
      <c r="B37" s="149" t="s">
        <v>672</v>
      </c>
      <c r="C37" s="150" t="str">
        <f t="shared" si="5"/>
        <v>mr. affan ahmed</v>
      </c>
      <c r="E37" s="149" t="s">
        <v>672</v>
      </c>
      <c r="F37" s="150" t="str">
        <f t="shared" si="6"/>
        <v>MR. AFFAN AHMED</v>
      </c>
      <c r="H37" s="149" t="s">
        <v>701</v>
      </c>
      <c r="I37" s="149" t="str">
        <f t="shared" si="7"/>
        <v>Mr. Affan Ahmed</v>
      </c>
    </row>
    <row r="38" spans="2:25" x14ac:dyDescent="0.25">
      <c r="B38" s="149" t="s">
        <v>673</v>
      </c>
      <c r="C38" s="150" t="str">
        <f t="shared" si="5"/>
        <v>ms. ayesha malik</v>
      </c>
      <c r="E38" s="149" t="s">
        <v>673</v>
      </c>
      <c r="F38" s="150" t="str">
        <f t="shared" si="6"/>
        <v>MS. AYESHA MALIK</v>
      </c>
      <c r="H38" s="149" t="s">
        <v>702</v>
      </c>
      <c r="I38" s="149" t="str">
        <f t="shared" si="7"/>
        <v>Ms. Ayesha Malik</v>
      </c>
    </row>
    <row r="39" spans="2:25" x14ac:dyDescent="0.25">
      <c r="B39" s="149" t="s">
        <v>674</v>
      </c>
      <c r="C39" s="150" t="str">
        <f t="shared" si="5"/>
        <v>mr. abdul wasay</v>
      </c>
      <c r="E39" s="149" t="s">
        <v>674</v>
      </c>
      <c r="F39" s="150" t="str">
        <f t="shared" si="6"/>
        <v>MR. ABDUL WASAY</v>
      </c>
      <c r="H39" s="149" t="s">
        <v>703</v>
      </c>
      <c r="I39" s="149" t="str">
        <f t="shared" si="7"/>
        <v>Mr. Abdul Wasay</v>
      </c>
    </row>
    <row r="40" spans="2:25" x14ac:dyDescent="0.25">
      <c r="B40" s="149" t="s">
        <v>675</v>
      </c>
      <c r="C40" s="150" t="str">
        <f t="shared" si="5"/>
        <v>ms. fatima raza</v>
      </c>
      <c r="E40" s="149" t="s">
        <v>675</v>
      </c>
      <c r="F40" s="150" t="str">
        <f t="shared" si="6"/>
        <v>MS. FATIMA RAZA</v>
      </c>
      <c r="H40" s="149" t="s">
        <v>704</v>
      </c>
      <c r="I40" s="149" t="str">
        <f t="shared" si="7"/>
        <v>Ms. Fatima Raza</v>
      </c>
    </row>
    <row r="41" spans="2:25" x14ac:dyDescent="0.25">
      <c r="B41" s="149" t="s">
        <v>676</v>
      </c>
      <c r="C41" s="150" t="str">
        <f t="shared" si="5"/>
        <v>mr. hamza sheikh</v>
      </c>
      <c r="E41" s="149" t="s">
        <v>676</v>
      </c>
      <c r="F41" s="150" t="str">
        <f t="shared" si="6"/>
        <v>MR. HAMZA SHEIKH</v>
      </c>
      <c r="H41" s="149" t="s">
        <v>705</v>
      </c>
      <c r="I41" s="149" t="str">
        <f t="shared" si="7"/>
        <v>Mr. Hamza Sheikh</v>
      </c>
    </row>
    <row r="42" spans="2:25" x14ac:dyDescent="0.25">
      <c r="B42" s="149" t="s">
        <v>677</v>
      </c>
      <c r="C42" s="150" t="str">
        <f t="shared" si="5"/>
        <v>ms. zainab ali</v>
      </c>
      <c r="E42" s="149" t="s">
        <v>677</v>
      </c>
      <c r="F42" s="150" t="str">
        <f t="shared" si="6"/>
        <v>MS. ZAINAB ALI</v>
      </c>
      <c r="H42" s="149" t="s">
        <v>706</v>
      </c>
      <c r="I42" s="149" t="str">
        <f t="shared" si="7"/>
        <v>Ms. Zainab Ali</v>
      </c>
    </row>
    <row r="45" spans="2:25" ht="18" customHeight="1" x14ac:dyDescent="0.25">
      <c r="B45" s="260" t="s">
        <v>732</v>
      </c>
      <c r="C45" s="260"/>
      <c r="D45" s="260"/>
      <c r="E45" s="170"/>
      <c r="F45" s="170"/>
      <c r="G45" s="260" t="s">
        <v>719</v>
      </c>
      <c r="H45" s="260"/>
      <c r="I45" s="260"/>
      <c r="J45" s="170"/>
      <c r="K45" s="260" t="s">
        <v>707</v>
      </c>
      <c r="L45" s="260"/>
      <c r="M45" s="260"/>
      <c r="O45" s="260" t="s">
        <v>730</v>
      </c>
      <c r="P45" s="260"/>
      <c r="Q45" s="260"/>
      <c r="S45" s="260" t="s">
        <v>731</v>
      </c>
      <c r="T45" s="260"/>
      <c r="U45" s="260"/>
      <c r="W45" s="260" t="s">
        <v>733</v>
      </c>
      <c r="X45" s="260"/>
      <c r="Y45" s="260"/>
    </row>
    <row r="46" spans="2:25" ht="18" customHeight="1" x14ac:dyDescent="0.25">
      <c r="B46" s="167" t="s">
        <v>710</v>
      </c>
      <c r="C46" s="167" t="s">
        <v>708</v>
      </c>
      <c r="D46" s="167" t="s">
        <v>709</v>
      </c>
      <c r="E46" s="170"/>
      <c r="F46" s="170"/>
      <c r="G46" s="167" t="s">
        <v>708</v>
      </c>
      <c r="H46" s="167" t="s">
        <v>709</v>
      </c>
      <c r="I46" s="167" t="s">
        <v>710</v>
      </c>
      <c r="J46" s="170"/>
      <c r="K46" s="167" t="s">
        <v>708</v>
      </c>
      <c r="L46" s="167" t="s">
        <v>709</v>
      </c>
      <c r="M46" s="167" t="s">
        <v>710</v>
      </c>
      <c r="O46" s="167" t="s">
        <v>708</v>
      </c>
      <c r="P46" s="167" t="s">
        <v>709</v>
      </c>
      <c r="Q46" s="167" t="s">
        <v>710</v>
      </c>
      <c r="S46" s="167" t="s">
        <v>708</v>
      </c>
      <c r="T46" s="167" t="s">
        <v>709</v>
      </c>
      <c r="U46" s="167" t="s">
        <v>710</v>
      </c>
      <c r="W46" s="167" t="s">
        <v>708</v>
      </c>
      <c r="X46" s="167" t="s">
        <v>709</v>
      </c>
      <c r="Y46" s="167" t="s">
        <v>710</v>
      </c>
    </row>
    <row r="47" spans="2:25" ht="18" customHeight="1" x14ac:dyDescent="0.25">
      <c r="B47" s="169" t="s">
        <v>720</v>
      </c>
      <c r="C47" s="168"/>
      <c r="D47" s="168"/>
      <c r="E47" s="170"/>
      <c r="F47" s="170"/>
      <c r="G47" s="168" t="s">
        <v>711</v>
      </c>
      <c r="H47" s="168" t="s">
        <v>712</v>
      </c>
      <c r="I47" s="169" t="s">
        <v>720</v>
      </c>
      <c r="J47" s="170"/>
      <c r="K47" s="168" t="s">
        <v>711</v>
      </c>
      <c r="L47" s="168" t="s">
        <v>712</v>
      </c>
      <c r="M47" s="169" t="str">
        <f>_xlfn.TEXTJOIN(" ",TRUE,K47,L47)</f>
        <v>Oneeb Arif</v>
      </c>
      <c r="O47" s="168" t="s">
        <v>711</v>
      </c>
      <c r="P47" s="168" t="s">
        <v>712</v>
      </c>
      <c r="Q47" s="169" t="str">
        <f>CONCATENATE(O47," ",P47)</f>
        <v>Oneeb Arif</v>
      </c>
      <c r="S47" s="168" t="s">
        <v>711</v>
      </c>
      <c r="T47" s="168" t="s">
        <v>712</v>
      </c>
      <c r="U47" s="169" t="str">
        <f>_xlfn.CONCAT(S47,T47)</f>
        <v>OneebArif</v>
      </c>
      <c r="W47" s="168" t="s">
        <v>711</v>
      </c>
      <c r="X47" s="168" t="s">
        <v>712</v>
      </c>
      <c r="Y47" s="169" t="str">
        <f>W47&amp;" "&amp;X47</f>
        <v>Oneeb Arif</v>
      </c>
    </row>
    <row r="48" spans="2:25" ht="18" customHeight="1" x14ac:dyDescent="0.25">
      <c r="B48" s="169" t="s">
        <v>721</v>
      </c>
      <c r="C48" s="168" t="s">
        <v>171</v>
      </c>
      <c r="D48" s="168" t="s">
        <v>60</v>
      </c>
      <c r="E48" s="170"/>
      <c r="F48" s="170"/>
      <c r="G48" s="168" t="s">
        <v>171</v>
      </c>
      <c r="H48" s="168" t="s">
        <v>60</v>
      </c>
      <c r="I48" s="169" t="s">
        <v>721</v>
      </c>
      <c r="J48" s="170"/>
      <c r="K48" s="168" t="s">
        <v>171</v>
      </c>
      <c r="L48" s="168" t="s">
        <v>60</v>
      </c>
      <c r="M48" s="169" t="str">
        <f t="shared" ref="M48:M56" si="8">_xlfn.TEXTJOIN(" ",TRUE,K48,L48)</f>
        <v>Bilal Ahmed</v>
      </c>
      <c r="O48" s="168" t="s">
        <v>171</v>
      </c>
      <c r="P48" s="168" t="s">
        <v>60</v>
      </c>
      <c r="Q48" s="169" t="str">
        <f t="shared" ref="Q48:Q56" si="9">CONCATENATE(O48," ",P48)</f>
        <v>Bilal Ahmed</v>
      </c>
      <c r="S48" s="168" t="s">
        <v>171</v>
      </c>
      <c r="T48" s="168" t="s">
        <v>60</v>
      </c>
      <c r="U48" s="169" t="str">
        <f t="shared" ref="U48:U56" si="10">_xlfn.CONCAT(S48,"-",T48)</f>
        <v>Bilal-Ahmed</v>
      </c>
      <c r="W48" s="168" t="s">
        <v>171</v>
      </c>
      <c r="X48" s="168" t="s">
        <v>60</v>
      </c>
      <c r="Y48" s="169" t="str">
        <f t="shared" ref="Y48:Y56" si="11">W48&amp;" "&amp;X48</f>
        <v>Bilal Ahmed</v>
      </c>
    </row>
    <row r="49" spans="2:25" ht="18" customHeight="1" x14ac:dyDescent="0.25">
      <c r="B49" s="169" t="s">
        <v>722</v>
      </c>
      <c r="C49" s="168"/>
      <c r="D49" s="168"/>
      <c r="E49" s="170"/>
      <c r="F49" s="170"/>
      <c r="G49" s="168" t="s">
        <v>713</v>
      </c>
      <c r="H49" s="168" t="s">
        <v>201</v>
      </c>
      <c r="I49" s="169" t="s">
        <v>722</v>
      </c>
      <c r="J49" s="170"/>
      <c r="K49" s="168" t="s">
        <v>713</v>
      </c>
      <c r="L49" s="168" t="s">
        <v>201</v>
      </c>
      <c r="M49" s="169" t="str">
        <f t="shared" si="8"/>
        <v>Muneer Khan</v>
      </c>
      <c r="O49" s="168" t="s">
        <v>713</v>
      </c>
      <c r="P49" s="168" t="s">
        <v>201</v>
      </c>
      <c r="Q49" s="169" t="str">
        <f t="shared" si="9"/>
        <v>Muneer Khan</v>
      </c>
      <c r="S49" s="168" t="s">
        <v>713</v>
      </c>
      <c r="T49" s="168" t="s">
        <v>201</v>
      </c>
      <c r="U49" s="169" t="str">
        <f t="shared" si="10"/>
        <v>Muneer-Khan</v>
      </c>
      <c r="W49" s="168" t="s">
        <v>713</v>
      </c>
      <c r="X49" s="168" t="s">
        <v>201</v>
      </c>
      <c r="Y49" s="169" t="str">
        <f t="shared" si="11"/>
        <v>Muneer Khan</v>
      </c>
    </row>
    <row r="50" spans="2:25" ht="18" customHeight="1" x14ac:dyDescent="0.25">
      <c r="B50" s="169" t="s">
        <v>723</v>
      </c>
      <c r="C50" s="168"/>
      <c r="D50" s="168"/>
      <c r="E50" s="170"/>
      <c r="F50" s="170"/>
      <c r="G50" s="168" t="s">
        <v>714</v>
      </c>
      <c r="H50" s="168" t="s">
        <v>60</v>
      </c>
      <c r="I50" s="169" t="s">
        <v>723</v>
      </c>
      <c r="J50" s="170"/>
      <c r="K50" s="168" t="s">
        <v>714</v>
      </c>
      <c r="L50" s="168" t="s">
        <v>60</v>
      </c>
      <c r="M50" s="169" t="str">
        <f t="shared" si="8"/>
        <v>Affan Ahmed</v>
      </c>
      <c r="O50" s="168" t="s">
        <v>714</v>
      </c>
      <c r="P50" s="168" t="s">
        <v>60</v>
      </c>
      <c r="Q50" s="169" t="str">
        <f t="shared" si="9"/>
        <v>Affan Ahmed</v>
      </c>
      <c r="S50" s="168" t="s">
        <v>714</v>
      </c>
      <c r="T50" s="168" t="s">
        <v>60</v>
      </c>
      <c r="U50" s="169" t="str">
        <f t="shared" si="10"/>
        <v>Affan-Ahmed</v>
      </c>
      <c r="W50" s="168" t="s">
        <v>714</v>
      </c>
      <c r="X50" s="168" t="s">
        <v>60</v>
      </c>
      <c r="Y50" s="169" t="str">
        <f t="shared" si="11"/>
        <v>Affan Ahmed</v>
      </c>
    </row>
    <row r="51" spans="2:25" ht="18" customHeight="1" x14ac:dyDescent="0.25">
      <c r="B51" s="169" t="s">
        <v>724</v>
      </c>
      <c r="C51" s="168"/>
      <c r="D51" s="168"/>
      <c r="E51" s="170"/>
      <c r="F51" s="170"/>
      <c r="G51" s="168" t="s">
        <v>176</v>
      </c>
      <c r="H51" s="168" t="s">
        <v>191</v>
      </c>
      <c r="I51" s="169" t="s">
        <v>724</v>
      </c>
      <c r="J51" s="170"/>
      <c r="K51" s="168" t="s">
        <v>176</v>
      </c>
      <c r="L51" s="168" t="s">
        <v>191</v>
      </c>
      <c r="M51" s="169" t="str">
        <f t="shared" si="8"/>
        <v>Ayesha Malik</v>
      </c>
      <c r="O51" s="168" t="s">
        <v>176</v>
      </c>
      <c r="P51" s="168" t="s">
        <v>191</v>
      </c>
      <c r="Q51" s="169" t="str">
        <f t="shared" si="9"/>
        <v>Ayesha Malik</v>
      </c>
      <c r="S51" s="168" t="s">
        <v>176</v>
      </c>
      <c r="T51" s="168" t="s">
        <v>191</v>
      </c>
      <c r="U51" s="169" t="str">
        <f t="shared" si="10"/>
        <v>Ayesha-Malik</v>
      </c>
      <c r="W51" s="168" t="s">
        <v>176</v>
      </c>
      <c r="X51" s="168" t="s">
        <v>191</v>
      </c>
      <c r="Y51" s="169" t="str">
        <f t="shared" si="11"/>
        <v>Ayesha Malik</v>
      </c>
    </row>
    <row r="52" spans="2:25" ht="18" customHeight="1" x14ac:dyDescent="0.25">
      <c r="B52" s="169" t="s">
        <v>725</v>
      </c>
      <c r="C52" s="168"/>
      <c r="D52" s="168"/>
      <c r="E52" s="170"/>
      <c r="F52" s="170"/>
      <c r="G52" s="168" t="s">
        <v>715</v>
      </c>
      <c r="H52" s="168" t="s">
        <v>716</v>
      </c>
      <c r="I52" s="169" t="s">
        <v>725</v>
      </c>
      <c r="J52" s="170"/>
      <c r="K52" s="168" t="s">
        <v>715</v>
      </c>
      <c r="L52" s="168" t="s">
        <v>716</v>
      </c>
      <c r="M52" s="169" t="str">
        <f t="shared" si="8"/>
        <v>Abdul Wasay</v>
      </c>
      <c r="O52" s="168" t="s">
        <v>715</v>
      </c>
      <c r="P52" s="168" t="s">
        <v>716</v>
      </c>
      <c r="Q52" s="169" t="str">
        <f t="shared" si="9"/>
        <v>Abdul Wasay</v>
      </c>
      <c r="S52" s="168" t="s">
        <v>715</v>
      </c>
      <c r="T52" s="168" t="s">
        <v>716</v>
      </c>
      <c r="U52" s="169" t="str">
        <f t="shared" si="10"/>
        <v>Abdul-Wasay</v>
      </c>
      <c r="W52" s="168" t="s">
        <v>715</v>
      </c>
      <c r="X52" s="168" t="s">
        <v>716</v>
      </c>
      <c r="Y52" s="169" t="str">
        <f t="shared" si="11"/>
        <v>Abdul Wasay</v>
      </c>
    </row>
    <row r="53" spans="2:25" ht="18" customHeight="1" x14ac:dyDescent="0.25">
      <c r="B53" s="169" t="s">
        <v>726</v>
      </c>
      <c r="C53" s="168"/>
      <c r="D53" s="168"/>
      <c r="E53" s="170"/>
      <c r="F53" s="170"/>
      <c r="G53" s="168" t="s">
        <v>196</v>
      </c>
      <c r="H53" s="168" t="s">
        <v>77</v>
      </c>
      <c r="I53" s="169" t="s">
        <v>726</v>
      </c>
      <c r="J53" s="170"/>
      <c r="K53" s="168" t="s">
        <v>196</v>
      </c>
      <c r="L53" s="168" t="s">
        <v>77</v>
      </c>
      <c r="M53" s="169" t="str">
        <f t="shared" si="8"/>
        <v>Fatima Raza</v>
      </c>
      <c r="O53" s="168" t="s">
        <v>196</v>
      </c>
      <c r="P53" s="168" t="s">
        <v>77</v>
      </c>
      <c r="Q53" s="169" t="str">
        <f t="shared" si="9"/>
        <v>Fatima Raza</v>
      </c>
      <c r="S53" s="168" t="s">
        <v>196</v>
      </c>
      <c r="T53" s="168" t="s">
        <v>77</v>
      </c>
      <c r="U53" s="169" t="str">
        <f t="shared" si="10"/>
        <v>Fatima-Raza</v>
      </c>
      <c r="W53" s="168" t="s">
        <v>196</v>
      </c>
      <c r="X53" s="168" t="s">
        <v>77</v>
      </c>
      <c r="Y53" s="169" t="str">
        <f t="shared" si="11"/>
        <v>Fatima Raza</v>
      </c>
    </row>
    <row r="54" spans="2:25" ht="18" customHeight="1" x14ac:dyDescent="0.25">
      <c r="B54" s="169" t="s">
        <v>727</v>
      </c>
      <c r="C54" s="168"/>
      <c r="D54" s="168"/>
      <c r="E54" s="170"/>
      <c r="F54" s="170"/>
      <c r="G54" s="168" t="s">
        <v>59</v>
      </c>
      <c r="H54" s="168" t="s">
        <v>290</v>
      </c>
      <c r="I54" s="169" t="s">
        <v>727</v>
      </c>
      <c r="J54" s="170"/>
      <c r="K54" s="168" t="s">
        <v>59</v>
      </c>
      <c r="L54" s="168" t="s">
        <v>290</v>
      </c>
      <c r="M54" s="169" t="str">
        <f t="shared" si="8"/>
        <v>Hamza Sheikh</v>
      </c>
      <c r="O54" s="168" t="s">
        <v>59</v>
      </c>
      <c r="P54" s="168" t="s">
        <v>290</v>
      </c>
      <c r="Q54" s="169" t="str">
        <f t="shared" si="9"/>
        <v>Hamza Sheikh</v>
      </c>
      <c r="S54" s="168" t="s">
        <v>59</v>
      </c>
      <c r="T54" s="168" t="s">
        <v>290</v>
      </c>
      <c r="U54" s="169" t="str">
        <f t="shared" si="10"/>
        <v>Hamza-Sheikh</v>
      </c>
      <c r="W54" s="168" t="s">
        <v>59</v>
      </c>
      <c r="X54" s="168" t="s">
        <v>290</v>
      </c>
      <c r="Y54" s="169" t="str">
        <f t="shared" si="11"/>
        <v>Hamza Sheikh</v>
      </c>
    </row>
    <row r="55" spans="2:25" ht="18" customHeight="1" x14ac:dyDescent="0.25">
      <c r="B55" s="169" t="s">
        <v>728</v>
      </c>
      <c r="C55" s="168"/>
      <c r="D55" s="168"/>
      <c r="E55" s="170"/>
      <c r="F55" s="170"/>
      <c r="G55" s="168" t="s">
        <v>717</v>
      </c>
      <c r="H55" s="168" t="s">
        <v>42</v>
      </c>
      <c r="I55" s="169" t="s">
        <v>728</v>
      </c>
      <c r="J55" s="170"/>
      <c r="K55" s="168" t="s">
        <v>717</v>
      </c>
      <c r="L55" s="168" t="s">
        <v>42</v>
      </c>
      <c r="M55" s="169" t="str">
        <f t="shared" si="8"/>
        <v>Zainab Ali</v>
      </c>
      <c r="O55" s="168" t="s">
        <v>717</v>
      </c>
      <c r="P55" s="168" t="s">
        <v>42</v>
      </c>
      <c r="Q55" s="169" t="str">
        <f t="shared" si="9"/>
        <v>Zainab Ali</v>
      </c>
      <c r="S55" s="168" t="s">
        <v>717</v>
      </c>
      <c r="T55" s="168" t="s">
        <v>42</v>
      </c>
      <c r="U55" s="169" t="str">
        <f t="shared" si="10"/>
        <v>Zainab-Ali</v>
      </c>
      <c r="W55" s="168" t="s">
        <v>717</v>
      </c>
      <c r="X55" s="168" t="s">
        <v>42</v>
      </c>
      <c r="Y55" s="169" t="str">
        <f t="shared" si="11"/>
        <v>Zainab Ali</v>
      </c>
    </row>
    <row r="56" spans="2:25" ht="18" customHeight="1" x14ac:dyDescent="0.25">
      <c r="B56" s="169" t="s">
        <v>729</v>
      </c>
      <c r="C56" s="168"/>
      <c r="D56" s="168"/>
      <c r="E56" s="170"/>
      <c r="F56" s="170"/>
      <c r="G56" s="168" t="s">
        <v>216</v>
      </c>
      <c r="H56" s="168" t="s">
        <v>718</v>
      </c>
      <c r="I56" s="169" t="s">
        <v>729</v>
      </c>
      <c r="J56" s="170"/>
      <c r="K56" s="168" t="s">
        <v>216</v>
      </c>
      <c r="L56" s="168" t="s">
        <v>718</v>
      </c>
      <c r="M56" s="169" t="str">
        <f t="shared" si="8"/>
        <v>Usman Tariq</v>
      </c>
      <c r="O56" s="168" t="s">
        <v>216</v>
      </c>
      <c r="P56" s="168" t="s">
        <v>718</v>
      </c>
      <c r="Q56" s="169" t="str">
        <f t="shared" si="9"/>
        <v>Usman Tariq</v>
      </c>
      <c r="S56" s="168" t="s">
        <v>216</v>
      </c>
      <c r="T56" s="168" t="s">
        <v>718</v>
      </c>
      <c r="U56" s="169" t="str">
        <f t="shared" si="10"/>
        <v>Usman-Tariq</v>
      </c>
      <c r="W56" s="168" t="s">
        <v>216</v>
      </c>
      <c r="X56" s="168" t="s">
        <v>718</v>
      </c>
      <c r="Y56" s="169" t="str">
        <f t="shared" si="11"/>
        <v>Usman Tariq</v>
      </c>
    </row>
    <row r="57" spans="2:25" ht="18" customHeight="1" x14ac:dyDescent="0.25">
      <c r="B57" s="170"/>
      <c r="C57" s="170"/>
      <c r="D57" s="170"/>
      <c r="E57" s="170"/>
      <c r="F57" s="170"/>
      <c r="G57" s="170"/>
      <c r="H57" s="170"/>
      <c r="I57" s="170"/>
      <c r="J57" s="170"/>
      <c r="K57" s="170"/>
      <c r="L57" s="170"/>
    </row>
    <row r="58" spans="2:25" ht="18" customHeight="1" x14ac:dyDescent="0.25">
      <c r="B58" s="170"/>
      <c r="C58" s="170"/>
      <c r="D58" s="170"/>
      <c r="E58" s="170"/>
      <c r="F58" s="170"/>
      <c r="G58" s="170"/>
      <c r="H58" s="170"/>
      <c r="I58" s="170"/>
      <c r="J58" s="170"/>
      <c r="K58" s="170"/>
      <c r="L58" s="170"/>
    </row>
    <row r="59" spans="2:25" ht="18" customHeight="1" x14ac:dyDescent="0.25">
      <c r="B59" s="170"/>
      <c r="C59" s="170"/>
      <c r="D59" s="170"/>
      <c r="E59" s="170"/>
      <c r="F59" s="170"/>
      <c r="G59" s="260" t="s">
        <v>735</v>
      </c>
      <c r="H59" s="260"/>
      <c r="I59" s="260"/>
      <c r="J59" s="170"/>
      <c r="K59" s="170"/>
      <c r="L59" s="170"/>
    </row>
    <row r="60" spans="2:25" ht="18" customHeight="1" x14ac:dyDescent="0.25">
      <c r="E60" s="170"/>
      <c r="G60" s="167" t="s">
        <v>710</v>
      </c>
      <c r="H60" s="167" t="s">
        <v>736</v>
      </c>
      <c r="I60" s="167" t="s">
        <v>737</v>
      </c>
    </row>
    <row r="61" spans="2:25" ht="18" customHeight="1" x14ac:dyDescent="0.25">
      <c r="E61" s="170"/>
      <c r="G61" s="169" t="s">
        <v>720</v>
      </c>
      <c r="H61" s="168"/>
      <c r="I61" s="168"/>
    </row>
    <row r="62" spans="2:25" ht="18" customHeight="1" x14ac:dyDescent="0.25">
      <c r="E62" s="170"/>
      <c r="G62" s="169" t="s">
        <v>721</v>
      </c>
      <c r="H62" s="168" t="s">
        <v>171</v>
      </c>
      <c r="I62" s="168" t="s">
        <v>60</v>
      </c>
    </row>
    <row r="63" spans="2:25" ht="18" customHeight="1" x14ac:dyDescent="0.25">
      <c r="E63" s="170"/>
      <c r="G63" s="169" t="s">
        <v>722</v>
      </c>
      <c r="H63" s="168"/>
      <c r="I63" s="168"/>
    </row>
    <row r="64" spans="2:25" ht="18" customHeight="1" x14ac:dyDescent="0.25">
      <c r="E64" s="170"/>
      <c r="G64" s="169" t="s">
        <v>723</v>
      </c>
      <c r="H64" s="168"/>
      <c r="I64" s="168"/>
    </row>
    <row r="65" spans="2:12" ht="18" customHeight="1" x14ac:dyDescent="0.25">
      <c r="E65" s="170"/>
      <c r="G65" s="169" t="s">
        <v>724</v>
      </c>
      <c r="H65" s="168"/>
      <c r="I65" s="168"/>
    </row>
    <row r="66" spans="2:12" ht="18" customHeight="1" x14ac:dyDescent="0.25">
      <c r="E66" s="170"/>
      <c r="G66" s="169" t="s">
        <v>725</v>
      </c>
      <c r="H66" s="168"/>
      <c r="I66" s="168"/>
    </row>
    <row r="67" spans="2:12" ht="18" customHeight="1" x14ac:dyDescent="0.25">
      <c r="E67" s="170"/>
      <c r="G67" s="169" t="s">
        <v>726</v>
      </c>
      <c r="H67" s="168"/>
      <c r="I67" s="168"/>
    </row>
    <row r="68" spans="2:12" ht="18" customHeight="1" x14ac:dyDescent="0.25">
      <c r="E68" s="170"/>
      <c r="G68" s="169" t="s">
        <v>727</v>
      </c>
      <c r="H68" s="168"/>
      <c r="I68" s="168"/>
    </row>
    <row r="69" spans="2:12" ht="18" customHeight="1" x14ac:dyDescent="0.25">
      <c r="E69" s="170"/>
      <c r="G69" s="169" t="s">
        <v>728</v>
      </c>
      <c r="H69" s="168"/>
      <c r="I69" s="168"/>
    </row>
    <row r="70" spans="2:12" ht="18" customHeight="1" x14ac:dyDescent="0.25">
      <c r="E70" s="170"/>
      <c r="G70" s="169" t="s">
        <v>729</v>
      </c>
      <c r="H70" s="168"/>
      <c r="I70" s="168"/>
    </row>
    <row r="71" spans="2:12" ht="18" customHeight="1" x14ac:dyDescent="0.25">
      <c r="E71" s="170"/>
      <c r="I71" s="170"/>
    </row>
    <row r="74" spans="2:12" ht="15.75" thickBot="1" x14ac:dyDescent="0.3"/>
    <row r="75" spans="2:12" x14ac:dyDescent="0.25">
      <c r="B75" s="258" t="s">
        <v>738</v>
      </c>
      <c r="C75" s="259"/>
      <c r="E75" s="258" t="s">
        <v>741</v>
      </c>
      <c r="F75" s="259"/>
      <c r="H75" s="258" t="s">
        <v>740</v>
      </c>
      <c r="I75" s="259"/>
      <c r="K75" s="258" t="s">
        <v>742</v>
      </c>
      <c r="L75" s="259"/>
    </row>
    <row r="76" spans="2:12" x14ac:dyDescent="0.25">
      <c r="B76" s="148" t="s">
        <v>667</v>
      </c>
      <c r="C76" s="148" t="s">
        <v>739</v>
      </c>
      <c r="E76" s="148" t="s">
        <v>667</v>
      </c>
      <c r="F76" s="148" t="s">
        <v>739</v>
      </c>
      <c r="H76" s="148" t="s">
        <v>667</v>
      </c>
      <c r="I76" s="148" t="s">
        <v>739</v>
      </c>
      <c r="K76" s="148" t="s">
        <v>535</v>
      </c>
      <c r="L76" s="148" t="s">
        <v>739</v>
      </c>
    </row>
    <row r="77" spans="2:12" x14ac:dyDescent="0.25">
      <c r="B77" s="149" t="s">
        <v>678</v>
      </c>
      <c r="C77" s="149" t="str">
        <f>SUBSTITUTE(B77,"-","@")</f>
        <v>AXP@7842@MNO</v>
      </c>
      <c r="E77" s="149" t="s">
        <v>678</v>
      </c>
      <c r="F77" s="149">
        <f>FIND("A",E77)</f>
        <v>1</v>
      </c>
      <c r="H77" s="149" t="s">
        <v>678</v>
      </c>
      <c r="I77" s="149" t="str">
        <f>REPLACE(H77,5,4,2026)</f>
        <v>AXP-2026-MNO</v>
      </c>
      <c r="K77" s="149" t="s">
        <v>678</v>
      </c>
      <c r="L77" s="149">
        <f>SEARCH("o",K77)</f>
        <v>12</v>
      </c>
    </row>
    <row r="78" spans="2:12" x14ac:dyDescent="0.25">
      <c r="B78" s="149" t="s">
        <v>679</v>
      </c>
      <c r="C78" s="149" t="str">
        <f t="shared" ref="C78:C85" si="12">SUBSTITUTE(B78,"-","@")</f>
        <v>BTR@8492@KLM</v>
      </c>
      <c r="E78" s="149" t="s">
        <v>679</v>
      </c>
      <c r="F78" s="149" t="e">
        <f t="shared" ref="F78:F85" si="13">FIND("A",E78)</f>
        <v>#VALUE!</v>
      </c>
      <c r="H78" s="149" t="s">
        <v>679</v>
      </c>
      <c r="I78" s="149" t="str">
        <f t="shared" ref="I78:I85" si="14">REPLACE(H78,5,4,2026)</f>
        <v>BTR-2026-KLM</v>
      </c>
      <c r="K78" s="149" t="s">
        <v>679</v>
      </c>
      <c r="L78" s="149" t="e">
        <f t="shared" ref="L78:L85" si="15">SEARCH("o",K78)</f>
        <v>#VALUE!</v>
      </c>
    </row>
    <row r="79" spans="2:12" x14ac:dyDescent="0.25">
      <c r="B79" s="149" t="s">
        <v>680</v>
      </c>
      <c r="C79" s="149" t="str">
        <f t="shared" si="12"/>
        <v>COS@2345@YZQ</v>
      </c>
      <c r="E79" s="149" t="s">
        <v>680</v>
      </c>
      <c r="F79" s="149" t="e">
        <f t="shared" si="13"/>
        <v>#VALUE!</v>
      </c>
      <c r="H79" s="149" t="s">
        <v>680</v>
      </c>
      <c r="I79" s="149" t="str">
        <f t="shared" si="14"/>
        <v>COS-2026-YZQ</v>
      </c>
      <c r="K79" s="149" t="s">
        <v>680</v>
      </c>
      <c r="L79" s="149">
        <f t="shared" si="15"/>
        <v>2</v>
      </c>
    </row>
    <row r="80" spans="2:12" x14ac:dyDescent="0.25">
      <c r="B80" s="149" t="s">
        <v>681</v>
      </c>
      <c r="C80" s="149" t="str">
        <f t="shared" si="12"/>
        <v>DYN@6789@PQR</v>
      </c>
      <c r="E80" s="149" t="s">
        <v>681</v>
      </c>
      <c r="F80" s="149" t="e">
        <f t="shared" si="13"/>
        <v>#VALUE!</v>
      </c>
      <c r="H80" s="149" t="s">
        <v>681</v>
      </c>
      <c r="I80" s="149" t="str">
        <f t="shared" si="14"/>
        <v>DYN-2026-PQR</v>
      </c>
      <c r="K80" s="149" t="s">
        <v>681</v>
      </c>
      <c r="L80" s="149" t="e">
        <f t="shared" si="15"/>
        <v>#VALUE!</v>
      </c>
    </row>
    <row r="81" spans="2:12" x14ac:dyDescent="0.25">
      <c r="B81" s="149" t="s">
        <v>682</v>
      </c>
      <c r="C81" s="149" t="str">
        <f t="shared" si="12"/>
        <v>EIM@4532@ABC</v>
      </c>
      <c r="E81" s="149" t="s">
        <v>682</v>
      </c>
      <c r="F81" s="149">
        <f>FIND("A",E81)</f>
        <v>10</v>
      </c>
      <c r="H81" s="149" t="s">
        <v>682</v>
      </c>
      <c r="I81" s="149" t="str">
        <f t="shared" si="14"/>
        <v>EIM-2026-ABC</v>
      </c>
      <c r="K81" s="149" t="s">
        <v>682</v>
      </c>
      <c r="L81" s="149" t="e">
        <f t="shared" si="15"/>
        <v>#VALUE!</v>
      </c>
    </row>
    <row r="82" spans="2:12" x14ac:dyDescent="0.25">
      <c r="B82" s="149" t="s">
        <v>683</v>
      </c>
      <c r="C82" s="149" t="str">
        <f t="shared" si="12"/>
        <v>FVK@9102@DEF</v>
      </c>
      <c r="E82" s="149" t="s">
        <v>683</v>
      </c>
      <c r="F82" s="149" t="e">
        <f t="shared" si="13"/>
        <v>#VALUE!</v>
      </c>
      <c r="H82" s="149" t="s">
        <v>683</v>
      </c>
      <c r="I82" s="149" t="str">
        <f t="shared" si="14"/>
        <v>FVK-2026-DEF</v>
      </c>
      <c r="K82" s="149" t="s">
        <v>683</v>
      </c>
      <c r="L82" s="149" t="e">
        <f t="shared" si="15"/>
        <v>#VALUE!</v>
      </c>
    </row>
    <row r="83" spans="2:12" x14ac:dyDescent="0.25">
      <c r="B83" s="149" t="s">
        <v>684</v>
      </c>
      <c r="C83" s="149" t="str">
        <f t="shared" si="12"/>
        <v>GWL@3217@GHI</v>
      </c>
      <c r="E83" s="149" t="s">
        <v>684</v>
      </c>
      <c r="F83" s="149" t="e">
        <f t="shared" si="13"/>
        <v>#VALUE!</v>
      </c>
      <c r="H83" s="149" t="s">
        <v>684</v>
      </c>
      <c r="I83" s="149" t="str">
        <f t="shared" si="14"/>
        <v>GWL-2026-GHI</v>
      </c>
      <c r="K83" s="149" t="s">
        <v>684</v>
      </c>
      <c r="L83" s="149" t="e">
        <f t="shared" si="15"/>
        <v>#VALUE!</v>
      </c>
    </row>
    <row r="84" spans="2:12" x14ac:dyDescent="0.25">
      <c r="B84" s="149" t="s">
        <v>685</v>
      </c>
      <c r="C84" s="149" t="str">
        <f t="shared" si="12"/>
        <v>HZS@7654@JKL</v>
      </c>
      <c r="E84" s="149" t="s">
        <v>685</v>
      </c>
      <c r="F84" s="149" t="e">
        <f t="shared" si="13"/>
        <v>#VALUE!</v>
      </c>
      <c r="H84" s="149" t="s">
        <v>685</v>
      </c>
      <c r="I84" s="149" t="str">
        <f t="shared" si="14"/>
        <v>HZS-2026-JKL</v>
      </c>
      <c r="K84" s="149" t="s">
        <v>685</v>
      </c>
      <c r="L84" s="149" t="e">
        <f t="shared" si="15"/>
        <v>#VALUE!</v>
      </c>
    </row>
    <row r="85" spans="2:12" x14ac:dyDescent="0.25">
      <c r="B85" s="149" t="s">
        <v>686</v>
      </c>
      <c r="C85" s="149" t="str">
        <f t="shared" si="12"/>
        <v>JQP@1876@STU</v>
      </c>
      <c r="E85" s="149" t="s">
        <v>686</v>
      </c>
      <c r="F85" s="149" t="e">
        <f t="shared" si="13"/>
        <v>#VALUE!</v>
      </c>
      <c r="H85" s="149" t="s">
        <v>686</v>
      </c>
      <c r="I85" s="149" t="str">
        <f t="shared" si="14"/>
        <v>JQP-2026-STU</v>
      </c>
      <c r="K85" s="149" t="s">
        <v>686</v>
      </c>
      <c r="L85" s="149" t="e">
        <f t="shared" si="15"/>
        <v>#VALUE!</v>
      </c>
    </row>
    <row r="89" spans="2:12" ht="15.75" thickBot="1" x14ac:dyDescent="0.3"/>
    <row r="90" spans="2:12" ht="15.75" thickBot="1" x14ac:dyDescent="0.3">
      <c r="B90" s="258" t="s">
        <v>628</v>
      </c>
      <c r="C90" s="259"/>
    </row>
    <row r="91" spans="2:12" x14ac:dyDescent="0.25">
      <c r="B91" s="148" t="s">
        <v>743</v>
      </c>
      <c r="C91" s="148" t="s">
        <v>744</v>
      </c>
      <c r="D91" s="148" t="s">
        <v>745</v>
      </c>
      <c r="F91" s="258" t="s">
        <v>746</v>
      </c>
      <c r="G91" s="259"/>
      <c r="I91" s="258" t="s">
        <v>748</v>
      </c>
      <c r="J91" s="259"/>
    </row>
    <row r="92" spans="2:12" ht="30" x14ac:dyDescent="0.25">
      <c r="B92" s="183">
        <v>46309</v>
      </c>
      <c r="C92" s="149" t="str">
        <f>TEXT(B92,"D DDD")</f>
        <v>14 Wed</v>
      </c>
      <c r="D92" s="149" t="str">
        <f>TEXT(B92,"MMMM")</f>
        <v>October</v>
      </c>
      <c r="F92" s="184" t="s">
        <v>747</v>
      </c>
      <c r="G92" s="149">
        <f>VALUE(F92)</f>
        <v>12345</v>
      </c>
      <c r="I92" s="185" t="s">
        <v>749</v>
      </c>
      <c r="J92" s="149" t="str">
        <f>CLEAN(I92)</f>
        <v>OneebArif</v>
      </c>
    </row>
    <row r="93" spans="2:12" x14ac:dyDescent="0.25">
      <c r="B93" s="183">
        <v>46310</v>
      </c>
      <c r="C93" s="149" t="str">
        <f t="shared" ref="C93:C100" si="16">TEXT(B93,"DDDD")</f>
        <v>Thursday</v>
      </c>
      <c r="D93" s="149" t="str">
        <f t="shared" ref="D93:D100" si="17">TEXT(B93,"MMMM")</f>
        <v>October</v>
      </c>
    </row>
    <row r="94" spans="2:12" x14ac:dyDescent="0.25">
      <c r="B94" s="183">
        <v>46311</v>
      </c>
      <c r="C94" s="149" t="str">
        <f t="shared" si="16"/>
        <v>Friday</v>
      </c>
      <c r="D94" s="149" t="str">
        <f t="shared" si="17"/>
        <v>October</v>
      </c>
    </row>
    <row r="95" spans="2:12" x14ac:dyDescent="0.25">
      <c r="B95" s="183">
        <v>46312</v>
      </c>
      <c r="C95" s="149" t="str">
        <f t="shared" si="16"/>
        <v>Saturday</v>
      </c>
      <c r="D95" s="149" t="str">
        <f t="shared" si="17"/>
        <v>October</v>
      </c>
    </row>
    <row r="96" spans="2:12" ht="15.75" thickBot="1" x14ac:dyDescent="0.3">
      <c r="B96" s="183">
        <v>46313</v>
      </c>
      <c r="C96" s="149" t="str">
        <f t="shared" si="16"/>
        <v>Sunday</v>
      </c>
      <c r="D96" s="149" t="str">
        <f t="shared" si="17"/>
        <v>October</v>
      </c>
    </row>
    <row r="97" spans="2:10" x14ac:dyDescent="0.25">
      <c r="B97" s="183">
        <v>46314</v>
      </c>
      <c r="C97" s="149" t="str">
        <f t="shared" si="16"/>
        <v>Monday</v>
      </c>
      <c r="D97" s="149" t="str">
        <f t="shared" si="17"/>
        <v>October</v>
      </c>
      <c r="F97" s="258" t="s">
        <v>637</v>
      </c>
      <c r="G97" s="259"/>
      <c r="I97" s="258" t="s">
        <v>641</v>
      </c>
      <c r="J97" s="259"/>
    </row>
    <row r="98" spans="2:10" x14ac:dyDescent="0.25">
      <c r="B98" s="183">
        <v>46315</v>
      </c>
      <c r="C98" s="149" t="str">
        <f t="shared" si="16"/>
        <v>Tuesday</v>
      </c>
      <c r="D98" s="149" t="str">
        <f t="shared" si="17"/>
        <v>October</v>
      </c>
      <c r="F98" s="184" t="s">
        <v>750</v>
      </c>
      <c r="G98" s="149" t="str">
        <f>CHAR(F98)</f>
        <v>A</v>
      </c>
      <c r="I98" s="184" t="s">
        <v>751</v>
      </c>
      <c r="J98" s="149" t="str">
        <f>REPT(I98,5)</f>
        <v>%$%$%$%$%$</v>
      </c>
    </row>
    <row r="99" spans="2:10" x14ac:dyDescent="0.25">
      <c r="B99" s="183">
        <v>46316</v>
      </c>
      <c r="C99" s="149" t="str">
        <f t="shared" si="16"/>
        <v>Wednesday</v>
      </c>
      <c r="D99" s="149" t="str">
        <f t="shared" si="17"/>
        <v>October</v>
      </c>
    </row>
    <row r="100" spans="2:10" x14ac:dyDescent="0.25">
      <c r="B100" s="183">
        <v>46317</v>
      </c>
      <c r="C100" s="149" t="str">
        <f t="shared" si="16"/>
        <v>Thursday</v>
      </c>
      <c r="D100" s="149" t="str">
        <f t="shared" si="17"/>
        <v>October</v>
      </c>
    </row>
  </sheetData>
  <mergeCells count="24">
    <mergeCell ref="F97:G97"/>
    <mergeCell ref="I97:J97"/>
    <mergeCell ref="W45:Y45"/>
    <mergeCell ref="B32:C32"/>
    <mergeCell ref="E32:F32"/>
    <mergeCell ref="H32:I32"/>
    <mergeCell ref="B45:D45"/>
    <mergeCell ref="G45:I45"/>
    <mergeCell ref="K45:M45"/>
    <mergeCell ref="O45:Q45"/>
    <mergeCell ref="S45:U45"/>
    <mergeCell ref="B90:C90"/>
    <mergeCell ref="G59:I59"/>
    <mergeCell ref="B75:C75"/>
    <mergeCell ref="E75:F75"/>
    <mergeCell ref="K75:L75"/>
    <mergeCell ref="H75:I75"/>
    <mergeCell ref="F91:G91"/>
    <mergeCell ref="I91:J91"/>
    <mergeCell ref="E2:F2"/>
    <mergeCell ref="B2:C2"/>
    <mergeCell ref="H2:I2"/>
    <mergeCell ref="B16:C16"/>
    <mergeCell ref="E16:F1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3611-4A04-4C13-950D-B1A57B926186}">
  <dimension ref="B3:G33"/>
  <sheetViews>
    <sheetView topLeftCell="A4" workbookViewId="0">
      <selection activeCell="B19" sqref="B19:G21"/>
    </sheetView>
  </sheetViews>
  <sheetFormatPr defaultRowHeight="15" x14ac:dyDescent="0.25"/>
  <cols>
    <col min="1" max="1" width="9.140625" customWidth="1"/>
    <col min="2" max="2" width="8.5703125" customWidth="1"/>
    <col min="3" max="3" width="18.140625" customWidth="1"/>
    <col min="4" max="5" width="36.140625" customWidth="1"/>
    <col min="6" max="6" width="28.5703125" customWidth="1"/>
    <col min="7" max="7" width="41.85546875" customWidth="1"/>
  </cols>
  <sheetData>
    <row r="3" spans="2:7" x14ac:dyDescent="0.25">
      <c r="B3" s="188" t="s">
        <v>559</v>
      </c>
      <c r="C3" s="186" t="s">
        <v>560</v>
      </c>
      <c r="D3" s="186" t="s">
        <v>561</v>
      </c>
      <c r="E3" s="186" t="s">
        <v>752</v>
      </c>
      <c r="F3" s="186" t="s">
        <v>562</v>
      </c>
      <c r="G3" s="189" t="s">
        <v>563</v>
      </c>
    </row>
    <row r="4" spans="2:7" x14ac:dyDescent="0.25">
      <c r="B4" s="201">
        <v>1</v>
      </c>
      <c r="C4" s="199" t="s">
        <v>753</v>
      </c>
      <c r="D4" s="190" t="s">
        <v>754</v>
      </c>
      <c r="E4" s="190" t="s">
        <v>755</v>
      </c>
      <c r="F4" s="190" t="s">
        <v>756</v>
      </c>
      <c r="G4" s="191" t="s">
        <v>757</v>
      </c>
    </row>
    <row r="5" spans="2:7" x14ac:dyDescent="0.25">
      <c r="B5" s="202">
        <v>2</v>
      </c>
      <c r="C5" s="200" t="s">
        <v>758</v>
      </c>
      <c r="D5" s="187" t="s">
        <v>759</v>
      </c>
      <c r="E5" s="187" t="s">
        <v>760</v>
      </c>
      <c r="F5" s="187" t="s">
        <v>761</v>
      </c>
      <c r="G5" s="192" t="s">
        <v>762</v>
      </c>
    </row>
    <row r="6" spans="2:7" x14ac:dyDescent="0.25">
      <c r="B6" s="202">
        <v>3</v>
      </c>
      <c r="C6" s="200" t="s">
        <v>763</v>
      </c>
      <c r="D6" s="187" t="s">
        <v>764</v>
      </c>
      <c r="E6" s="187" t="s">
        <v>765</v>
      </c>
      <c r="F6" s="187" t="s">
        <v>766</v>
      </c>
      <c r="G6" s="192" t="s">
        <v>767</v>
      </c>
    </row>
    <row r="7" spans="2:7" x14ac:dyDescent="0.25">
      <c r="B7" s="202">
        <v>4</v>
      </c>
      <c r="C7" s="200" t="s">
        <v>768</v>
      </c>
      <c r="D7" s="187" t="s">
        <v>769</v>
      </c>
      <c r="E7" s="187" t="s">
        <v>770</v>
      </c>
      <c r="F7" s="187" t="s">
        <v>771</v>
      </c>
      <c r="G7" s="192" t="s">
        <v>772</v>
      </c>
    </row>
    <row r="8" spans="2:7" x14ac:dyDescent="0.25">
      <c r="B8" s="202">
        <v>5</v>
      </c>
      <c r="C8" s="200" t="s">
        <v>773</v>
      </c>
      <c r="D8" s="187" t="s">
        <v>774</v>
      </c>
      <c r="E8" s="187" t="s">
        <v>775</v>
      </c>
      <c r="F8" s="187" t="s">
        <v>776</v>
      </c>
      <c r="G8" s="192" t="s">
        <v>777</v>
      </c>
    </row>
    <row r="9" spans="2:7" x14ac:dyDescent="0.25">
      <c r="B9" s="202">
        <v>6</v>
      </c>
      <c r="C9" s="200" t="s">
        <v>778</v>
      </c>
      <c r="D9" s="187" t="s">
        <v>779</v>
      </c>
      <c r="E9" s="187" t="s">
        <v>780</v>
      </c>
      <c r="F9" s="187" t="s">
        <v>781</v>
      </c>
      <c r="G9" s="192" t="s">
        <v>782</v>
      </c>
    </row>
    <row r="10" spans="2:7" x14ac:dyDescent="0.25">
      <c r="B10" s="202">
        <v>7</v>
      </c>
      <c r="C10" s="200" t="s">
        <v>783</v>
      </c>
      <c r="D10" s="187" t="s">
        <v>784</v>
      </c>
      <c r="E10" s="187" t="s">
        <v>785</v>
      </c>
      <c r="F10" s="187" t="s">
        <v>786</v>
      </c>
      <c r="G10" s="192" t="s">
        <v>787</v>
      </c>
    </row>
    <row r="11" spans="2:7" x14ac:dyDescent="0.25">
      <c r="B11" s="202">
        <v>8</v>
      </c>
      <c r="C11" s="200" t="s">
        <v>788</v>
      </c>
      <c r="D11" s="187" t="s">
        <v>789</v>
      </c>
      <c r="E11" s="187" t="s">
        <v>790</v>
      </c>
      <c r="F11" s="187" t="s">
        <v>791</v>
      </c>
      <c r="G11" s="192" t="s">
        <v>792</v>
      </c>
    </row>
    <row r="12" spans="2:7" x14ac:dyDescent="0.25">
      <c r="B12" s="202">
        <v>9</v>
      </c>
      <c r="C12" s="200" t="s">
        <v>793</v>
      </c>
      <c r="D12" s="187" t="s">
        <v>794</v>
      </c>
      <c r="E12" s="187" t="s">
        <v>795</v>
      </c>
      <c r="F12" s="187" t="s">
        <v>796</v>
      </c>
      <c r="G12" s="192" t="s">
        <v>797</v>
      </c>
    </row>
    <row r="13" spans="2:7" x14ac:dyDescent="0.25">
      <c r="B13" s="205">
        <v>10</v>
      </c>
      <c r="C13" s="206" t="s">
        <v>798</v>
      </c>
      <c r="D13" s="193" t="s">
        <v>799</v>
      </c>
      <c r="E13" s="193" t="s">
        <v>800</v>
      </c>
      <c r="F13" s="193" t="s">
        <v>801</v>
      </c>
      <c r="G13" s="195" t="s">
        <v>802</v>
      </c>
    </row>
    <row r="14" spans="2:7" x14ac:dyDescent="0.25">
      <c r="B14" s="204">
        <v>11</v>
      </c>
      <c r="C14" s="203" t="s">
        <v>803</v>
      </c>
      <c r="D14" s="194" t="s">
        <v>804</v>
      </c>
      <c r="E14" s="194" t="s">
        <v>805</v>
      </c>
      <c r="F14" s="194" t="s">
        <v>806</v>
      </c>
      <c r="G14" s="196" t="s">
        <v>807</v>
      </c>
    </row>
    <row r="15" spans="2:7" x14ac:dyDescent="0.25">
      <c r="B15" s="204">
        <v>12</v>
      </c>
      <c r="C15" s="203" t="s">
        <v>808</v>
      </c>
      <c r="D15" s="194" t="s">
        <v>809</v>
      </c>
      <c r="E15" s="194" t="s">
        <v>810</v>
      </c>
      <c r="F15" s="194" t="s">
        <v>811</v>
      </c>
      <c r="G15" s="196" t="s">
        <v>812</v>
      </c>
    </row>
    <row r="16" spans="2:7" x14ac:dyDescent="0.25">
      <c r="B16" s="216">
        <v>13</v>
      </c>
      <c r="C16" s="217" t="s">
        <v>813</v>
      </c>
      <c r="D16" s="218" t="s">
        <v>814</v>
      </c>
      <c r="E16" s="218" t="s">
        <v>815</v>
      </c>
      <c r="F16" s="218" t="s">
        <v>816</v>
      </c>
      <c r="G16" s="219" t="s">
        <v>817</v>
      </c>
    </row>
    <row r="17" spans="2:7" x14ac:dyDescent="0.25">
      <c r="B17" s="216">
        <v>14</v>
      </c>
      <c r="C17" s="217" t="s">
        <v>818</v>
      </c>
      <c r="D17" s="218" t="s">
        <v>819</v>
      </c>
      <c r="E17" s="218" t="s">
        <v>820</v>
      </c>
      <c r="F17" s="218" t="s">
        <v>821</v>
      </c>
      <c r="G17" s="219" t="s">
        <v>822</v>
      </c>
    </row>
    <row r="18" spans="2:7" x14ac:dyDescent="0.25">
      <c r="B18" s="204">
        <v>15</v>
      </c>
      <c r="C18" s="203" t="s">
        <v>823</v>
      </c>
      <c r="D18" s="194" t="s">
        <v>824</v>
      </c>
      <c r="E18" s="194" t="s">
        <v>825</v>
      </c>
      <c r="F18" s="194" t="s">
        <v>826</v>
      </c>
      <c r="G18" s="196" t="s">
        <v>827</v>
      </c>
    </row>
    <row r="19" spans="2:7" x14ac:dyDescent="0.25">
      <c r="B19" s="228">
        <v>16</v>
      </c>
      <c r="C19" s="229" t="s">
        <v>828</v>
      </c>
      <c r="D19" s="230" t="s">
        <v>829</v>
      </c>
      <c r="E19" s="230" t="s">
        <v>830</v>
      </c>
      <c r="F19" s="230" t="s">
        <v>831</v>
      </c>
      <c r="G19" s="231" t="s">
        <v>832</v>
      </c>
    </row>
    <row r="20" spans="2:7" x14ac:dyDescent="0.25">
      <c r="B20" s="232">
        <v>17</v>
      </c>
      <c r="C20" s="233" t="s">
        <v>833</v>
      </c>
      <c r="D20" s="234" t="s">
        <v>834</v>
      </c>
      <c r="E20" s="234" t="s">
        <v>835</v>
      </c>
      <c r="F20" s="234" t="s">
        <v>836</v>
      </c>
      <c r="G20" s="235" t="s">
        <v>837</v>
      </c>
    </row>
    <row r="21" spans="2:7" x14ac:dyDescent="0.25">
      <c r="B21" s="228">
        <v>18</v>
      </c>
      <c r="C21" s="229" t="s">
        <v>838</v>
      </c>
      <c r="D21" s="230" t="s">
        <v>839</v>
      </c>
      <c r="E21" s="230" t="s">
        <v>840</v>
      </c>
      <c r="F21" s="230" t="s">
        <v>841</v>
      </c>
      <c r="G21" s="231" t="s">
        <v>842</v>
      </c>
    </row>
    <row r="22" spans="2:7" x14ac:dyDescent="0.25">
      <c r="B22" s="208">
        <v>19</v>
      </c>
      <c r="C22" s="207" t="s">
        <v>843</v>
      </c>
      <c r="D22" s="197" t="s">
        <v>844</v>
      </c>
      <c r="E22" s="197" t="s">
        <v>845</v>
      </c>
      <c r="F22" s="197" t="s">
        <v>846</v>
      </c>
      <c r="G22" s="198" t="s">
        <v>847</v>
      </c>
    </row>
    <row r="23" spans="2:7" x14ac:dyDescent="0.25">
      <c r="B23" s="208">
        <v>20</v>
      </c>
      <c r="C23" s="207" t="s">
        <v>848</v>
      </c>
      <c r="D23" s="197" t="s">
        <v>849</v>
      </c>
      <c r="E23" s="197" t="s">
        <v>850</v>
      </c>
      <c r="F23" s="197" t="s">
        <v>851</v>
      </c>
      <c r="G23" s="198" t="s">
        <v>852</v>
      </c>
    </row>
    <row r="24" spans="2:7" x14ac:dyDescent="0.25">
      <c r="B24" s="208">
        <v>21</v>
      </c>
      <c r="C24" s="207" t="s">
        <v>853</v>
      </c>
      <c r="D24" s="197" t="s">
        <v>854</v>
      </c>
      <c r="E24" s="197" t="s">
        <v>855</v>
      </c>
      <c r="F24" s="197" t="s">
        <v>856</v>
      </c>
      <c r="G24" s="198" t="s">
        <v>857</v>
      </c>
    </row>
    <row r="25" spans="2:7" x14ac:dyDescent="0.25">
      <c r="B25" s="208">
        <v>22</v>
      </c>
      <c r="C25" s="207" t="s">
        <v>858</v>
      </c>
      <c r="D25" s="197" t="s">
        <v>859</v>
      </c>
      <c r="E25" s="197" t="s">
        <v>860</v>
      </c>
      <c r="F25" s="197" t="s">
        <v>861</v>
      </c>
      <c r="G25" s="198" t="s">
        <v>862</v>
      </c>
    </row>
    <row r="26" spans="2:7" x14ac:dyDescent="0.25">
      <c r="B26" s="220">
        <v>23</v>
      </c>
      <c r="C26" s="221" t="s">
        <v>863</v>
      </c>
      <c r="D26" s="222" t="s">
        <v>864</v>
      </c>
      <c r="E26" s="222" t="s">
        <v>865</v>
      </c>
      <c r="F26" s="222" t="s">
        <v>866</v>
      </c>
      <c r="G26" s="223" t="s">
        <v>867</v>
      </c>
    </row>
    <row r="27" spans="2:7" x14ac:dyDescent="0.25">
      <c r="B27" s="224">
        <v>24</v>
      </c>
      <c r="C27" s="225" t="s">
        <v>868</v>
      </c>
      <c r="D27" s="226" t="s">
        <v>869</v>
      </c>
      <c r="E27" s="226" t="s">
        <v>870</v>
      </c>
      <c r="F27" s="226" t="s">
        <v>871</v>
      </c>
      <c r="G27" s="227" t="s">
        <v>872</v>
      </c>
    </row>
    <row r="28" spans="2:7" x14ac:dyDescent="0.25">
      <c r="B28" s="224">
        <v>25</v>
      </c>
      <c r="C28" s="225" t="s">
        <v>873</v>
      </c>
      <c r="D28" s="226" t="s">
        <v>874</v>
      </c>
      <c r="E28" s="226" t="s">
        <v>875</v>
      </c>
      <c r="F28" s="226" t="s">
        <v>876</v>
      </c>
      <c r="G28" s="227" t="s">
        <v>877</v>
      </c>
    </row>
    <row r="29" spans="2:7" x14ac:dyDescent="0.25">
      <c r="B29" s="210">
        <v>26</v>
      </c>
      <c r="C29" s="211" t="s">
        <v>878</v>
      </c>
      <c r="D29" s="212" t="s">
        <v>879</v>
      </c>
      <c r="E29" s="212" t="s">
        <v>880</v>
      </c>
      <c r="F29" s="212" t="s">
        <v>881</v>
      </c>
      <c r="G29" s="213" t="s">
        <v>882</v>
      </c>
    </row>
    <row r="30" spans="2:7" x14ac:dyDescent="0.25">
      <c r="B30" s="210">
        <v>27</v>
      </c>
      <c r="C30" s="211" t="s">
        <v>883</v>
      </c>
      <c r="D30" s="212" t="s">
        <v>884</v>
      </c>
      <c r="E30" s="212" t="s">
        <v>885</v>
      </c>
      <c r="F30" s="212" t="s">
        <v>886</v>
      </c>
      <c r="G30" s="213" t="s">
        <v>887</v>
      </c>
    </row>
    <row r="31" spans="2:7" x14ac:dyDescent="0.25">
      <c r="B31" s="210">
        <v>28</v>
      </c>
      <c r="C31" s="211" t="s">
        <v>888</v>
      </c>
      <c r="D31" s="212" t="s">
        <v>889</v>
      </c>
      <c r="E31" s="212" t="s">
        <v>890</v>
      </c>
      <c r="F31" s="212" t="s">
        <v>891</v>
      </c>
      <c r="G31" s="213" t="s">
        <v>892</v>
      </c>
    </row>
    <row r="32" spans="2:7" x14ac:dyDescent="0.25">
      <c r="B32" s="214">
        <v>29</v>
      </c>
      <c r="C32" s="215" t="s">
        <v>893</v>
      </c>
      <c r="D32" s="212" t="s">
        <v>894</v>
      </c>
      <c r="E32" s="212" t="s">
        <v>895</v>
      </c>
      <c r="F32" s="212" t="s">
        <v>896</v>
      </c>
      <c r="G32" s="213" t="s">
        <v>897</v>
      </c>
    </row>
    <row r="33" spans="2:7" x14ac:dyDescent="0.25">
      <c r="B33" s="261" t="s">
        <v>898</v>
      </c>
      <c r="C33" s="262"/>
      <c r="D33" s="262"/>
      <c r="E33" s="262"/>
      <c r="F33" s="262"/>
      <c r="G33" s="263"/>
    </row>
  </sheetData>
  <mergeCells count="1">
    <mergeCell ref="B33:G3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9442-C99E-46AE-BA24-6CDCF6B108E6}">
  <dimension ref="A1:N54"/>
  <sheetViews>
    <sheetView tabSelected="1" zoomScale="55" zoomScaleNormal="55" workbookViewId="0">
      <selection activeCell="J9" sqref="J9"/>
    </sheetView>
  </sheetViews>
  <sheetFormatPr defaultRowHeight="15" x14ac:dyDescent="0.25"/>
  <cols>
    <col min="2" max="2" width="11.5703125" customWidth="1"/>
    <col min="3" max="3" width="13.140625" customWidth="1"/>
    <col min="4" max="4" width="12.42578125" customWidth="1"/>
    <col min="6" max="6" width="11.5703125" customWidth="1"/>
    <col min="7" max="7" width="13.140625" customWidth="1"/>
    <col min="8" max="8" width="14.42578125" bestFit="1" customWidth="1"/>
    <col min="10" max="10" width="11.5703125" customWidth="1"/>
    <col min="11" max="11" width="13.140625" customWidth="1"/>
    <col min="12" max="12" width="14.42578125" bestFit="1" customWidth="1"/>
    <col min="13" max="13" width="12.42578125" customWidth="1"/>
  </cols>
  <sheetData>
    <row r="1" spans="1:8" x14ac:dyDescent="0.25">
      <c r="A1" t="s">
        <v>535</v>
      </c>
    </row>
    <row r="3" spans="1:8" x14ac:dyDescent="0.25">
      <c r="B3" s="264" t="s">
        <v>899</v>
      </c>
      <c r="C3" s="264"/>
      <c r="D3" s="264"/>
      <c r="F3" s="260" t="s">
        <v>828</v>
      </c>
      <c r="G3" s="260"/>
      <c r="H3" s="260"/>
    </row>
    <row r="4" spans="1:8" x14ac:dyDescent="0.25">
      <c r="B4" s="209">
        <f t="shared" ref="B4:D13" ca="1" si="0">RAND()</f>
        <v>0.16072348080125931</v>
      </c>
      <c r="C4" s="168">
        <f t="shared" ca="1" si="0"/>
        <v>0.75384475150803354</v>
      </c>
      <c r="D4" s="168">
        <f t="shared" ca="1" si="0"/>
        <v>0.36870332964025232</v>
      </c>
      <c r="F4" s="167" t="s">
        <v>901</v>
      </c>
      <c r="G4" s="167" t="s">
        <v>902</v>
      </c>
      <c r="H4" s="167" t="s">
        <v>828</v>
      </c>
    </row>
    <row r="5" spans="1:8" x14ac:dyDescent="0.25">
      <c r="B5" s="209">
        <f t="shared" ca="1" si="0"/>
        <v>0.13476323169696747</v>
      </c>
      <c r="C5" s="168">
        <f t="shared" ca="1" si="0"/>
        <v>0.52370077394828962</v>
      </c>
      <c r="D5" s="168">
        <f t="shared" ca="1" si="0"/>
        <v>0.65679199020861345</v>
      </c>
      <c r="F5" s="169">
        <v>1</v>
      </c>
      <c r="G5" s="168">
        <v>186.74647918864025</v>
      </c>
      <c r="H5" s="168">
        <f>ROUND(G5,3)</f>
        <v>186.74600000000001</v>
      </c>
    </row>
    <row r="6" spans="1:8" x14ac:dyDescent="0.25">
      <c r="B6" s="209">
        <f t="shared" ca="1" si="0"/>
        <v>0.8778653970739787</v>
      </c>
      <c r="C6" s="168">
        <f t="shared" ca="1" si="0"/>
        <v>0.95180327718179625</v>
      </c>
      <c r="D6" s="168">
        <f t="shared" ca="1" si="0"/>
        <v>0.66239914437781122</v>
      </c>
      <c r="F6" s="169">
        <v>2</v>
      </c>
      <c r="G6" s="168">
        <v>1134.2033634091172</v>
      </c>
      <c r="H6" s="168">
        <f t="shared" ref="H6:H14" si="1">ROUND(G6,3)</f>
        <v>1134.203</v>
      </c>
    </row>
    <row r="7" spans="1:8" x14ac:dyDescent="0.25">
      <c r="B7" s="209">
        <f t="shared" ca="1" si="0"/>
        <v>0.31596278131754751</v>
      </c>
      <c r="C7" s="168">
        <f t="shared" ca="1" si="0"/>
        <v>0.41184179716271396</v>
      </c>
      <c r="D7" s="168">
        <f t="shared" ca="1" si="0"/>
        <v>0.63112812865155266</v>
      </c>
      <c r="F7" s="169">
        <v>3</v>
      </c>
      <c r="G7" s="168">
        <v>1056.2609033230992</v>
      </c>
      <c r="H7" s="168">
        <f t="shared" si="1"/>
        <v>1056.261</v>
      </c>
    </row>
    <row r="8" spans="1:8" x14ac:dyDescent="0.25">
      <c r="B8" s="209">
        <f t="shared" ca="1" si="0"/>
        <v>0.50802196321477022</v>
      </c>
      <c r="C8" s="168">
        <f t="shared" ca="1" si="0"/>
        <v>0.90168968882796763</v>
      </c>
      <c r="D8" s="168">
        <f t="shared" ca="1" si="0"/>
        <v>0.46358484573139747</v>
      </c>
      <c r="F8" s="169">
        <v>4</v>
      </c>
      <c r="G8" s="168">
        <v>444.95536951220424</v>
      </c>
      <c r="H8" s="168">
        <f t="shared" si="1"/>
        <v>444.95499999999998</v>
      </c>
    </row>
    <row r="9" spans="1:8" x14ac:dyDescent="0.25">
      <c r="B9" s="209">
        <f t="shared" ca="1" si="0"/>
        <v>0.94847096584345303</v>
      </c>
      <c r="C9" s="168">
        <f t="shared" ca="1" si="0"/>
        <v>0.96334856447294026</v>
      </c>
      <c r="D9" s="168">
        <f t="shared" ca="1" si="0"/>
        <v>0.1903252033243259</v>
      </c>
      <c r="F9" s="169">
        <v>5</v>
      </c>
      <c r="G9" s="168">
        <v>1319.4698803550457</v>
      </c>
      <c r="H9" s="168">
        <f t="shared" si="1"/>
        <v>1319.47</v>
      </c>
    </row>
    <row r="10" spans="1:8" x14ac:dyDescent="0.25">
      <c r="B10" s="209">
        <f t="shared" ca="1" si="0"/>
        <v>0.8730117237329752</v>
      </c>
      <c r="C10" s="168">
        <f t="shared" ca="1" si="0"/>
        <v>0.93214034270350299</v>
      </c>
      <c r="D10" s="168">
        <f t="shared" ca="1" si="0"/>
        <v>0.28416207615293831</v>
      </c>
      <c r="F10" s="169">
        <v>6</v>
      </c>
      <c r="G10" s="168">
        <v>226.9273016860318</v>
      </c>
      <c r="H10" s="168">
        <f t="shared" si="1"/>
        <v>226.92699999999999</v>
      </c>
    </row>
    <row r="11" spans="1:8" x14ac:dyDescent="0.25">
      <c r="B11" s="209">
        <f t="shared" ca="1" si="0"/>
        <v>0.43536000754022985</v>
      </c>
      <c r="C11" s="168">
        <f t="shared" ca="1" si="0"/>
        <v>0.84686831864136602</v>
      </c>
      <c r="D11" s="168">
        <f t="shared" ca="1" si="0"/>
        <v>0.61444447125136448</v>
      </c>
      <c r="F11" s="169">
        <v>7</v>
      </c>
      <c r="G11" s="168">
        <v>130.1594492248114</v>
      </c>
      <c r="H11" s="168">
        <f t="shared" si="1"/>
        <v>130.15899999999999</v>
      </c>
    </row>
    <row r="12" spans="1:8" x14ac:dyDescent="0.25">
      <c r="B12" s="209">
        <f t="shared" ca="1" si="0"/>
        <v>0.48207384630522954</v>
      </c>
      <c r="C12" s="168">
        <f t="shared" ca="1" si="0"/>
        <v>0.49525882339465155</v>
      </c>
      <c r="D12" s="168">
        <f t="shared" ca="1" si="0"/>
        <v>0.92004881192326937</v>
      </c>
      <c r="F12" s="169">
        <v>8</v>
      </c>
      <c r="G12" s="168">
        <v>351.12731634061288</v>
      </c>
      <c r="H12" s="168">
        <f t="shared" si="1"/>
        <v>351.12700000000001</v>
      </c>
    </row>
    <row r="13" spans="1:8" x14ac:dyDescent="0.25">
      <c r="B13" s="209">
        <f t="shared" ca="1" si="0"/>
        <v>0.47683426340050916</v>
      </c>
      <c r="C13" s="168">
        <f t="shared" ca="1" si="0"/>
        <v>0.91071465055975598</v>
      </c>
      <c r="D13" s="168">
        <f t="shared" ca="1" si="0"/>
        <v>0.37455863899222386</v>
      </c>
      <c r="F13" s="169">
        <v>9</v>
      </c>
      <c r="G13" s="168">
        <v>1433.0594361477456</v>
      </c>
      <c r="H13" s="168">
        <f t="shared" si="1"/>
        <v>1433.059</v>
      </c>
    </row>
    <row r="14" spans="1:8" x14ac:dyDescent="0.25">
      <c r="F14" s="169">
        <v>10</v>
      </c>
      <c r="G14" s="168">
        <v>214.62573845192333</v>
      </c>
      <c r="H14" s="168">
        <f t="shared" si="1"/>
        <v>214.626</v>
      </c>
    </row>
    <row r="17" spans="2:13" x14ac:dyDescent="0.25">
      <c r="B17" s="264" t="s">
        <v>900</v>
      </c>
      <c r="C17" s="264"/>
      <c r="D17" s="264"/>
      <c r="F17" s="260" t="s">
        <v>903</v>
      </c>
      <c r="G17" s="260"/>
      <c r="H17" s="260"/>
      <c r="J17" s="260" t="s">
        <v>906</v>
      </c>
      <c r="K17" s="260"/>
      <c r="L17" s="260"/>
      <c r="M17" s="260"/>
    </row>
    <row r="18" spans="2:13" x14ac:dyDescent="0.25">
      <c r="B18" s="209">
        <f ca="1">RANDBETWEEN(0,100)</f>
        <v>13</v>
      </c>
      <c r="C18" s="168">
        <f t="shared" ref="B18:D27" ca="1" si="2">RANDBETWEEN(0,100)</f>
        <v>41</v>
      </c>
      <c r="D18" s="168">
        <f t="shared" ca="1" si="2"/>
        <v>9</v>
      </c>
      <c r="F18" s="167" t="s">
        <v>901</v>
      </c>
      <c r="G18" s="167" t="s">
        <v>902</v>
      </c>
      <c r="H18" s="167" t="s">
        <v>903</v>
      </c>
      <c r="J18" s="167" t="s">
        <v>901</v>
      </c>
      <c r="K18" s="167" t="s">
        <v>902</v>
      </c>
      <c r="L18" s="167" t="s">
        <v>905</v>
      </c>
      <c r="M18" s="167" t="s">
        <v>848</v>
      </c>
    </row>
    <row r="19" spans="2:13" x14ac:dyDescent="0.25">
      <c r="B19" s="209">
        <f t="shared" ca="1" si="2"/>
        <v>46</v>
      </c>
      <c r="C19" s="168">
        <f t="shared" ca="1" si="2"/>
        <v>91</v>
      </c>
      <c r="D19" s="168">
        <f t="shared" ca="1" si="2"/>
        <v>75</v>
      </c>
      <c r="F19" s="169">
        <v>1</v>
      </c>
      <c r="G19" s="168">
        <v>186.74647918864025</v>
      </c>
      <c r="H19" s="168">
        <f>ROUNDUP(G19,3)</f>
        <v>186.74700000000001</v>
      </c>
      <c r="J19" s="169">
        <v>1</v>
      </c>
      <c r="K19" s="168">
        <v>186.74647918864025</v>
      </c>
      <c r="L19" s="168">
        <f>INT(K19)</f>
        <v>186</v>
      </c>
      <c r="M19" s="168">
        <f>TRUNC(K19,1)</f>
        <v>186.7</v>
      </c>
    </row>
    <row r="20" spans="2:13" x14ac:dyDescent="0.25">
      <c r="B20" s="209">
        <f t="shared" ca="1" si="2"/>
        <v>8</v>
      </c>
      <c r="C20" s="168">
        <f t="shared" ca="1" si="2"/>
        <v>30</v>
      </c>
      <c r="D20" s="168">
        <f t="shared" ca="1" si="2"/>
        <v>94</v>
      </c>
      <c r="F20" s="169">
        <v>2</v>
      </c>
      <c r="G20" s="168">
        <v>1134.2033634091172</v>
      </c>
      <c r="H20" s="168">
        <f t="shared" ref="H20:H28" si="3">ROUNDUP(G20,3)</f>
        <v>1134.204</v>
      </c>
      <c r="J20" s="169">
        <v>2</v>
      </c>
      <c r="K20" s="168">
        <v>1134.2033634091172</v>
      </c>
      <c r="L20" s="168">
        <f t="shared" ref="L20:L28" si="4">INT(K20)</f>
        <v>1134</v>
      </c>
      <c r="M20" s="168">
        <f t="shared" ref="M20:M28" si="5">TRUNC(K20,1)</f>
        <v>1134.2</v>
      </c>
    </row>
    <row r="21" spans="2:13" x14ac:dyDescent="0.25">
      <c r="B21" s="209">
        <f t="shared" ca="1" si="2"/>
        <v>34</v>
      </c>
      <c r="C21" s="168">
        <f t="shared" ca="1" si="2"/>
        <v>57</v>
      </c>
      <c r="D21" s="168">
        <f t="shared" ca="1" si="2"/>
        <v>76</v>
      </c>
      <c r="F21" s="169">
        <v>3</v>
      </c>
      <c r="G21" s="168">
        <v>1056.2609033230992</v>
      </c>
      <c r="H21" s="168">
        <f t="shared" si="3"/>
        <v>1056.261</v>
      </c>
      <c r="J21" s="169">
        <v>3</v>
      </c>
      <c r="K21" s="168">
        <v>1056.2609033230992</v>
      </c>
      <c r="L21" s="168">
        <f t="shared" si="4"/>
        <v>1056</v>
      </c>
      <c r="M21" s="168">
        <f t="shared" si="5"/>
        <v>1056.2</v>
      </c>
    </row>
    <row r="22" spans="2:13" x14ac:dyDescent="0.25">
      <c r="B22" s="209">
        <f t="shared" ca="1" si="2"/>
        <v>67</v>
      </c>
      <c r="C22" s="168">
        <f t="shared" ca="1" si="2"/>
        <v>66</v>
      </c>
      <c r="D22" s="168">
        <f t="shared" ca="1" si="2"/>
        <v>3</v>
      </c>
      <c r="F22" s="169">
        <v>4</v>
      </c>
      <c r="G22" s="168">
        <v>444.95536951220424</v>
      </c>
      <c r="H22" s="168">
        <f t="shared" si="3"/>
        <v>444.95599999999996</v>
      </c>
      <c r="J22" s="169">
        <v>4</v>
      </c>
      <c r="K22" s="168">
        <v>444.95536951220424</v>
      </c>
      <c r="L22" s="168">
        <f t="shared" si="4"/>
        <v>444</v>
      </c>
      <c r="M22" s="168">
        <f t="shared" si="5"/>
        <v>444.9</v>
      </c>
    </row>
    <row r="23" spans="2:13" x14ac:dyDescent="0.25">
      <c r="B23" s="209">
        <f t="shared" ca="1" si="2"/>
        <v>76</v>
      </c>
      <c r="C23" s="168">
        <f t="shared" ca="1" si="2"/>
        <v>84</v>
      </c>
      <c r="D23" s="168">
        <f t="shared" ca="1" si="2"/>
        <v>20</v>
      </c>
      <c r="F23" s="169">
        <v>5</v>
      </c>
      <c r="G23" s="168">
        <v>1319.4698803550457</v>
      </c>
      <c r="H23" s="168">
        <f t="shared" si="3"/>
        <v>1319.47</v>
      </c>
      <c r="J23" s="169">
        <v>5</v>
      </c>
      <c r="K23" s="168">
        <v>1319.4698803550457</v>
      </c>
      <c r="L23" s="168">
        <f t="shared" si="4"/>
        <v>1319</v>
      </c>
      <c r="M23" s="168">
        <f t="shared" si="5"/>
        <v>1319.4</v>
      </c>
    </row>
    <row r="24" spans="2:13" x14ac:dyDescent="0.25">
      <c r="B24" s="209">
        <f t="shared" ca="1" si="2"/>
        <v>24</v>
      </c>
      <c r="C24" s="168">
        <f t="shared" ca="1" si="2"/>
        <v>49</v>
      </c>
      <c r="D24" s="168">
        <f t="shared" ca="1" si="2"/>
        <v>85</v>
      </c>
      <c r="F24" s="169">
        <v>6</v>
      </c>
      <c r="G24" s="168">
        <v>226.9273016860318</v>
      </c>
      <c r="H24" s="168">
        <f t="shared" si="3"/>
        <v>226.928</v>
      </c>
      <c r="J24" s="169">
        <v>6</v>
      </c>
      <c r="K24" s="168">
        <v>226.9273016860318</v>
      </c>
      <c r="L24" s="168">
        <f t="shared" si="4"/>
        <v>226</v>
      </c>
      <c r="M24" s="168">
        <f t="shared" si="5"/>
        <v>226.9</v>
      </c>
    </row>
    <row r="25" spans="2:13" x14ac:dyDescent="0.25">
      <c r="B25" s="209">
        <f t="shared" ca="1" si="2"/>
        <v>66</v>
      </c>
      <c r="C25" s="168">
        <f t="shared" ca="1" si="2"/>
        <v>97</v>
      </c>
      <c r="D25" s="168">
        <f t="shared" ca="1" si="2"/>
        <v>90</v>
      </c>
      <c r="F25" s="169">
        <v>7</v>
      </c>
      <c r="G25" s="168">
        <v>130.1594492248114</v>
      </c>
      <c r="H25" s="168">
        <f t="shared" si="3"/>
        <v>130.16</v>
      </c>
      <c r="J25" s="169">
        <v>7</v>
      </c>
      <c r="K25" s="168">
        <v>130.1594492248114</v>
      </c>
      <c r="L25" s="168">
        <f t="shared" si="4"/>
        <v>130</v>
      </c>
      <c r="M25" s="168">
        <f t="shared" si="5"/>
        <v>130.1</v>
      </c>
    </row>
    <row r="26" spans="2:13" x14ac:dyDescent="0.25">
      <c r="B26" s="209">
        <f t="shared" ca="1" si="2"/>
        <v>83</v>
      </c>
      <c r="C26" s="168">
        <f t="shared" ca="1" si="2"/>
        <v>29</v>
      </c>
      <c r="D26" s="168">
        <f t="shared" ca="1" si="2"/>
        <v>34</v>
      </c>
      <c r="F26" s="169">
        <v>8</v>
      </c>
      <c r="G26" s="168">
        <v>351.12731634061288</v>
      </c>
      <c r="H26" s="168">
        <f t="shared" si="3"/>
        <v>351.12799999999999</v>
      </c>
      <c r="J26" s="169">
        <v>8</v>
      </c>
      <c r="K26" s="168">
        <v>351.12731634061288</v>
      </c>
      <c r="L26" s="168">
        <f t="shared" si="4"/>
        <v>351</v>
      </c>
      <c r="M26" s="168">
        <f t="shared" si="5"/>
        <v>351.1</v>
      </c>
    </row>
    <row r="27" spans="2:13" x14ac:dyDescent="0.25">
      <c r="B27" s="209">
        <f t="shared" ca="1" si="2"/>
        <v>25</v>
      </c>
      <c r="C27" s="168">
        <f t="shared" ca="1" si="2"/>
        <v>22</v>
      </c>
      <c r="D27" s="168">
        <f t="shared" ca="1" si="2"/>
        <v>40</v>
      </c>
      <c r="F27" s="169">
        <v>9</v>
      </c>
      <c r="G27" s="168">
        <v>1433.0594361477456</v>
      </c>
      <c r="H27" s="168">
        <f t="shared" si="3"/>
        <v>1433.06</v>
      </c>
      <c r="J27" s="169">
        <v>9</v>
      </c>
      <c r="K27" s="168">
        <v>1433.0594361477456</v>
      </c>
      <c r="L27" s="168">
        <f t="shared" si="4"/>
        <v>1433</v>
      </c>
      <c r="M27" s="168">
        <f t="shared" si="5"/>
        <v>1433</v>
      </c>
    </row>
    <row r="28" spans="2:13" x14ac:dyDescent="0.25">
      <c r="F28" s="169">
        <v>10</v>
      </c>
      <c r="G28" s="168">
        <v>214.62573845192333</v>
      </c>
      <c r="H28" s="168">
        <f t="shared" si="3"/>
        <v>214.626</v>
      </c>
      <c r="J28" s="169">
        <v>10</v>
      </c>
      <c r="K28" s="168">
        <v>214.62573845192333</v>
      </c>
      <c r="L28" s="168">
        <f t="shared" si="4"/>
        <v>214</v>
      </c>
      <c r="M28" s="168">
        <f t="shared" si="5"/>
        <v>214.6</v>
      </c>
    </row>
    <row r="30" spans="2:13" x14ac:dyDescent="0.25">
      <c r="B30" s="264" t="s">
        <v>873</v>
      </c>
      <c r="C30" s="264"/>
      <c r="D30" s="264"/>
      <c r="F30" s="260" t="s">
        <v>904</v>
      </c>
      <c r="G30" s="260"/>
      <c r="H30" s="260"/>
    </row>
    <row r="31" spans="2:13" x14ac:dyDescent="0.25">
      <c r="B31" s="209" cm="1">
        <f t="array" aca="1" ref="B31:D40" ca="1">_xlfn.RANDARRAY(10,3,0,100,TRUE)</f>
        <v>3</v>
      </c>
      <c r="C31" s="168">
        <f ca="1"/>
        <v>9</v>
      </c>
      <c r="D31" s="168">
        <f ca="1"/>
        <v>79</v>
      </c>
      <c r="F31" s="167" t="s">
        <v>901</v>
      </c>
      <c r="G31" s="167" t="s">
        <v>902</v>
      </c>
      <c r="H31" s="167" t="s">
        <v>904</v>
      </c>
    </row>
    <row r="32" spans="2:13" x14ac:dyDescent="0.25">
      <c r="B32" s="209">
        <f ca="1"/>
        <v>65</v>
      </c>
      <c r="C32" s="168">
        <f ca="1"/>
        <v>84</v>
      </c>
      <c r="D32" s="168">
        <f ca="1"/>
        <v>36</v>
      </c>
      <c r="F32" s="169">
        <v>1</v>
      </c>
      <c r="G32" s="168">
        <v>186.74647918864025</v>
      </c>
      <c r="H32" s="168">
        <f>ROUNDDOWN(G32,3)</f>
        <v>186.74600000000001</v>
      </c>
    </row>
    <row r="33" spans="2:14" x14ac:dyDescent="0.25">
      <c r="B33" s="209">
        <f ca="1"/>
        <v>63</v>
      </c>
      <c r="C33" s="168">
        <f ca="1"/>
        <v>8</v>
      </c>
      <c r="D33" s="168">
        <f ca="1"/>
        <v>57</v>
      </c>
      <c r="F33" s="169">
        <v>2</v>
      </c>
      <c r="G33" s="168">
        <v>1134.2033634091172</v>
      </c>
      <c r="H33" s="168">
        <f t="shared" ref="H33:H41" si="6">ROUNDDOWN(G33,3)</f>
        <v>1134.203</v>
      </c>
      <c r="N33" t="s">
        <v>535</v>
      </c>
    </row>
    <row r="34" spans="2:14" x14ac:dyDescent="0.25">
      <c r="B34" s="209">
        <f ca="1"/>
        <v>12</v>
      </c>
      <c r="C34" s="168">
        <f ca="1"/>
        <v>21</v>
      </c>
      <c r="D34" s="168">
        <f ca="1"/>
        <v>14</v>
      </c>
      <c r="F34" s="169">
        <v>3</v>
      </c>
      <c r="G34" s="168">
        <v>1056.2609033230992</v>
      </c>
      <c r="H34" s="168">
        <f t="shared" si="6"/>
        <v>1056.26</v>
      </c>
    </row>
    <row r="35" spans="2:14" x14ac:dyDescent="0.25">
      <c r="B35" s="209">
        <f ca="1"/>
        <v>70</v>
      </c>
      <c r="C35" s="168">
        <f ca="1"/>
        <v>52</v>
      </c>
      <c r="D35" s="168">
        <f ca="1"/>
        <v>34</v>
      </c>
      <c r="F35" s="169">
        <v>4</v>
      </c>
      <c r="G35" s="168">
        <v>444.95536951220424</v>
      </c>
      <c r="H35" s="168">
        <f t="shared" si="6"/>
        <v>444.95499999999998</v>
      </c>
    </row>
    <row r="36" spans="2:14" x14ac:dyDescent="0.25">
      <c r="B36" s="209">
        <f ca="1"/>
        <v>73</v>
      </c>
      <c r="C36" s="168">
        <f ca="1"/>
        <v>67</v>
      </c>
      <c r="D36" s="168">
        <f ca="1"/>
        <v>93</v>
      </c>
      <c r="F36" s="169">
        <v>5</v>
      </c>
      <c r="G36" s="168">
        <v>1319.4698803550457</v>
      </c>
      <c r="H36" s="168">
        <f t="shared" si="6"/>
        <v>1319.4690000000001</v>
      </c>
    </row>
    <row r="37" spans="2:14" x14ac:dyDescent="0.25">
      <c r="B37" s="209">
        <f ca="1"/>
        <v>72</v>
      </c>
      <c r="C37" s="168">
        <f ca="1"/>
        <v>36</v>
      </c>
      <c r="D37" s="168">
        <f ca="1"/>
        <v>13</v>
      </c>
      <c r="F37" s="169">
        <v>6</v>
      </c>
      <c r="G37" s="168">
        <v>226.9273016860318</v>
      </c>
      <c r="H37" s="168">
        <f t="shared" si="6"/>
        <v>226.92699999999999</v>
      </c>
    </row>
    <row r="38" spans="2:14" x14ac:dyDescent="0.25">
      <c r="B38" s="209">
        <f ca="1"/>
        <v>35</v>
      </c>
      <c r="C38" s="168">
        <f ca="1"/>
        <v>23</v>
      </c>
      <c r="D38" s="168">
        <f ca="1"/>
        <v>79</v>
      </c>
      <c r="F38" s="169">
        <v>7</v>
      </c>
      <c r="G38" s="168">
        <v>130.1594492248114</v>
      </c>
      <c r="H38" s="168">
        <f t="shared" si="6"/>
        <v>130.15899999999999</v>
      </c>
    </row>
    <row r="39" spans="2:14" x14ac:dyDescent="0.25">
      <c r="B39" s="209">
        <f ca="1"/>
        <v>64</v>
      </c>
      <c r="C39" s="168">
        <f ca="1"/>
        <v>72</v>
      </c>
      <c r="D39" s="168">
        <f ca="1"/>
        <v>74</v>
      </c>
      <c r="F39" s="169">
        <v>8</v>
      </c>
      <c r="G39" s="168">
        <v>351.12731634061288</v>
      </c>
      <c r="H39" s="168">
        <f t="shared" si="6"/>
        <v>351.12700000000001</v>
      </c>
    </row>
    <row r="40" spans="2:14" x14ac:dyDescent="0.25">
      <c r="B40" s="209">
        <f ca="1"/>
        <v>87</v>
      </c>
      <c r="C40" s="168">
        <f ca="1"/>
        <v>42</v>
      </c>
      <c r="D40" s="168">
        <f ca="1"/>
        <v>19</v>
      </c>
      <c r="F40" s="169">
        <v>9</v>
      </c>
      <c r="G40" s="168">
        <v>1433.0594361477456</v>
      </c>
      <c r="H40" s="168">
        <f t="shared" si="6"/>
        <v>1433.059</v>
      </c>
    </row>
    <row r="41" spans="2:14" x14ac:dyDescent="0.25">
      <c r="F41" s="169">
        <v>10</v>
      </c>
      <c r="G41" s="168">
        <v>214.62573845192333</v>
      </c>
      <c r="H41" s="168">
        <f t="shared" si="6"/>
        <v>214.625</v>
      </c>
    </row>
    <row r="43" spans="2:14" x14ac:dyDescent="0.25">
      <c r="B43" s="260" t="s">
        <v>813</v>
      </c>
      <c r="C43" s="260"/>
      <c r="D43" s="260"/>
      <c r="F43" s="260" t="s">
        <v>818</v>
      </c>
      <c r="G43" s="260"/>
      <c r="H43" s="260"/>
    </row>
    <row r="44" spans="2:14" x14ac:dyDescent="0.25">
      <c r="B44" s="167" t="s">
        <v>901</v>
      </c>
      <c r="C44" s="167" t="s">
        <v>902</v>
      </c>
      <c r="D44" s="167" t="s">
        <v>813</v>
      </c>
      <c r="F44" s="167" t="s">
        <v>901</v>
      </c>
      <c r="G44" s="167" t="s">
        <v>902</v>
      </c>
      <c r="H44" s="167" t="s">
        <v>818</v>
      </c>
    </row>
    <row r="45" spans="2:14" x14ac:dyDescent="0.25">
      <c r="B45" s="169">
        <v>1</v>
      </c>
      <c r="C45" s="168">
        <v>821</v>
      </c>
      <c r="D45" s="168">
        <v>942</v>
      </c>
      <c r="F45" s="169">
        <v>1</v>
      </c>
      <c r="G45" s="209">
        <v>821</v>
      </c>
      <c r="H45" s="168" cm="1">
        <f t="array" ref="H45:H54">SMALL($G$45:$G$54,F45:F54)</f>
        <v>128</v>
      </c>
    </row>
    <row r="46" spans="2:14" x14ac:dyDescent="0.25">
      <c r="B46" s="169">
        <v>2</v>
      </c>
      <c r="C46" s="168">
        <v>486</v>
      </c>
      <c r="D46" s="168">
        <v>821</v>
      </c>
      <c r="F46" s="169">
        <v>2</v>
      </c>
      <c r="G46" s="209">
        <v>486</v>
      </c>
      <c r="H46" s="168">
        <v>206</v>
      </c>
    </row>
    <row r="47" spans="2:14" x14ac:dyDescent="0.25">
      <c r="B47" s="169">
        <v>3</v>
      </c>
      <c r="C47" s="168">
        <v>528</v>
      </c>
      <c r="D47" s="168">
        <v>813</v>
      </c>
      <c r="F47" s="169">
        <v>3</v>
      </c>
      <c r="G47" s="209">
        <v>528</v>
      </c>
      <c r="H47" s="168">
        <v>296</v>
      </c>
    </row>
    <row r="48" spans="2:14" x14ac:dyDescent="0.25">
      <c r="B48" s="169">
        <v>4</v>
      </c>
      <c r="C48" s="168">
        <v>128</v>
      </c>
      <c r="D48" s="168">
        <v>528</v>
      </c>
      <c r="F48" s="169">
        <v>4</v>
      </c>
      <c r="G48" s="209">
        <v>128</v>
      </c>
      <c r="H48" s="168">
        <v>330</v>
      </c>
    </row>
    <row r="49" spans="2:8" x14ac:dyDescent="0.25">
      <c r="B49" s="169">
        <v>5</v>
      </c>
      <c r="C49" s="168">
        <v>422</v>
      </c>
      <c r="D49" s="168">
        <v>486</v>
      </c>
      <c r="F49" s="169">
        <v>5</v>
      </c>
      <c r="G49" s="209">
        <v>422</v>
      </c>
      <c r="H49" s="168">
        <v>422</v>
      </c>
    </row>
    <row r="50" spans="2:8" x14ac:dyDescent="0.25">
      <c r="B50" s="169">
        <v>6</v>
      </c>
      <c r="C50" s="168">
        <v>206</v>
      </c>
      <c r="D50" s="168">
        <v>422</v>
      </c>
      <c r="F50" s="169">
        <v>6</v>
      </c>
      <c r="G50" s="209">
        <v>206</v>
      </c>
      <c r="H50" s="168">
        <v>486</v>
      </c>
    </row>
    <row r="51" spans="2:8" x14ac:dyDescent="0.25">
      <c r="B51" s="169">
        <v>7</v>
      </c>
      <c r="C51" s="168">
        <v>942</v>
      </c>
      <c r="D51" s="168">
        <v>330</v>
      </c>
      <c r="F51" s="169">
        <v>7</v>
      </c>
      <c r="G51" s="209">
        <v>942</v>
      </c>
      <c r="H51" s="168">
        <v>528</v>
      </c>
    </row>
    <row r="52" spans="2:8" x14ac:dyDescent="0.25">
      <c r="B52" s="169">
        <v>8</v>
      </c>
      <c r="C52" s="168">
        <v>296</v>
      </c>
      <c r="D52" s="168">
        <v>296</v>
      </c>
      <c r="F52" s="169">
        <v>8</v>
      </c>
      <c r="G52" s="209">
        <v>296</v>
      </c>
      <c r="H52" s="168">
        <v>813</v>
      </c>
    </row>
    <row r="53" spans="2:8" x14ac:dyDescent="0.25">
      <c r="B53" s="169">
        <v>9</v>
      </c>
      <c r="C53" s="168">
        <v>813</v>
      </c>
      <c r="D53" s="168">
        <v>206</v>
      </c>
      <c r="F53" s="169">
        <v>9</v>
      </c>
      <c r="G53" s="209">
        <v>813</v>
      </c>
      <c r="H53" s="168">
        <v>821</v>
      </c>
    </row>
    <row r="54" spans="2:8" x14ac:dyDescent="0.25">
      <c r="B54" s="169">
        <v>10</v>
      </c>
      <c r="C54" s="168">
        <v>330</v>
      </c>
      <c r="D54" s="168">
        <v>128</v>
      </c>
      <c r="F54" s="169">
        <v>10</v>
      </c>
      <c r="G54" s="209">
        <v>330</v>
      </c>
      <c r="H54" s="168">
        <v>942</v>
      </c>
    </row>
  </sheetData>
  <mergeCells count="9">
    <mergeCell ref="B3:D3"/>
    <mergeCell ref="B17:D17"/>
    <mergeCell ref="B30:D30"/>
    <mergeCell ref="B43:D43"/>
    <mergeCell ref="F43:H43"/>
    <mergeCell ref="F3:H3"/>
    <mergeCell ref="F17:H17"/>
    <mergeCell ref="F30:H30"/>
    <mergeCell ref="J17:M17"/>
  </mergeCells>
  <conditionalFormatting sqref="C45:C54">
    <cfRule type="top10" dxfId="1" priority="6" rank="3"/>
  </conditionalFormatting>
  <conditionalFormatting sqref="G45:G54">
    <cfRule type="top10" dxfId="0" priority="2" bottom="1" rank="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 Data</vt:lpstr>
      <vt:lpstr>Formulaes</vt:lpstr>
      <vt:lpstr>Mark Sheet</vt:lpstr>
      <vt:lpstr>Clipboard</vt:lpstr>
      <vt:lpstr>Sales Data</vt:lpstr>
      <vt:lpstr>Filter</vt:lpstr>
      <vt:lpstr>Table</vt:lpstr>
      <vt:lpstr>fill</vt:lpstr>
      <vt:lpstr>Go to Special</vt:lpstr>
      <vt:lpstr>Paste Special With Find&amp;Replace</vt:lpstr>
      <vt:lpstr>Clear</vt:lpstr>
      <vt:lpstr>Cell Referencing</vt:lpstr>
      <vt:lpstr>Text Formulas Notes</vt:lpstr>
      <vt:lpstr>Text Formulas Practice</vt:lpstr>
      <vt:lpstr>Statistical Formulas Notes</vt:lpstr>
      <vt:lpstr>Statistical Formulas 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cp:lastPrinted>2026-10-14T17:49:27Z</cp:lastPrinted>
  <dcterms:created xsi:type="dcterms:W3CDTF">2026-10-09T15:26:40Z</dcterms:created>
  <dcterms:modified xsi:type="dcterms:W3CDTF">2026-10-17T13:41:39Z</dcterms:modified>
</cp:coreProperties>
</file>