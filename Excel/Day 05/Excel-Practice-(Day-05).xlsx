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ata Analyst\Excel\Day 05\"/>
    </mc:Choice>
  </mc:AlternateContent>
  <xr:revisionPtr revIDLastSave="0" documentId="13_ncr:1_{2F16DB1B-6B03-4243-AC25-4BF6D091D6EE}" xr6:coauthVersionLast="47" xr6:coauthVersionMax="47" xr10:uidLastSave="{00000000-0000-0000-0000-000000000000}"/>
  <bookViews>
    <workbookView xWindow="-120" yWindow="-120" windowWidth="29040" windowHeight="16440" tabRatio="678" firstSheet="11" activeTab="13" xr2:uid="{00000000-000D-0000-FFFF-FFFF00000000}"/>
  </bookViews>
  <sheets>
    <sheet name="Raw Data" sheetId="1" r:id="rId1"/>
    <sheet name="Formulaes" sheetId="2" r:id="rId2"/>
    <sheet name="Mark Sheet" sheetId="3" r:id="rId3"/>
    <sheet name="Clipboard" sheetId="5" r:id="rId4"/>
    <sheet name="Sales Data" sheetId="4" r:id="rId5"/>
    <sheet name="Filter" sheetId="6" r:id="rId6"/>
    <sheet name="Table" sheetId="7" r:id="rId7"/>
    <sheet name="fill" sheetId="9" r:id="rId8"/>
    <sheet name="Go to Special" sheetId="10" r:id="rId9"/>
    <sheet name="Paste Special With Find&amp;Replace" sheetId="11" r:id="rId10"/>
    <sheet name="Clear" sheetId="12" r:id="rId11"/>
    <sheet name="Cell Referencing" sheetId="13" r:id="rId12"/>
    <sheet name="Text Formulas Notes" sheetId="14" r:id="rId13"/>
    <sheet name="Text Formulas Practice" sheetId="15" r:id="rId14"/>
  </sheets>
  <definedNames>
    <definedName name="_xlnm._FilterDatabase" localSheetId="5" hidden="1">Filter!$A$1:$F$38</definedName>
    <definedName name="Slicer_Department">#N/A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98" i="15" l="1"/>
  <c r="G98" i="15"/>
  <c r="J92" i="15"/>
  <c r="G92" i="15"/>
  <c r="D93" i="15"/>
  <c r="D94" i="15"/>
  <c r="D95" i="15"/>
  <c r="D96" i="15"/>
  <c r="D97" i="15"/>
  <c r="D98" i="15"/>
  <c r="D99" i="15"/>
  <c r="D100" i="15"/>
  <c r="D92" i="15"/>
  <c r="C92" i="15"/>
  <c r="C93" i="15"/>
  <c r="C94" i="15"/>
  <c r="C95" i="15"/>
  <c r="C96" i="15"/>
  <c r="C97" i="15"/>
  <c r="C98" i="15"/>
  <c r="C99" i="15"/>
  <c r="C100" i="15"/>
  <c r="C78" i="15"/>
  <c r="C79" i="15"/>
  <c r="C80" i="15"/>
  <c r="C81" i="15"/>
  <c r="C82" i="15"/>
  <c r="C83" i="15"/>
  <c r="C84" i="15"/>
  <c r="C85" i="15"/>
  <c r="C77" i="15"/>
  <c r="I77" i="15"/>
  <c r="I78" i="15"/>
  <c r="I79" i="15"/>
  <c r="I80" i="15"/>
  <c r="I81" i="15"/>
  <c r="I82" i="15"/>
  <c r="I83" i="15"/>
  <c r="I84" i="15"/>
  <c r="I85" i="15"/>
  <c r="L78" i="15"/>
  <c r="L79" i="15"/>
  <c r="L80" i="15"/>
  <c r="L81" i="15"/>
  <c r="L82" i="15"/>
  <c r="L83" i="15"/>
  <c r="L84" i="15"/>
  <c r="L85" i="15"/>
  <c r="L77" i="15"/>
  <c r="F81" i="15"/>
  <c r="F78" i="15"/>
  <c r="F79" i="15"/>
  <c r="F80" i="15"/>
  <c r="F82" i="15"/>
  <c r="F83" i="15"/>
  <c r="F84" i="15"/>
  <c r="F85" i="15"/>
  <c r="F77" i="15"/>
  <c r="Y48" i="15"/>
  <c r="Y49" i="15"/>
  <c r="Y50" i="15"/>
  <c r="Y51" i="15"/>
  <c r="Y52" i="15"/>
  <c r="Y53" i="15"/>
  <c r="Y54" i="15"/>
  <c r="Y55" i="15"/>
  <c r="Y56" i="15"/>
  <c r="Y47" i="15"/>
  <c r="U47" i="15"/>
  <c r="M47" i="15"/>
  <c r="M48" i="15"/>
  <c r="M49" i="15"/>
  <c r="M50" i="15"/>
  <c r="M51" i="15"/>
  <c r="M52" i="15"/>
  <c r="M53" i="15"/>
  <c r="M54" i="15"/>
  <c r="M55" i="15"/>
  <c r="M56" i="15"/>
  <c r="U48" i="15"/>
  <c r="U49" i="15"/>
  <c r="U50" i="15"/>
  <c r="U51" i="15"/>
  <c r="U52" i="15"/>
  <c r="U53" i="15"/>
  <c r="U54" i="15"/>
  <c r="U55" i="15"/>
  <c r="U56" i="15"/>
  <c r="Q48" i="15"/>
  <c r="Q49" i="15"/>
  <c r="Q50" i="15"/>
  <c r="Q51" i="15"/>
  <c r="Q52" i="15"/>
  <c r="Q53" i="15"/>
  <c r="Q54" i="15"/>
  <c r="Q55" i="15"/>
  <c r="Q56" i="15"/>
  <c r="Q47" i="15"/>
  <c r="I35" i="15"/>
  <c r="I36" i="15"/>
  <c r="I37" i="15"/>
  <c r="I38" i="15"/>
  <c r="I39" i="15"/>
  <c r="I40" i="15"/>
  <c r="I41" i="15"/>
  <c r="I42" i="15"/>
  <c r="I34" i="15"/>
  <c r="F35" i="15"/>
  <c r="F36" i="15"/>
  <c r="F37" i="15"/>
  <c r="F38" i="15"/>
  <c r="F39" i="15"/>
  <c r="F40" i="15"/>
  <c r="F41" i="15"/>
  <c r="F42" i="15"/>
  <c r="F34" i="15"/>
  <c r="C35" i="15"/>
  <c r="C36" i="15"/>
  <c r="C37" i="15"/>
  <c r="C38" i="15"/>
  <c r="C39" i="15"/>
  <c r="C40" i="15"/>
  <c r="C41" i="15"/>
  <c r="C42" i="15"/>
  <c r="C34" i="15"/>
  <c r="F19" i="15"/>
  <c r="F20" i="15"/>
  <c r="F21" i="15"/>
  <c r="F22" i="15"/>
  <c r="F23" i="15"/>
  <c r="F24" i="15"/>
  <c r="F25" i="15"/>
  <c r="F26" i="15"/>
  <c r="F18" i="15"/>
  <c r="C19" i="15"/>
  <c r="C20" i="15"/>
  <c r="C21" i="15"/>
  <c r="C22" i="15"/>
  <c r="C23" i="15"/>
  <c r="C24" i="15"/>
  <c r="C25" i="15"/>
  <c r="C26" i="15"/>
  <c r="C18" i="15"/>
  <c r="I5" i="15"/>
  <c r="I6" i="15"/>
  <c r="I7" i="15"/>
  <c r="I8" i="15"/>
  <c r="I9" i="15"/>
  <c r="I10" i="15"/>
  <c r="I11" i="15"/>
  <c r="I12" i="15"/>
  <c r="I4" i="15"/>
  <c r="F5" i="15"/>
  <c r="F6" i="15"/>
  <c r="F7" i="15"/>
  <c r="F8" i="15"/>
  <c r="F9" i="15"/>
  <c r="F10" i="15"/>
  <c r="F11" i="15"/>
  <c r="F12" i="15"/>
  <c r="F4" i="15"/>
  <c r="C4" i="15"/>
  <c r="C5" i="15"/>
  <c r="C6" i="15"/>
  <c r="C7" i="15"/>
  <c r="C8" i="15"/>
  <c r="C9" i="15"/>
  <c r="C10" i="15"/>
  <c r="C11" i="15"/>
  <c r="C12" i="15"/>
  <c r="H41" i="13"/>
  <c r="H40" i="13"/>
  <c r="H39" i="13"/>
  <c r="H38" i="13"/>
  <c r="I38" i="13" s="1"/>
  <c r="H37" i="13"/>
  <c r="H36" i="13"/>
  <c r="I36" i="13" s="1"/>
  <c r="H35" i="13"/>
  <c r="I35" i="13" s="1"/>
  <c r="H34" i="13"/>
  <c r="I34" i="13" s="1"/>
  <c r="H33" i="13"/>
  <c r="I33" i="13" s="1"/>
  <c r="H32" i="13"/>
  <c r="I32" i="13" s="1"/>
  <c r="H31" i="13"/>
  <c r="I31" i="13" s="1"/>
  <c r="H30" i="13"/>
  <c r="I30" i="13" s="1"/>
  <c r="H29" i="13"/>
  <c r="I29" i="13" s="1"/>
  <c r="H28" i="13"/>
  <c r="I28" i="13" s="1"/>
  <c r="H27" i="13"/>
  <c r="I27" i="13" s="1"/>
  <c r="I5" i="13"/>
  <c r="J6" i="13"/>
  <c r="J5" i="13"/>
  <c r="K6" i="13"/>
  <c r="L6" i="13"/>
  <c r="M6" i="13"/>
  <c r="J7" i="13"/>
  <c r="K7" i="13"/>
  <c r="L7" i="13"/>
  <c r="M7" i="13"/>
  <c r="J8" i="13"/>
  <c r="K8" i="13"/>
  <c r="L8" i="13"/>
  <c r="M8" i="13"/>
  <c r="J9" i="13"/>
  <c r="K9" i="13"/>
  <c r="L9" i="13"/>
  <c r="M9" i="13"/>
  <c r="J10" i="13"/>
  <c r="K10" i="13"/>
  <c r="L10" i="13"/>
  <c r="M10" i="13"/>
  <c r="J11" i="13"/>
  <c r="K11" i="13"/>
  <c r="L11" i="13"/>
  <c r="M11" i="13"/>
  <c r="J12" i="13"/>
  <c r="K12" i="13"/>
  <c r="L12" i="13"/>
  <c r="M12" i="13"/>
  <c r="J13" i="13"/>
  <c r="K13" i="13"/>
  <c r="L13" i="13"/>
  <c r="M13" i="13"/>
  <c r="J14" i="13"/>
  <c r="K14" i="13"/>
  <c r="L14" i="13"/>
  <c r="M14" i="13"/>
  <c r="J15" i="13"/>
  <c r="K15" i="13"/>
  <c r="L15" i="13"/>
  <c r="M15" i="13"/>
  <c r="J16" i="13"/>
  <c r="K16" i="13"/>
  <c r="L16" i="13"/>
  <c r="M16" i="13"/>
  <c r="J17" i="13"/>
  <c r="K17" i="13"/>
  <c r="L17" i="13"/>
  <c r="M17" i="13"/>
  <c r="J18" i="13"/>
  <c r="K18" i="13"/>
  <c r="L18" i="13"/>
  <c r="M18" i="13"/>
  <c r="J19" i="13"/>
  <c r="K19" i="13"/>
  <c r="L19" i="13"/>
  <c r="M19" i="13"/>
  <c r="K5" i="13"/>
  <c r="L5" i="13"/>
  <c r="M5" i="13"/>
  <c r="H7" i="13"/>
  <c r="I6" i="13"/>
  <c r="I7" i="13"/>
  <c r="I8" i="13"/>
  <c r="I9" i="13"/>
  <c r="I10" i="13"/>
  <c r="I11" i="13"/>
  <c r="I12" i="13"/>
  <c r="I13" i="13"/>
  <c r="I14" i="13"/>
  <c r="I15" i="13"/>
  <c r="I16" i="13"/>
  <c r="I17" i="13"/>
  <c r="I18" i="13"/>
  <c r="I19" i="13"/>
  <c r="H6" i="13"/>
  <c r="H8" i="13"/>
  <c r="H9" i="13"/>
  <c r="H10" i="13"/>
  <c r="H11" i="13"/>
  <c r="H12" i="13"/>
  <c r="H13" i="13"/>
  <c r="H14" i="13"/>
  <c r="H15" i="13"/>
  <c r="H16" i="13"/>
  <c r="H17" i="13"/>
  <c r="H18" i="13"/>
  <c r="H19" i="13"/>
  <c r="H5" i="13"/>
  <c r="H8" i="12"/>
  <c r="H9" i="12" s="1"/>
  <c r="H10" i="12" s="1"/>
  <c r="H11" i="12" s="1"/>
  <c r="H12" i="12" s="1"/>
  <c r="H13" i="12" s="1"/>
  <c r="H14" i="12" s="1"/>
  <c r="H15" i="12" s="1"/>
  <c r="H16" i="12" s="1"/>
  <c r="H17" i="12" s="1"/>
  <c r="H18" i="12" s="1"/>
  <c r="H19" i="12" s="1"/>
  <c r="H20" i="12" s="1"/>
  <c r="H21" i="12" s="1"/>
  <c r="H22" i="12" s="1"/>
  <c r="H23" i="12" s="1"/>
  <c r="H24" i="12" s="1"/>
  <c r="H25" i="12" s="1"/>
  <c r="H26" i="12" s="1"/>
  <c r="H27" i="12" s="1"/>
  <c r="H28" i="12" s="1"/>
  <c r="H29" i="12" s="1"/>
  <c r="H30" i="12" s="1"/>
  <c r="H31" i="12" s="1"/>
  <c r="H32" i="12" s="1"/>
  <c r="H33" i="12" s="1"/>
  <c r="H34" i="12" s="1"/>
  <c r="H35" i="12" s="1"/>
  <c r="H36" i="12" s="1"/>
  <c r="H37" i="12" s="1"/>
  <c r="H38" i="12" s="1"/>
  <c r="H39" i="12" s="1"/>
  <c r="H40" i="12" s="1"/>
  <c r="H41" i="12" s="1"/>
  <c r="H42" i="12" s="1"/>
  <c r="H43" i="12" s="1"/>
  <c r="H44" i="12" s="1"/>
  <c r="H45" i="12" s="1"/>
  <c r="H46" i="12" s="1"/>
  <c r="H47" i="12" s="1"/>
  <c r="H48" i="12" s="1"/>
  <c r="H49" i="12" s="1"/>
  <c r="H50" i="12" s="1"/>
  <c r="H51" i="12" s="1"/>
  <c r="H52" i="12" s="1"/>
  <c r="H53" i="12" s="1"/>
  <c r="H54" i="12" s="1"/>
  <c r="H55" i="12" s="1"/>
  <c r="H56" i="12" s="1"/>
  <c r="A8" i="12"/>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X2" i="11"/>
  <c r="X3" i="11"/>
  <c r="Y3" i="11"/>
  <c r="Z3" i="11"/>
  <c r="AA3" i="11"/>
  <c r="AB3" i="11"/>
  <c r="AC3" i="11"/>
  <c r="X4" i="11"/>
  <c r="Y4" i="11"/>
  <c r="Z4" i="11"/>
  <c r="AA4" i="11"/>
  <c r="AC4" i="11"/>
  <c r="X5" i="11"/>
  <c r="Y5" i="11"/>
  <c r="Z5" i="11"/>
  <c r="AA5" i="11"/>
  <c r="X6" i="11"/>
  <c r="Y6" i="11"/>
  <c r="Z6" i="11"/>
  <c r="AA6" i="11"/>
  <c r="X7" i="11"/>
  <c r="Y7" i="11"/>
  <c r="Z7" i="11"/>
  <c r="AA7" i="11"/>
  <c r="X8" i="11"/>
  <c r="Y8" i="11"/>
  <c r="Z8" i="11"/>
  <c r="AA8" i="11"/>
  <c r="X9" i="11"/>
  <c r="Y9" i="11"/>
  <c r="Z9" i="11"/>
  <c r="AA9" i="11"/>
  <c r="X10" i="11"/>
  <c r="Y10" i="11"/>
  <c r="Z10" i="11"/>
  <c r="AA10" i="11"/>
  <c r="X11" i="11"/>
  <c r="Y11" i="11"/>
  <c r="Z11" i="11"/>
  <c r="AA11" i="11"/>
  <c r="X12" i="11"/>
  <c r="Y12" i="11"/>
  <c r="Z12" i="11"/>
  <c r="AA12" i="11"/>
  <c r="X13" i="11"/>
  <c r="Y13" i="11"/>
  <c r="Z13" i="11"/>
  <c r="AA13" i="11"/>
  <c r="X14" i="11"/>
  <c r="Y14" i="11"/>
  <c r="Z14" i="11"/>
  <c r="AA14" i="11"/>
  <c r="X15" i="11"/>
  <c r="Y15" i="11"/>
  <c r="Z15" i="11"/>
  <c r="AA15" i="11"/>
  <c r="X16" i="11"/>
  <c r="Y16" i="11"/>
  <c r="Z16" i="11"/>
  <c r="AA16" i="11"/>
  <c r="X17" i="11"/>
  <c r="Y17" i="11"/>
  <c r="Z17" i="11"/>
  <c r="AA17" i="11"/>
  <c r="H16" i="11"/>
  <c r="AB17" i="11" s="1"/>
  <c r="H15" i="11"/>
  <c r="AB16" i="11" s="1"/>
  <c r="H14" i="11"/>
  <c r="AB15" i="11" s="1"/>
  <c r="H13" i="11"/>
  <c r="AB14" i="11" s="1"/>
  <c r="H12" i="11"/>
  <c r="AB13" i="11" s="1"/>
  <c r="H11" i="11"/>
  <c r="AB12" i="11" s="1"/>
  <c r="H10" i="11"/>
  <c r="AB11" i="11" s="1"/>
  <c r="H9" i="11"/>
  <c r="AB10" i="11" s="1"/>
  <c r="H8" i="11"/>
  <c r="AB9" i="11" s="1"/>
  <c r="H7" i="11"/>
  <c r="AB8" i="11" s="1"/>
  <c r="H6" i="11"/>
  <c r="AB7" i="11" s="1"/>
  <c r="H5" i="11"/>
  <c r="AB6" i="11" s="1"/>
  <c r="H4" i="11"/>
  <c r="AB5" i="11" s="1"/>
  <c r="H3" i="11"/>
  <c r="AB4" i="11" s="1"/>
  <c r="D175" i="10"/>
  <c r="F179" i="10" s="1"/>
  <c r="I158" i="10"/>
  <c r="H158" i="10"/>
  <c r="I157" i="10"/>
  <c r="H157" i="10"/>
  <c r="I156" i="10"/>
  <c r="H156" i="10"/>
  <c r="I155" i="10"/>
  <c r="H155" i="10"/>
  <c r="I154" i="10"/>
  <c r="H154" i="10"/>
  <c r="I153" i="10"/>
  <c r="H153" i="10"/>
  <c r="I152" i="10"/>
  <c r="H152" i="10"/>
  <c r="I151" i="10"/>
  <c r="H151" i="10"/>
  <c r="I150" i="10"/>
  <c r="H150" i="10"/>
  <c r="I149" i="10"/>
  <c r="H149" i="10"/>
  <c r="I148" i="10"/>
  <c r="H148" i="10"/>
  <c r="I147" i="10"/>
  <c r="H147" i="10"/>
  <c r="I146" i="10"/>
  <c r="H146" i="10"/>
  <c r="I145" i="10"/>
  <c r="H145" i="10"/>
  <c r="I144" i="10"/>
  <c r="H144" i="10"/>
  <c r="I143" i="10"/>
  <c r="H143" i="10"/>
  <c r="I142" i="10"/>
  <c r="H142" i="10"/>
  <c r="I141" i="10"/>
  <c r="H141" i="10"/>
  <c r="I140" i="10"/>
  <c r="H140" i="10"/>
  <c r="I139" i="10"/>
  <c r="H139" i="10"/>
  <c r="I138" i="10" a="1"/>
  <c r="I138" i="10" s="1"/>
  <c r="H138" i="10"/>
  <c r="I137" i="10"/>
  <c r="H137" i="10"/>
  <c r="I136" i="10"/>
  <c r="H136" i="10"/>
  <c r="I135" i="10"/>
  <c r="H135" i="10"/>
  <c r="I134" i="10"/>
  <c r="H134" i="10"/>
  <c r="I133" i="10"/>
  <c r="H133" i="10"/>
  <c r="I132" i="10" a="1"/>
  <c r="I132" i="10" s="1"/>
  <c r="H132" i="10"/>
  <c r="I131" i="10"/>
  <c r="H131" i="10"/>
  <c r="I130" i="10"/>
  <c r="H130" i="10"/>
  <c r="I129" i="10"/>
  <c r="H129" i="10"/>
  <c r="I128" i="10"/>
  <c r="H128" i="10"/>
  <c r="I127" i="10"/>
  <c r="H127" i="10"/>
  <c r="I126" i="10"/>
  <c r="H126" i="10"/>
  <c r="I125" i="10"/>
  <c r="H125" i="10"/>
  <c r="I124" i="10"/>
  <c r="H124" i="10"/>
  <c r="I123" i="10"/>
  <c r="H123" i="10"/>
  <c r="I122" i="10" a="1"/>
  <c r="I122" i="10" s="1"/>
  <c r="H122" i="10"/>
  <c r="I121" i="10"/>
  <c r="H121" i="10"/>
  <c r="I120" i="10"/>
  <c r="H120" i="10"/>
  <c r="I119" i="10"/>
  <c r="H119" i="10"/>
  <c r="I118" i="10"/>
  <c r="H118" i="10"/>
  <c r="I117" i="10"/>
  <c r="H117" i="10"/>
  <c r="I116" i="10"/>
  <c r="H116" i="10"/>
  <c r="I115" i="10"/>
  <c r="H115" i="10"/>
  <c r="I114" i="10"/>
  <c r="H114" i="10"/>
  <c r="I106" i="10"/>
  <c r="H106" i="10"/>
  <c r="I105" i="10"/>
  <c r="H105" i="10"/>
  <c r="I104" i="10"/>
  <c r="H104" i="10"/>
  <c r="I103" i="10"/>
  <c r="H103" i="10"/>
  <c r="I102" i="10"/>
  <c r="H102" i="10"/>
  <c r="I101" i="10"/>
  <c r="H101" i="10"/>
  <c r="I100" i="10"/>
  <c r="H100" i="10"/>
  <c r="I99" i="10"/>
  <c r="H99" i="10"/>
  <c r="I98" i="10"/>
  <c r="H98" i="10"/>
  <c r="I97" i="10"/>
  <c r="H97" i="10"/>
  <c r="I96" i="10"/>
  <c r="H96" i="10"/>
  <c r="I95" i="10"/>
  <c r="H95" i="10"/>
  <c r="I94" i="10"/>
  <c r="H94" i="10"/>
  <c r="I93" i="10"/>
  <c r="H93" i="10"/>
  <c r="I92" i="10"/>
  <c r="H92" i="10"/>
  <c r="I91" i="10"/>
  <c r="H91" i="10"/>
  <c r="I90" i="10"/>
  <c r="H90" i="10"/>
  <c r="I89" i="10"/>
  <c r="H89" i="10"/>
  <c r="I88" i="10"/>
  <c r="H88" i="10"/>
  <c r="I87" i="10"/>
  <c r="H87" i="10"/>
  <c r="I86" i="10"/>
  <c r="H86" i="10"/>
  <c r="I85" i="10"/>
  <c r="H85" i="10"/>
  <c r="I84" i="10" a="1"/>
  <c r="I84" i="10" s="1"/>
  <c r="H84" i="10"/>
  <c r="I83" i="10"/>
  <c r="H83" i="10"/>
  <c r="I82" i="10"/>
  <c r="H82" i="10"/>
  <c r="I81" i="10"/>
  <c r="H81" i="10"/>
  <c r="I80" i="10"/>
  <c r="H80" i="10"/>
  <c r="I79" i="10"/>
  <c r="H79" i="10"/>
  <c r="I78" i="10"/>
  <c r="H78" i="10"/>
  <c r="I77" i="10" a="1"/>
  <c r="I77" i="10" s="1"/>
  <c r="H77" i="10"/>
  <c r="I76" i="10"/>
  <c r="H76" i="10"/>
  <c r="I75" i="10"/>
  <c r="H75" i="10"/>
  <c r="I74" i="10"/>
  <c r="H74" i="10"/>
  <c r="I73" i="10"/>
  <c r="H73" i="10"/>
  <c r="I72" i="10"/>
  <c r="H72" i="10"/>
  <c r="I71" i="10"/>
  <c r="H71" i="10"/>
  <c r="I70" i="10"/>
  <c r="H70" i="10"/>
  <c r="I69" i="10"/>
  <c r="H69" i="10"/>
  <c r="I68" i="10"/>
  <c r="H68" i="10"/>
  <c r="I67" i="10"/>
  <c r="H67" i="10"/>
  <c r="I66" i="10" a="1"/>
  <c r="I66" i="10" s="1"/>
  <c r="H66" i="10"/>
  <c r="I65" i="10"/>
  <c r="H65" i="10"/>
  <c r="I64" i="10"/>
  <c r="H64" i="10"/>
  <c r="I63" i="10"/>
  <c r="H63" i="10"/>
  <c r="I62" i="10"/>
  <c r="H62" i="10"/>
  <c r="I61" i="10"/>
  <c r="H61" i="10"/>
  <c r="I60" i="10"/>
  <c r="H60" i="10"/>
  <c r="I59" i="10"/>
  <c r="H59" i="10"/>
  <c r="I58" i="10"/>
  <c r="H58" i="10"/>
  <c r="I57" i="10"/>
  <c r="H57" i="10"/>
  <c r="I11" i="10" a="1"/>
  <c r="I11" i="10" s="1"/>
  <c r="I29" i="10" a="1"/>
  <c r="I29" i="10" s="1"/>
  <c r="I22" i="10" a="1"/>
  <c r="I22" i="10" s="1"/>
  <c r="I3" i="10"/>
  <c r="I4" i="10"/>
  <c r="I5" i="10"/>
  <c r="I6" i="10"/>
  <c r="I7" i="10"/>
  <c r="I8" i="10"/>
  <c r="I9" i="10"/>
  <c r="I10" i="10"/>
  <c r="I12" i="10"/>
  <c r="I13" i="10"/>
  <c r="I14" i="10"/>
  <c r="I15" i="10"/>
  <c r="I16" i="10"/>
  <c r="I17" i="10"/>
  <c r="I18" i="10"/>
  <c r="I19" i="10"/>
  <c r="I20" i="10"/>
  <c r="I21" i="10"/>
  <c r="I23" i="10"/>
  <c r="I24" i="10"/>
  <c r="I25" i="10"/>
  <c r="I26" i="10"/>
  <c r="I27" i="10"/>
  <c r="I28" i="10"/>
  <c r="I30" i="10"/>
  <c r="I31" i="10"/>
  <c r="I32" i="10"/>
  <c r="I33" i="10"/>
  <c r="I34" i="10"/>
  <c r="I35" i="10"/>
  <c r="I36" i="10"/>
  <c r="I37" i="10"/>
  <c r="I38" i="10"/>
  <c r="I39" i="10"/>
  <c r="I40" i="10"/>
  <c r="I41" i="10"/>
  <c r="I42" i="10"/>
  <c r="I43" i="10"/>
  <c r="I44" i="10"/>
  <c r="I45" i="10"/>
  <c r="I46" i="10"/>
  <c r="I47" i="10"/>
  <c r="I48" i="10"/>
  <c r="I49" i="10"/>
  <c r="I50" i="10"/>
  <c r="I51" i="10"/>
  <c r="I2" i="10"/>
  <c r="H3" i="10"/>
  <c r="J3" i="10" s="1"/>
  <c r="H4" i="10"/>
  <c r="J4" i="10" s="1"/>
  <c r="H5" i="10"/>
  <c r="J5" i="10" s="1"/>
  <c r="H6" i="10"/>
  <c r="J6" i="10" s="1"/>
  <c r="H7" i="10"/>
  <c r="J7" i="10" s="1"/>
  <c r="H8" i="10"/>
  <c r="J8" i="10" s="1"/>
  <c r="H9" i="10"/>
  <c r="J9" i="10" s="1"/>
  <c r="H10" i="10"/>
  <c r="J10" i="10" s="1"/>
  <c r="H11" i="10"/>
  <c r="J11" i="10" s="1"/>
  <c r="H12" i="10"/>
  <c r="J12" i="10" s="1"/>
  <c r="H13" i="10"/>
  <c r="J13" i="10" s="1"/>
  <c r="H14" i="10"/>
  <c r="J14" i="10" s="1"/>
  <c r="H15" i="10"/>
  <c r="J15" i="10" s="1"/>
  <c r="H16" i="10"/>
  <c r="J16" i="10" s="1"/>
  <c r="H17" i="10"/>
  <c r="J17" i="10" s="1"/>
  <c r="H18" i="10"/>
  <c r="J18" i="10" s="1"/>
  <c r="H19" i="10"/>
  <c r="J19" i="10" s="1"/>
  <c r="H20" i="10"/>
  <c r="J20" i="10" s="1"/>
  <c r="H21" i="10"/>
  <c r="J21" i="10" s="1"/>
  <c r="H22" i="10"/>
  <c r="J22" i="10" s="1"/>
  <c r="H23" i="10"/>
  <c r="J23" i="10" s="1"/>
  <c r="H24" i="10"/>
  <c r="J24" i="10" s="1"/>
  <c r="H25" i="10"/>
  <c r="J25" i="10" s="1"/>
  <c r="H26" i="10"/>
  <c r="J26" i="10" s="1"/>
  <c r="H27" i="10"/>
  <c r="J27" i="10" s="1"/>
  <c r="H28" i="10"/>
  <c r="J28" i="10" s="1"/>
  <c r="H29" i="10"/>
  <c r="J29" i="10" s="1"/>
  <c r="H30" i="10"/>
  <c r="J30" i="10" s="1"/>
  <c r="H31" i="10"/>
  <c r="J31" i="10" s="1"/>
  <c r="H32" i="10"/>
  <c r="J32" i="10" s="1"/>
  <c r="H33" i="10"/>
  <c r="J33" i="10" s="1"/>
  <c r="H34" i="10"/>
  <c r="J34" i="10" s="1"/>
  <c r="H35" i="10"/>
  <c r="J35" i="10" s="1"/>
  <c r="H36" i="10"/>
  <c r="J36" i="10" s="1"/>
  <c r="H37" i="10"/>
  <c r="J37" i="10" s="1"/>
  <c r="H38" i="10"/>
  <c r="J38" i="10" s="1"/>
  <c r="H39" i="10"/>
  <c r="J39" i="10" s="1"/>
  <c r="H40" i="10"/>
  <c r="J40" i="10" s="1"/>
  <c r="H41" i="10"/>
  <c r="J41" i="10" s="1"/>
  <c r="H42" i="10"/>
  <c r="J42" i="10" s="1"/>
  <c r="H43" i="10"/>
  <c r="J43" i="10" s="1"/>
  <c r="H44" i="10"/>
  <c r="J44" i="10" s="1"/>
  <c r="H45" i="10"/>
  <c r="J45" i="10" s="1"/>
  <c r="H46" i="10"/>
  <c r="J46" i="10" s="1"/>
  <c r="H47" i="10"/>
  <c r="J47" i="10" s="1"/>
  <c r="H48" i="10"/>
  <c r="J48" i="10" s="1"/>
  <c r="H49" i="10"/>
  <c r="J49" i="10" s="1"/>
  <c r="H50" i="10"/>
  <c r="J50" i="10" s="1"/>
  <c r="H51" i="10"/>
  <c r="J51" i="10" s="1"/>
  <c r="H2" i="10"/>
  <c r="J2" i="10" s="1"/>
  <c r="A3" i="5"/>
  <c r="A4" i="5"/>
  <c r="A5" i="5" s="1"/>
  <c r="A6" i="5" s="1"/>
  <c r="A7" i="5" s="1"/>
  <c r="A8" i="5" s="1"/>
  <c r="A9" i="5" s="1"/>
  <c r="A10" i="5" s="1"/>
  <c r="A11" i="5" s="1"/>
  <c r="A12" i="5" s="1"/>
  <c r="A13" i="5" s="1"/>
  <c r="A14" i="5" s="1"/>
  <c r="A15" i="5" s="1"/>
  <c r="A16" i="5" s="1"/>
  <c r="A17" i="5" s="1"/>
  <c r="A18" i="5" s="1"/>
  <c r="A19" i="5" s="1"/>
  <c r="A20" i="5" s="1"/>
  <c r="A21" i="5" s="1"/>
  <c r="A22" i="5" s="1"/>
  <c r="A23" i="5" s="1"/>
  <c r="C60" i="9" a="1"/>
  <c r="C60" i="9" s="1"/>
  <c r="F39" i="7"/>
  <c r="F3" i="5"/>
  <c r="F4" i="5" s="1"/>
  <c r="F5" i="5" s="1"/>
  <c r="F6" i="5" s="1"/>
  <c r="F7" i="5" s="1"/>
  <c r="F8" i="5" s="1"/>
  <c r="F9" i="5" s="1"/>
  <c r="F10" i="5" s="1"/>
  <c r="F11" i="5" s="1"/>
  <c r="F12" i="5" s="1"/>
  <c r="F13" i="5" s="1"/>
  <c r="F14" i="5" s="1"/>
  <c r="F15" i="5" s="1"/>
  <c r="F16" i="5" s="1"/>
  <c r="F17" i="5" s="1"/>
  <c r="F18" i="5" s="1"/>
  <c r="F19" i="5" s="1"/>
  <c r="F20" i="5" s="1"/>
  <c r="F21" i="5" s="1"/>
  <c r="F22" i="5" s="1"/>
  <c r="F23" i="5" s="1"/>
  <c r="K4" i="4"/>
  <c r="K5" i="4" s="1"/>
  <c r="K6" i="4" s="1"/>
  <c r="K7" i="4" s="1"/>
  <c r="K8" i="4" s="1"/>
  <c r="K9" i="4" s="1"/>
  <c r="K10" i="4" s="1"/>
  <c r="K11" i="4" s="1"/>
  <c r="K12" i="4" s="1"/>
  <c r="K13" i="4" s="1"/>
  <c r="K14" i="4" s="1"/>
  <c r="K15" i="4" s="1"/>
  <c r="K16" i="4" s="1"/>
  <c r="K17" i="4" s="1"/>
  <c r="K18" i="4" s="1"/>
  <c r="K19" i="4" s="1"/>
  <c r="K20" i="4" s="1"/>
  <c r="K21" i="4" s="1"/>
  <c r="K22" i="4" s="1"/>
  <c r="K23" i="4" s="1"/>
  <c r="K24" i="4" s="1"/>
  <c r="K25" i="4" s="1"/>
  <c r="K26" i="4" s="1"/>
  <c r="K27" i="4" s="1"/>
  <c r="K28" i="4" s="1"/>
  <c r="K29" i="4" s="1"/>
  <c r="K30" i="4" s="1"/>
  <c r="K31" i="4" s="1"/>
  <c r="K32" i="4" s="1"/>
  <c r="K33" i="4" s="1"/>
  <c r="K34" i="4" s="1"/>
  <c r="K35" i="4" s="1"/>
  <c r="K36" i="4" s="1"/>
  <c r="K37" i="4" s="1"/>
  <c r="K38" i="4" s="1"/>
  <c r="K39" i="4" s="1"/>
  <c r="K40" i="4" s="1"/>
  <c r="K41" i="4" s="1"/>
  <c r="K42" i="4" s="1"/>
  <c r="K43" i="4" s="1"/>
  <c r="K44" i="4" s="1"/>
  <c r="K45" i="4" s="1"/>
  <c r="K46" i="4" s="1"/>
  <c r="K47" i="4" s="1"/>
  <c r="K48" i="4" s="1"/>
  <c r="K49" i="4" s="1"/>
  <c r="K50" i="4" s="1"/>
  <c r="K51" i="4" s="1"/>
  <c r="K3" i="4"/>
  <c r="A57" i="4"/>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F8" i="3"/>
  <c r="F6" i="3"/>
  <c r="F14" i="3"/>
  <c r="D2" i="3"/>
  <c r="E2" i="3"/>
  <c r="C3" i="3"/>
  <c r="D3" i="3"/>
  <c r="F3" i="3"/>
  <c r="D4" i="3"/>
  <c r="E4" i="3"/>
  <c r="C5" i="3"/>
  <c r="D5" i="3"/>
  <c r="F5" i="3"/>
  <c r="C6" i="3"/>
  <c r="D6" i="3"/>
  <c r="D7" i="3"/>
  <c r="E7" i="3"/>
  <c r="F7" i="3"/>
  <c r="C8" i="3"/>
  <c r="C9" i="3"/>
  <c r="D9" i="3"/>
  <c r="E9" i="3"/>
  <c r="F9" i="3"/>
  <c r="C10" i="3"/>
  <c r="E10" i="3"/>
  <c r="C11" i="3"/>
  <c r="D11" i="3"/>
  <c r="E11" i="3"/>
  <c r="F11" i="3"/>
  <c r="C12" i="3"/>
  <c r="D12" i="3"/>
  <c r="E12" i="3"/>
  <c r="C13" i="3"/>
  <c r="D13" i="3"/>
  <c r="F13" i="3"/>
  <c r="C14" i="3"/>
  <c r="D14" i="3"/>
  <c r="E15" i="3"/>
  <c r="G15" i="3"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B3" i="2"/>
  <c r="B4" i="2" s="1"/>
  <c r="B5" i="2" s="1"/>
  <c r="B6" i="2" s="1"/>
  <c r="B7" i="2" s="1"/>
  <c r="I41" i="13" l="1"/>
  <c r="I40" i="13"/>
  <c r="I39" i="13"/>
  <c r="I37" i="13"/>
  <c r="A42" i="4"/>
  <c r="A43" i="4" s="1"/>
  <c r="A44" i="4" s="1"/>
  <c r="A45" i="4" s="1"/>
  <c r="A46" i="4" s="1"/>
  <c r="A47" i="4" s="1"/>
  <c r="A48" i="4" s="1"/>
  <c r="A49" i="4" s="1"/>
  <c r="A50" i="4" s="1"/>
  <c r="A51" i="4" s="1"/>
  <c r="I10" i="3"/>
  <c r="I7" i="3"/>
  <c r="I12" i="3"/>
  <c r="I13" i="3"/>
  <c r="I4" i="3"/>
  <c r="I8" i="3"/>
  <c r="H10" i="3"/>
  <c r="I3" i="3"/>
  <c r="I9" i="3"/>
  <c r="I2" i="3"/>
  <c r="I6" i="3"/>
  <c r="I14" i="3"/>
  <c r="I5" i="3"/>
  <c r="I11" i="3"/>
  <c r="I15" i="3"/>
  <c r="H4" i="3"/>
  <c r="H12" i="3"/>
  <c r="H14" i="3"/>
  <c r="H9" i="3"/>
  <c r="H6" i="3"/>
  <c r="H3" i="3"/>
  <c r="H11" i="3"/>
  <c r="H8" i="3"/>
  <c r="H13" i="3"/>
  <c r="H7" i="3"/>
  <c r="H5" i="3"/>
  <c r="H15" i="3"/>
  <c r="H2" i="3"/>
  <c r="G8" i="3"/>
  <c r="G9" i="3"/>
  <c r="G6" i="3"/>
  <c r="G14" i="3"/>
  <c r="G11" i="3"/>
  <c r="G2" i="3"/>
  <c r="G13" i="3"/>
  <c r="G5" i="3"/>
  <c r="G10" i="3"/>
  <c r="G7" i="3"/>
  <c r="G4" i="3"/>
  <c r="G12" i="3"/>
  <c r="G3" i="3"/>
  <c r="C3" i="2"/>
  <c r="D3" i="2" s="1"/>
  <c r="E3" i="2" s="1"/>
  <c r="H3" i="2" s="1"/>
  <c r="C4" i="2"/>
  <c r="D4" i="2" s="1"/>
  <c r="B8" i="2"/>
  <c r="C7" i="2"/>
  <c r="D7" i="2" s="1"/>
  <c r="C6" i="2"/>
  <c r="C5" i="2"/>
  <c r="E7" i="2" l="1"/>
  <c r="H7" i="2" s="1"/>
  <c r="D5" i="2"/>
  <c r="E5" i="2" s="1"/>
  <c r="B9" i="2"/>
  <c r="C8" i="2"/>
  <c r="G3" i="2"/>
  <c r="K3" i="2" s="1"/>
  <c r="F3" i="2"/>
  <c r="D6" i="2"/>
  <c r="E4" i="2"/>
  <c r="F4" i="2" s="1"/>
  <c r="H5" i="2" l="1"/>
  <c r="G7" i="2"/>
  <c r="K7" i="2" s="1"/>
  <c r="I3" i="2"/>
  <c r="J3" i="2"/>
  <c r="L3" i="2"/>
  <c r="F7" i="2"/>
  <c r="D8" i="2"/>
  <c r="E6" i="2"/>
  <c r="F6" i="2" s="1"/>
  <c r="H4" i="2"/>
  <c r="B10" i="2"/>
  <c r="C9" i="2"/>
  <c r="G4" i="2"/>
  <c r="G5" i="2"/>
  <c r="F5" i="2"/>
  <c r="M3" i="2" l="1"/>
  <c r="N3" i="2" s="1"/>
  <c r="G6" i="2"/>
  <c r="I5" i="2"/>
  <c r="L5" i="2"/>
  <c r="J5" i="2"/>
  <c r="B11" i="2"/>
  <c r="C10" i="2"/>
  <c r="D10" i="2" s="1"/>
  <c r="K5" i="2"/>
  <c r="E8" i="2"/>
  <c r="H8" i="2" s="1"/>
  <c r="K4" i="2"/>
  <c r="L4" i="2"/>
  <c r="I4" i="2"/>
  <c r="J4" i="2"/>
  <c r="L7" i="2"/>
  <c r="J7" i="2"/>
  <c r="I7" i="2"/>
  <c r="D9" i="2"/>
  <c r="H6" i="2"/>
  <c r="M7" i="2" l="1"/>
  <c r="N7" i="2" s="1"/>
  <c r="G8" i="2"/>
  <c r="I8" i="2" s="1"/>
  <c r="F8" i="2"/>
  <c r="E9" i="2"/>
  <c r="H9" i="2" s="1"/>
  <c r="M5" i="2"/>
  <c r="N5" i="2" s="1"/>
  <c r="K6" i="2"/>
  <c r="B12" i="2"/>
  <c r="C11" i="2"/>
  <c r="D11" i="2" s="1"/>
  <c r="I6" i="2"/>
  <c r="J6" i="2"/>
  <c r="L6" i="2"/>
  <c r="E10" i="2"/>
  <c r="H10" i="2" s="1"/>
  <c r="M4" i="2"/>
  <c r="N4" i="2" s="1"/>
  <c r="J8" i="2" l="1"/>
  <c r="K8" i="2"/>
  <c r="M6" i="2"/>
  <c r="N6" i="2" s="1"/>
  <c r="L8" i="2"/>
  <c r="G9" i="2"/>
  <c r="L9" i="2" s="1"/>
  <c r="E11" i="2"/>
  <c r="G11" i="2" s="1"/>
  <c r="F9" i="2"/>
  <c r="G10" i="2"/>
  <c r="B13" i="2"/>
  <c r="C12" i="2"/>
  <c r="D12" i="2" s="1"/>
  <c r="F10" i="2"/>
  <c r="M8" i="2" l="1"/>
  <c r="N8" i="2" s="1"/>
  <c r="J9" i="2"/>
  <c r="H11" i="2"/>
  <c r="I11" i="2" s="1"/>
  <c r="F11" i="2"/>
  <c r="K9" i="2"/>
  <c r="I9" i="2"/>
  <c r="B14" i="2"/>
  <c r="C13" i="2"/>
  <c r="E12" i="2"/>
  <c r="H12" i="2" s="1"/>
  <c r="I10" i="2"/>
  <c r="J10" i="2"/>
  <c r="L10" i="2"/>
  <c r="K10" i="2"/>
  <c r="M9" i="2" l="1"/>
  <c r="N9" i="2" s="1"/>
  <c r="K11" i="2"/>
  <c r="L11" i="2"/>
  <c r="J11" i="2"/>
  <c r="M10" i="2"/>
  <c r="N10" i="2" s="1"/>
  <c r="F12" i="2"/>
  <c r="G12" i="2"/>
  <c r="L12" i="2" s="1"/>
  <c r="B15" i="2"/>
  <c r="C14" i="2"/>
  <c r="D13" i="2"/>
  <c r="M11" i="2" l="1"/>
  <c r="N11" i="2" s="1"/>
  <c r="J12" i="2"/>
  <c r="I12" i="2"/>
  <c r="K12" i="2"/>
  <c r="B16" i="2"/>
  <c r="C15" i="2"/>
  <c r="D15" i="2" s="1"/>
  <c r="E13" i="2"/>
  <c r="H13" i="2" s="1"/>
  <c r="D14" i="2"/>
  <c r="M12" i="2" l="1"/>
  <c r="N12" i="2" s="1"/>
  <c r="E14" i="2"/>
  <c r="H14" i="2" s="1"/>
  <c r="G13" i="2"/>
  <c r="K13" i="2" s="1"/>
  <c r="E15" i="2"/>
  <c r="H15" i="2" s="1"/>
  <c r="B17" i="2"/>
  <c r="C16" i="2"/>
  <c r="F13" i="2"/>
  <c r="G14" i="2" l="1"/>
  <c r="K14" i="2" s="1"/>
  <c r="B18" i="2"/>
  <c r="C17" i="2"/>
  <c r="F14" i="2"/>
  <c r="D16" i="2"/>
  <c r="G15" i="2"/>
  <c r="K15" i="2" s="1"/>
  <c r="L13" i="2"/>
  <c r="I13" i="2"/>
  <c r="J13" i="2"/>
  <c r="F15" i="2"/>
  <c r="M13" i="2" l="1"/>
  <c r="N13" i="2" s="1"/>
  <c r="L14" i="2"/>
  <c r="I14" i="2"/>
  <c r="J14" i="2"/>
  <c r="B19" i="2"/>
  <c r="C18" i="2"/>
  <c r="D17" i="2"/>
  <c r="E16" i="2"/>
  <c r="H16" i="2" s="1"/>
  <c r="L15" i="2"/>
  <c r="I15" i="2"/>
  <c r="J15" i="2"/>
  <c r="M15" i="2" l="1"/>
  <c r="N15" i="2" s="1"/>
  <c r="F16" i="2"/>
  <c r="E17" i="2"/>
  <c r="H17" i="2" s="1"/>
  <c r="D18" i="2"/>
  <c r="G16" i="2"/>
  <c r="B20" i="2"/>
  <c r="C19" i="2"/>
  <c r="D19" i="2" s="1"/>
  <c r="M14" i="2"/>
  <c r="N14" i="2" s="1"/>
  <c r="E19" i="2" l="1"/>
  <c r="H19" i="2" s="1"/>
  <c r="G17" i="2"/>
  <c r="K17" i="2" s="1"/>
  <c r="B21" i="2"/>
  <c r="C20" i="2"/>
  <c r="D20" i="2" s="1"/>
  <c r="F17" i="2"/>
  <c r="J16" i="2"/>
  <c r="I16" i="2"/>
  <c r="L16" i="2"/>
  <c r="K16" i="2"/>
  <c r="E18" i="2"/>
  <c r="H18" i="2" s="1"/>
  <c r="G19" i="2" l="1"/>
  <c r="K19" i="2" s="1"/>
  <c r="F19" i="2"/>
  <c r="E20" i="2"/>
  <c r="F20" i="2" s="1"/>
  <c r="G18" i="2"/>
  <c r="J18" i="2" s="1"/>
  <c r="F18" i="2"/>
  <c r="M16" i="2"/>
  <c r="N16" i="2" s="1"/>
  <c r="J17" i="2"/>
  <c r="I17" i="2"/>
  <c r="L17" i="2"/>
  <c r="B22" i="2"/>
  <c r="C21" i="2"/>
  <c r="D21" i="2" s="1"/>
  <c r="L19" i="2" l="1"/>
  <c r="J19" i="2"/>
  <c r="I19" i="2"/>
  <c r="H20" i="2"/>
  <c r="G20" i="2"/>
  <c r="K18" i="2"/>
  <c r="M17" i="2"/>
  <c r="N17" i="2" s="1"/>
  <c r="I18" i="2"/>
  <c r="L18" i="2"/>
  <c r="B23" i="2"/>
  <c r="C22" i="2"/>
  <c r="E21" i="2"/>
  <c r="H21" i="2" s="1"/>
  <c r="J20" i="2" l="1"/>
  <c r="I20" i="2"/>
  <c r="L20" i="2"/>
  <c r="M19" i="2"/>
  <c r="N19" i="2" s="1"/>
  <c r="M18" i="2"/>
  <c r="N18" i="2" s="1"/>
  <c r="K20" i="2"/>
  <c r="D22" i="2"/>
  <c r="E22" i="2" s="1"/>
  <c r="B24" i="2"/>
  <c r="C23" i="2"/>
  <c r="D23" i="2" s="1"/>
  <c r="E23" i="2" s="1"/>
  <c r="F21" i="2"/>
  <c r="G21" i="2"/>
  <c r="M20" i="2" l="1"/>
  <c r="N20" i="2" s="1"/>
  <c r="H22" i="2"/>
  <c r="G22" i="2"/>
  <c r="F22" i="2"/>
  <c r="H23" i="2"/>
  <c r="L21" i="2"/>
  <c r="I21" i="2"/>
  <c r="J21" i="2"/>
  <c r="B25" i="2"/>
  <c r="C24" i="2"/>
  <c r="K21" i="2"/>
  <c r="F23" i="2"/>
  <c r="G23" i="2"/>
  <c r="K23" i="2" l="1"/>
  <c r="J22" i="2"/>
  <c r="K22" i="2"/>
  <c r="I22" i="2"/>
  <c r="L22" i="2"/>
  <c r="M21" i="2"/>
  <c r="N21" i="2" s="1"/>
  <c r="B26" i="2"/>
  <c r="C25" i="2"/>
  <c r="D25" i="2" s="1"/>
  <c r="L23" i="2"/>
  <c r="J23" i="2"/>
  <c r="I23" i="2"/>
  <c r="D24" i="2"/>
  <c r="M22" i="2" l="1"/>
  <c r="N22" i="2" s="1"/>
  <c r="M23" i="2"/>
  <c r="N23" i="2" s="1"/>
  <c r="B27" i="2"/>
  <c r="C26" i="2"/>
  <c r="D26" i="2" s="1"/>
  <c r="E24" i="2"/>
  <c r="H24" i="2" s="1"/>
  <c r="E25" i="2"/>
  <c r="H25" i="2" s="1"/>
  <c r="E26" i="2" l="1"/>
  <c r="H26" i="2" s="1"/>
  <c r="F25" i="2"/>
  <c r="G25" i="2"/>
  <c r="K25" i="2" s="1"/>
  <c r="B28" i="2"/>
  <c r="C27" i="2"/>
  <c r="G24" i="2"/>
  <c r="F24" i="2"/>
  <c r="G26" i="2" l="1"/>
  <c r="D27" i="2"/>
  <c r="B29" i="2"/>
  <c r="C28" i="2"/>
  <c r="D28" i="2" s="1"/>
  <c r="E28" i="2" s="1"/>
  <c r="H28" i="2" s="1"/>
  <c r="J24" i="2"/>
  <c r="L24" i="2"/>
  <c r="I24" i="2"/>
  <c r="K24" i="2"/>
  <c r="J25" i="2"/>
  <c r="L25" i="2"/>
  <c r="I25" i="2"/>
  <c r="F26" i="2"/>
  <c r="M25" i="2" l="1"/>
  <c r="N25" i="2" s="1"/>
  <c r="M24" i="2"/>
  <c r="N24" i="2" s="1"/>
  <c r="B30" i="2"/>
  <c r="C29" i="2"/>
  <c r="D29" i="2" s="1"/>
  <c r="I26" i="2"/>
  <c r="J26" i="2"/>
  <c r="L26" i="2"/>
  <c r="K26" i="2"/>
  <c r="E27" i="2"/>
  <c r="H27" i="2" s="1"/>
  <c r="G28" i="2"/>
  <c r="F28" i="2"/>
  <c r="G27" i="2" l="1"/>
  <c r="J27" i="2" s="1"/>
  <c r="M26" i="2"/>
  <c r="N26" i="2" s="1"/>
  <c r="E29" i="2"/>
  <c r="H29" i="2" s="1"/>
  <c r="L28" i="2"/>
  <c r="I28" i="2"/>
  <c r="J28" i="2"/>
  <c r="K28" i="2"/>
  <c r="B31" i="2"/>
  <c r="C30" i="2"/>
  <c r="F27" i="2"/>
  <c r="M28" i="2" l="1"/>
  <c r="N28" i="2" s="1"/>
  <c r="L27" i="2"/>
  <c r="I27" i="2"/>
  <c r="K27" i="2"/>
  <c r="B32" i="2"/>
  <c r="C31" i="2"/>
  <c r="D31" i="2" s="1"/>
  <c r="D30" i="2"/>
  <c r="G29" i="2"/>
  <c r="F29" i="2"/>
  <c r="M27" i="2" l="1"/>
  <c r="N27" i="2" s="1"/>
  <c r="E30" i="2"/>
  <c r="H30" i="2" s="1"/>
  <c r="E31" i="2"/>
  <c r="H31" i="2" s="1"/>
  <c r="I29" i="2"/>
  <c r="L29" i="2"/>
  <c r="J29" i="2"/>
  <c r="B33" i="2"/>
  <c r="C32" i="2"/>
  <c r="D32" i="2" s="1"/>
  <c r="K29" i="2"/>
  <c r="G31" i="2" l="1"/>
  <c r="L31" i="2" s="1"/>
  <c r="M29" i="2"/>
  <c r="N29" i="2" s="1"/>
  <c r="G30" i="2"/>
  <c r="E32" i="2"/>
  <c r="H32" i="2" s="1"/>
  <c r="B34" i="2"/>
  <c r="C33" i="2"/>
  <c r="D33" i="2" s="1"/>
  <c r="F30" i="2"/>
  <c r="F31" i="2"/>
  <c r="J31" i="2" l="1"/>
  <c r="K31" i="2"/>
  <c r="I31" i="2"/>
  <c r="L30" i="2"/>
  <c r="I30" i="2"/>
  <c r="J30" i="2"/>
  <c r="K30" i="2"/>
  <c r="E33" i="2"/>
  <c r="H33" i="2" s="1"/>
  <c r="B35" i="2"/>
  <c r="C34" i="2"/>
  <c r="D34" i="2" s="1"/>
  <c r="G32" i="2"/>
  <c r="K32" i="2" s="1"/>
  <c r="F32" i="2"/>
  <c r="M31" i="2" l="1"/>
  <c r="N31" i="2" s="1"/>
  <c r="M30" i="2"/>
  <c r="N30" i="2" s="1"/>
  <c r="E34" i="2"/>
  <c r="G34" i="2" s="1"/>
  <c r="B36" i="2"/>
  <c r="C35" i="2"/>
  <c r="F33" i="2"/>
  <c r="J32" i="2"/>
  <c r="I32" i="2"/>
  <c r="L32" i="2"/>
  <c r="G33" i="2"/>
  <c r="K33" i="2" s="1"/>
  <c r="M32" i="2" l="1"/>
  <c r="N32" i="2" s="1"/>
  <c r="B37" i="2"/>
  <c r="C36" i="2"/>
  <c r="D36" i="2" s="1"/>
  <c r="H34" i="2"/>
  <c r="K34" i="2" s="1"/>
  <c r="F34" i="2"/>
  <c r="D35" i="2"/>
  <c r="J33" i="2"/>
  <c r="I33" i="2"/>
  <c r="L33" i="2"/>
  <c r="M33" i="2" l="1"/>
  <c r="N33" i="2" s="1"/>
  <c r="E36" i="2"/>
  <c r="H36" i="2" s="1"/>
  <c r="I34" i="2"/>
  <c r="L34" i="2"/>
  <c r="J34" i="2"/>
  <c r="B38" i="2"/>
  <c r="C37" i="2"/>
  <c r="D37" i="2" s="1"/>
  <c r="E35" i="2"/>
  <c r="F35" i="2" s="1"/>
  <c r="M34" i="2" l="1"/>
  <c r="N34" i="2" s="1"/>
  <c r="G35" i="2"/>
  <c r="E37" i="2"/>
  <c r="H37" i="2" s="1"/>
  <c r="F36" i="2"/>
  <c r="B39" i="2"/>
  <c r="C38" i="2"/>
  <c r="D38" i="2" s="1"/>
  <c r="H35" i="2"/>
  <c r="G36" i="2"/>
  <c r="K36" i="2" s="1"/>
  <c r="F37" i="2" l="1"/>
  <c r="G37" i="2"/>
  <c r="L37" i="2" s="1"/>
  <c r="I35" i="2"/>
  <c r="L35" i="2"/>
  <c r="J35" i="2"/>
  <c r="E38" i="2"/>
  <c r="F38" i="2" s="1"/>
  <c r="L36" i="2"/>
  <c r="I36" i="2"/>
  <c r="J36" i="2"/>
  <c r="B40" i="2"/>
  <c r="C39" i="2"/>
  <c r="D39" i="2" s="1"/>
  <c r="K35" i="2"/>
  <c r="J37" i="2" l="1"/>
  <c r="K37" i="2"/>
  <c r="I37" i="2"/>
  <c r="H38" i="2"/>
  <c r="M36" i="2"/>
  <c r="N36" i="2" s="1"/>
  <c r="M35" i="2"/>
  <c r="N35" i="2" s="1"/>
  <c r="G38" i="2"/>
  <c r="B41" i="2"/>
  <c r="C40" i="2"/>
  <c r="D40" i="2" s="1"/>
  <c r="E39" i="2"/>
  <c r="H39" i="2" s="1"/>
  <c r="K38" i="2" l="1"/>
  <c r="M37" i="2"/>
  <c r="N37" i="2" s="1"/>
  <c r="L38" i="2"/>
  <c r="I38" i="2"/>
  <c r="J38" i="2"/>
  <c r="F39" i="2"/>
  <c r="G39" i="2"/>
  <c r="L39" i="2" s="1"/>
  <c r="B42" i="2"/>
  <c r="C41" i="2"/>
  <c r="E40" i="2"/>
  <c r="H40" i="2" s="1"/>
  <c r="M38" i="2" l="1"/>
  <c r="N38" i="2" s="1"/>
  <c r="I39" i="2"/>
  <c r="K39" i="2"/>
  <c r="J39" i="2"/>
  <c r="D41" i="2"/>
  <c r="G40" i="2"/>
  <c r="F40" i="2"/>
  <c r="C42" i="2"/>
  <c r="D42" i="2" s="1"/>
  <c r="M39" i="2" l="1"/>
  <c r="N39" i="2" s="1"/>
  <c r="J40" i="2"/>
  <c r="L40" i="2"/>
  <c r="I40" i="2"/>
  <c r="K40" i="2"/>
  <c r="E42" i="2"/>
  <c r="F42" i="2" s="1"/>
  <c r="E41" i="2"/>
  <c r="H41" i="2" s="1"/>
  <c r="M40" i="2" l="1"/>
  <c r="N40" i="2" s="1"/>
  <c r="G42" i="2"/>
  <c r="G41" i="2"/>
  <c r="F41" i="2"/>
  <c r="F43" i="2" s="1"/>
  <c r="H42" i="2"/>
  <c r="G43" i="2" l="1"/>
  <c r="I42" i="2"/>
  <c r="J42" i="2"/>
  <c r="L42" i="2"/>
  <c r="K42" i="2"/>
  <c r="J41" i="2"/>
  <c r="L41" i="2"/>
  <c r="I41" i="2"/>
  <c r="K41" i="2"/>
  <c r="M42" i="2" l="1"/>
  <c r="N42" i="2" s="1"/>
  <c r="M41" i="2"/>
  <c r="N4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<sst xmlns="http://schemas.openxmlformats.org/spreadsheetml/2006/main" count="4203" uniqueCount="752">
  <si>
    <t>Employee_ID</t>
  </si>
  <si>
    <t>First_Name</t>
  </si>
  <si>
    <t>Last_Name</t>
  </si>
  <si>
    <t>Age</t>
  </si>
  <si>
    <t>Gender</t>
  </si>
  <si>
    <t>City</t>
  </si>
  <si>
    <t>Department</t>
  </si>
  <si>
    <t>Job_Title</t>
  </si>
  <si>
    <t>Employment_Status</t>
  </si>
  <si>
    <t>Education</t>
  </si>
  <si>
    <t>Experience_Years</t>
  </si>
  <si>
    <t>Monthly_Salary_PKR</t>
  </si>
  <si>
    <t>Join_Date</t>
  </si>
  <si>
    <t>Date_of_Birth</t>
  </si>
  <si>
    <t>Email</t>
  </si>
  <si>
    <t>Phone</t>
  </si>
  <si>
    <t>Manager_ID</t>
  </si>
  <si>
    <t>Performance_Score</t>
  </si>
  <si>
    <t>Attendance_Percent</t>
  </si>
  <si>
    <t>Overtime_Hours</t>
  </si>
  <si>
    <t>Annual_Bonus_PKR</t>
  </si>
  <si>
    <t>Department_Budget_PKR</t>
  </si>
  <si>
    <t>Training_Hours</t>
  </si>
  <si>
    <t>Leave_Days_Used</t>
  </si>
  <si>
    <t>Project_Name</t>
  </si>
  <si>
    <t>Project_Status</t>
  </si>
  <si>
    <t>Task_Count</t>
  </si>
  <si>
    <t>Tasks_Completed</t>
  </si>
  <si>
    <t>Client_Satisfaction</t>
  </si>
  <si>
    <t>Product</t>
  </si>
  <si>
    <t>Units_Sold</t>
  </si>
  <si>
    <t>Sales_Revenue_PKR</t>
  </si>
  <si>
    <t>Cost_PKR</t>
  </si>
  <si>
    <t>Profit_PKR</t>
  </si>
  <si>
    <t>Sales_Channel</t>
  </si>
  <si>
    <t>Payment_Method</t>
  </si>
  <si>
    <t>Region</t>
  </si>
  <si>
    <t>Customer_Rating</t>
  </si>
  <si>
    <t>Discount_Percent</t>
  </si>
  <si>
    <t>Record_Date</t>
  </si>
  <si>
    <t>EMP0001</t>
  </si>
  <si>
    <t>Maryam</t>
  </si>
  <si>
    <t>Ali</t>
  </si>
  <si>
    <t>Female</t>
  </si>
  <si>
    <t>Sukkur</t>
  </si>
  <si>
    <t>Sales</t>
  </si>
  <si>
    <t>Manager</t>
  </si>
  <si>
    <t>Active</t>
  </si>
  <si>
    <t>Matric</t>
  </si>
  <si>
    <t>maryam.ali1@example.com</t>
  </si>
  <si>
    <t>+92-3617933677</t>
  </si>
  <si>
    <t>EMP0073</t>
  </si>
  <si>
    <t>Gamma</t>
  </si>
  <si>
    <t>Completed</t>
  </si>
  <si>
    <t>SSD</t>
  </si>
  <si>
    <t>Walk-in</t>
  </si>
  <si>
    <t>EasyPaisa</t>
  </si>
  <si>
    <t>South</t>
  </si>
  <si>
    <t>EMP0002</t>
  </si>
  <si>
    <t>Hamza</t>
  </si>
  <si>
    <t>Ahmed</t>
  </si>
  <si>
    <t>Quetta</t>
  </si>
  <si>
    <t>Customer Support</t>
  </si>
  <si>
    <t>Specialist</t>
  </si>
  <si>
    <t>Probation</t>
  </si>
  <si>
    <t>Master's</t>
  </si>
  <si>
    <t>hamza.ahmed2@example.com</t>
  </si>
  <si>
    <t>+92-3242762079</t>
  </si>
  <si>
    <t>EMP0011</t>
  </si>
  <si>
    <t>Beta</t>
  </si>
  <si>
    <t>On Hold</t>
  </si>
  <si>
    <t>Printer</t>
  </si>
  <si>
    <t>LinkedIn</t>
  </si>
  <si>
    <t>JazzCash</t>
  </si>
  <si>
    <t>North</t>
  </si>
  <si>
    <t>EMP0003</t>
  </si>
  <si>
    <t>Laiba</t>
  </si>
  <si>
    <t>Raza</t>
  </si>
  <si>
    <t>Male</t>
  </si>
  <si>
    <t>Lahore</t>
  </si>
  <si>
    <t>IT</t>
  </si>
  <si>
    <t>Assistant</t>
  </si>
  <si>
    <t>laiba.raza3@example.com</t>
  </si>
  <si>
    <t>+92-3748197765</t>
  </si>
  <si>
    <t>EMP0092</t>
  </si>
  <si>
    <t>Headphones</t>
  </si>
  <si>
    <t>Referral</t>
  </si>
  <si>
    <t>West</t>
  </si>
  <si>
    <t>EMP0004</t>
  </si>
  <si>
    <t>Noor</t>
  </si>
  <si>
    <t>Siddiqui</t>
  </si>
  <si>
    <t>Other</t>
  </si>
  <si>
    <t>Multan</t>
  </si>
  <si>
    <t>Operations</t>
  </si>
  <si>
    <t>Officer</t>
  </si>
  <si>
    <t>Inactive</t>
  </si>
  <si>
    <t>Intermediate</t>
  </si>
  <si>
    <t>noor.siddiqui4@example.com</t>
  </si>
  <si>
    <t>+92-3075090595</t>
  </si>
  <si>
    <t>EMP0076</t>
  </si>
  <si>
    <t>Phoenix</t>
  </si>
  <si>
    <t>In Progress</t>
  </si>
  <si>
    <t>Website</t>
  </si>
  <si>
    <t>Central</t>
  </si>
  <si>
    <t>EMP0005</t>
  </si>
  <si>
    <t>Danish</t>
  </si>
  <si>
    <t>Butt</t>
  </si>
  <si>
    <t>Analyst</t>
  </si>
  <si>
    <t>danish.butt5@example.com</t>
  </si>
  <si>
    <t>+92-3019437596</t>
  </si>
  <si>
    <t>EMP0027</t>
  </si>
  <si>
    <t>Not Started</t>
  </si>
  <si>
    <t>Router</t>
  </si>
  <si>
    <t>Card</t>
  </si>
  <si>
    <t>EMP0006</t>
  </si>
  <si>
    <t>Shah</t>
  </si>
  <si>
    <t>Coordinator</t>
  </si>
  <si>
    <t>Diploma</t>
  </si>
  <si>
    <t>danish.shah6@example.com</t>
  </si>
  <si>
    <t>+92-3877470852</t>
  </si>
  <si>
    <t>EMP0043</t>
  </si>
  <si>
    <t>Delta</t>
  </si>
  <si>
    <t>Cash</t>
  </si>
  <si>
    <t>East</t>
  </si>
  <si>
    <t>EMP0007</t>
  </si>
  <si>
    <t>Qureshi</t>
  </si>
  <si>
    <t>HR</t>
  </si>
  <si>
    <t>hamza.qureshi7@example.com</t>
  </si>
  <si>
    <t>+92-3198662305</t>
  </si>
  <si>
    <t>EMP0016</t>
  </si>
  <si>
    <t>Webcam</t>
  </si>
  <si>
    <t>WhatsApp</t>
  </si>
  <si>
    <t>EMP0008</t>
  </si>
  <si>
    <t>Faisalabad</t>
  </si>
  <si>
    <t>Finance</t>
  </si>
  <si>
    <t>Executive</t>
  </si>
  <si>
    <t>laiba.qureshi8@example.com</t>
  </si>
  <si>
    <t>+92-3636146343</t>
  </si>
  <si>
    <t>EMP0028</t>
  </si>
  <si>
    <t>Omega</t>
  </si>
  <si>
    <t>Laptop</t>
  </si>
  <si>
    <t>EMP0009</t>
  </si>
  <si>
    <t>Hassan</t>
  </si>
  <si>
    <t>Farooq</t>
  </si>
  <si>
    <t>Karachi</t>
  </si>
  <si>
    <t>Bachelor's</t>
  </si>
  <si>
    <t>hassan.farooq9@example.com</t>
  </si>
  <si>
    <t>+92-3881232885</t>
  </si>
  <si>
    <t>EMP0072</t>
  </si>
  <si>
    <t>Alpha</t>
  </si>
  <si>
    <t>Facebook</t>
  </si>
  <si>
    <t>EMP0010</t>
  </si>
  <si>
    <t>Sara</t>
  </si>
  <si>
    <t>sara.shah10@example.com</t>
  </si>
  <si>
    <t>+92-3367490644</t>
  </si>
  <si>
    <t>Mouse</t>
  </si>
  <si>
    <t>Zain</t>
  </si>
  <si>
    <t>Associate</t>
  </si>
  <si>
    <t>On Leave</t>
  </si>
  <si>
    <t>zain.shah11@example.com</t>
  </si>
  <si>
    <t>+92-3654492893</t>
  </si>
  <si>
    <t>EMP0067</t>
  </si>
  <si>
    <t>Instagram</t>
  </si>
  <si>
    <t>EMP0012</t>
  </si>
  <si>
    <t>Zoya</t>
  </si>
  <si>
    <t>Hyderabad</t>
  </si>
  <si>
    <t>zoya.ali12@example.com</t>
  </si>
  <si>
    <t>+92-3318941925</t>
  </si>
  <si>
    <t>EMP0034</t>
  </si>
  <si>
    <t>Bank Transfer</t>
  </si>
  <si>
    <t>EMP0013</t>
  </si>
  <si>
    <t>Bilal</t>
  </si>
  <si>
    <t>bilal.farooq13@example.com</t>
  </si>
  <si>
    <t>+92-3742974546</t>
  </si>
  <si>
    <t>EMP0058</t>
  </si>
  <si>
    <t>EMP0014</t>
  </si>
  <si>
    <t>Ayesha</t>
  </si>
  <si>
    <t>ayesha.butt14@example.com</t>
  </si>
  <si>
    <t>+92-3458874224</t>
  </si>
  <si>
    <t>Monitor</t>
  </si>
  <si>
    <t>EMP0015</t>
  </si>
  <si>
    <t>Hira</t>
  </si>
  <si>
    <t>hira.ahmed15@example.com</t>
  </si>
  <si>
    <t>+92-3493041470</t>
  </si>
  <si>
    <t>EMP0083</t>
  </si>
  <si>
    <t>Marketing</t>
  </si>
  <si>
    <t>ali.butt16@example.com</t>
  </si>
  <si>
    <t>+92-3340968878</t>
  </si>
  <si>
    <t>EMP0095</t>
  </si>
  <si>
    <t>Keyboard</t>
  </si>
  <si>
    <t>EMP0017</t>
  </si>
  <si>
    <t>Malik</t>
  </si>
  <si>
    <t>danish.malik17@example.com</t>
  </si>
  <si>
    <t>+92-3712349408</t>
  </si>
  <si>
    <t>EMP0038</t>
  </si>
  <si>
    <t>EMP0018</t>
  </si>
  <si>
    <t>Fatima</t>
  </si>
  <si>
    <t>Procurement</t>
  </si>
  <si>
    <t>fatima.shah18@example.com</t>
  </si>
  <si>
    <t>+92-3154469603</t>
  </si>
  <si>
    <t>EMP0019</t>
  </si>
  <si>
    <t>Khan</t>
  </si>
  <si>
    <t>fatima.khan19@example.com</t>
  </si>
  <si>
    <t>+92-3116640560</t>
  </si>
  <si>
    <t>EMP0094</t>
  </si>
  <si>
    <t>EMP0020</t>
  </si>
  <si>
    <t>Omar</t>
  </si>
  <si>
    <t>omar.butt20@example.com</t>
  </si>
  <si>
    <t>+92-3322175495</t>
  </si>
  <si>
    <t>EMP0023</t>
  </si>
  <si>
    <t>EMP0021</t>
  </si>
  <si>
    <t>Rawalpindi</t>
  </si>
  <si>
    <t>hamza.ali21@example.com</t>
  </si>
  <si>
    <t>+92-3788809494</t>
  </si>
  <si>
    <t>EMP0063</t>
  </si>
  <si>
    <t>EMP0022</t>
  </si>
  <si>
    <t>Usman</t>
  </si>
  <si>
    <t>Hussain</t>
  </si>
  <si>
    <t>usman.hussain22@example.com</t>
  </si>
  <si>
    <t>+92-3910154622</t>
  </si>
  <si>
    <t>ayesha.malik23@example.com</t>
  </si>
  <si>
    <t>+92-3376531138</t>
  </si>
  <si>
    <t>EMP0026</t>
  </si>
  <si>
    <t>EMP0024</t>
  </si>
  <si>
    <t>hassan.siddiqui24@example.com</t>
  </si>
  <si>
    <t>+92-3297572805</t>
  </si>
  <si>
    <t>EMP0068</t>
  </si>
  <si>
    <t>EMP0025</t>
  </si>
  <si>
    <t>Peshawar</t>
  </si>
  <si>
    <t>bilal.siddiqui25@example.com</t>
  </si>
  <si>
    <t>+92-3615455881</t>
  </si>
  <si>
    <t>EMP0049</t>
  </si>
  <si>
    <t>Office Chair</t>
  </si>
  <si>
    <t>ayesha.khan26@example.com</t>
  </si>
  <si>
    <t>+92-3353996545</t>
  </si>
  <si>
    <t>EMP0041</t>
  </si>
  <si>
    <t>Taha</t>
  </si>
  <si>
    <t>Islamabad</t>
  </si>
  <si>
    <t>taha.ahmed27@example.com</t>
  </si>
  <si>
    <t>+92-3486085910</t>
  </si>
  <si>
    <t>EMP0035</t>
  </si>
  <si>
    <t>usman.butt28@example.com</t>
  </si>
  <si>
    <t>+92-3988274942</t>
  </si>
  <si>
    <t>EMP0029</t>
  </si>
  <si>
    <t>ahmed.hussain29@example.com</t>
  </si>
  <si>
    <t>+92-3623608035</t>
  </si>
  <si>
    <t>EMP0051</t>
  </si>
  <si>
    <t>EMP0030</t>
  </si>
  <si>
    <t>hamza.butt30@example.com</t>
  </si>
  <si>
    <t>+92-3016938439</t>
  </si>
  <si>
    <t>EMP0071</t>
  </si>
  <si>
    <t>EMP0031</t>
  </si>
  <si>
    <t>bilal.ali31@example.com</t>
  </si>
  <si>
    <t>+92-3315598567</t>
  </si>
  <si>
    <t>EMP0052</t>
  </si>
  <si>
    <t>EMP0032</t>
  </si>
  <si>
    <t>bilal.butt32@example.com</t>
  </si>
  <si>
    <t>+92-3971510513</t>
  </si>
  <si>
    <t>EMP0033</t>
  </si>
  <si>
    <t>Iqra</t>
  </si>
  <si>
    <t>iqra.siddiqui33@example.com</t>
  </si>
  <si>
    <t>+92-3157096651</t>
  </si>
  <si>
    <t>EMP0079</t>
  </si>
  <si>
    <t>Nova</t>
  </si>
  <si>
    <t>hira.butt34@example.com</t>
  </si>
  <si>
    <t>+92-3659518889</t>
  </si>
  <si>
    <t>EMP0074</t>
  </si>
  <si>
    <t>Saad</t>
  </si>
  <si>
    <t>saad.siddiqui35@example.com</t>
  </si>
  <si>
    <t>+92-3840099528</t>
  </si>
  <si>
    <t>EMP0053</t>
  </si>
  <si>
    <t>EMP0036</t>
  </si>
  <si>
    <t>zoya.malik36@example.com</t>
  </si>
  <si>
    <t>+92-3331369693</t>
  </si>
  <si>
    <t>Orion</t>
  </si>
  <si>
    <t>EMP0037</t>
  </si>
  <si>
    <t>ayesha.shah37@example.com</t>
  </si>
  <si>
    <t>+92-3845607459</t>
  </si>
  <si>
    <t>zoya.butt38@example.com</t>
  </si>
  <si>
    <t>+92-3185860473</t>
  </si>
  <si>
    <t>EMP0039</t>
  </si>
  <si>
    <t>omar.butt39@example.com</t>
  </si>
  <si>
    <t>+92-3474037337</t>
  </si>
  <si>
    <t>EMP0040</t>
  </si>
  <si>
    <t>ali.siddiqui40@example.com</t>
  </si>
  <si>
    <t>+92-3010585413</t>
  </si>
  <si>
    <t>EMP0045</t>
  </si>
  <si>
    <t>danish.shah41@example.com</t>
  </si>
  <si>
    <t>+92-3832965294</t>
  </si>
  <si>
    <t>EMP0042</t>
  </si>
  <si>
    <t>Sheikh</t>
  </si>
  <si>
    <t>laiba.sheikh42@example.com</t>
  </si>
  <si>
    <t>+92-3535403847</t>
  </si>
  <si>
    <t>hira.sheikh43@example.com</t>
  </si>
  <si>
    <t>+92-3687038027</t>
  </si>
  <si>
    <t>EMP0044</t>
  </si>
  <si>
    <t>zain.malik44@example.com</t>
  </si>
  <si>
    <t>+92-3236818248</t>
  </si>
  <si>
    <t>taha.raza45@example.com</t>
  </si>
  <si>
    <t>+92-3680743002</t>
  </si>
  <si>
    <t>EMP0046</t>
  </si>
  <si>
    <t>noor.malik46@example.com</t>
  </si>
  <si>
    <t>+92-3452992691</t>
  </si>
  <si>
    <t>EMP0062</t>
  </si>
  <si>
    <t>EMP0047</t>
  </si>
  <si>
    <t>ali.sheikh47@example.com</t>
  </si>
  <si>
    <t>+92-3922134061</t>
  </si>
  <si>
    <t>EMP0086</t>
  </si>
  <si>
    <t>EMP0048</t>
  </si>
  <si>
    <t>omar.khan48@example.com</t>
  </si>
  <si>
    <t>+92-3760325994</t>
  </si>
  <si>
    <t>EMP0055</t>
  </si>
  <si>
    <t>sara.shah49@example.com</t>
  </si>
  <si>
    <t>+92-3576267357</t>
  </si>
  <si>
    <t>EMP0050</t>
  </si>
  <si>
    <t>laiba.khan50@example.com</t>
  </si>
  <si>
    <t>+92-3793923346</t>
  </si>
  <si>
    <t>EMP0098</t>
  </si>
  <si>
    <t>maryam.khan51@example.com</t>
  </si>
  <si>
    <t>+92-3689706905</t>
  </si>
  <si>
    <t>ayesha.sheikh52@example.com</t>
  </si>
  <si>
    <t>+92-3417068021</t>
  </si>
  <si>
    <t>zain.butt53@example.com</t>
  </si>
  <si>
    <t>+92-3290683283</t>
  </si>
  <si>
    <t>EMP0054</t>
  </si>
  <si>
    <t>bilal.ali54@example.com</t>
  </si>
  <si>
    <t>+92-3672454585</t>
  </si>
  <si>
    <t>EMP0091</t>
  </si>
  <si>
    <t>sara.sheikh55@example.com</t>
  </si>
  <si>
    <t>+92-3720970882</t>
  </si>
  <si>
    <t>EMP0056</t>
  </si>
  <si>
    <t>taha.ali56@example.com</t>
  </si>
  <si>
    <t>+92-3995878149</t>
  </si>
  <si>
    <t>EMP0057</t>
  </si>
  <si>
    <t>ahmed.farooq57@example.com</t>
  </si>
  <si>
    <t>+92-3989385133</t>
  </si>
  <si>
    <t>zain.sheikh58@example.com</t>
  </si>
  <si>
    <t>+92-3529161981</t>
  </si>
  <si>
    <t>EMP0059</t>
  </si>
  <si>
    <t>hira.qureshi59@example.com</t>
  </si>
  <si>
    <t>+92-3341963674</t>
  </si>
  <si>
    <t>EMP0060</t>
  </si>
  <si>
    <t>zain.raza60@example.com</t>
  </si>
  <si>
    <t>+92-3746760685</t>
  </si>
  <si>
    <t>EMP0061</t>
  </si>
  <si>
    <t>hassan.butt61@example.com</t>
  </si>
  <si>
    <t>+92-3561189181</t>
  </si>
  <si>
    <t>ali.ahmed62@example.com</t>
  </si>
  <si>
    <t>+92-3788638446</t>
  </si>
  <si>
    <t>EMP0065</t>
  </si>
  <si>
    <t>taha.hussain63@example.com</t>
  </si>
  <si>
    <t>+92-3543458391</t>
  </si>
  <si>
    <t>EMP0064</t>
  </si>
  <si>
    <t>ahmed.khan64@example.com</t>
  </si>
  <si>
    <t>+92-3150991670</t>
  </si>
  <si>
    <t>omar.malik65@example.com</t>
  </si>
  <si>
    <t>+92-3335340855</t>
  </si>
  <si>
    <t>EMP0066</t>
  </si>
  <si>
    <t>ayesha.hussain66@example.com</t>
  </si>
  <si>
    <t>+92-3991974354</t>
  </si>
  <si>
    <t>hira.hussain67@example.com</t>
  </si>
  <si>
    <t>+92-3761093209</t>
  </si>
  <si>
    <t>ali.khan68@example.com</t>
  </si>
  <si>
    <t>+92-3180497627</t>
  </si>
  <si>
    <t>EMP0069</t>
  </si>
  <si>
    <t>bilal.farooq69@example.com</t>
  </si>
  <si>
    <t>+92-3994734116</t>
  </si>
  <si>
    <t>EMP0082</t>
  </si>
  <si>
    <t>EMP0070</t>
  </si>
  <si>
    <t>omar.farooq70@example.com</t>
  </si>
  <si>
    <t>+92-3097254980</t>
  </si>
  <si>
    <t>zoya.hussain71@example.com</t>
  </si>
  <si>
    <t>+92-3476511845</t>
  </si>
  <si>
    <t>zoya.farooq72@example.com</t>
  </si>
  <si>
    <t>+92-3368462080</t>
  </si>
  <si>
    <t>zoya.butt73@example.com</t>
  </si>
  <si>
    <t>+92-3178857459</t>
  </si>
  <si>
    <t>omar.raza74@example.com</t>
  </si>
  <si>
    <t>+92-3794293432</t>
  </si>
  <si>
    <t>EMP0081</t>
  </si>
  <si>
    <t>EMP0075</t>
  </si>
  <si>
    <t>usman.shah75@example.com</t>
  </si>
  <si>
    <t>+92-3779897824</t>
  </si>
  <si>
    <t>taha.sheikh76@example.com</t>
  </si>
  <si>
    <t>+92-3845057340</t>
  </si>
  <si>
    <t>EMP0077</t>
  </si>
  <si>
    <t>usman.shah77@example.com</t>
  </si>
  <si>
    <t>+92-3632711147</t>
  </si>
  <si>
    <t>EMP0087</t>
  </si>
  <si>
    <t>EMP0078</t>
  </si>
  <si>
    <t>fatima.ali78@example.com</t>
  </si>
  <si>
    <t>+92-3945491310</t>
  </si>
  <si>
    <t>hassan.malik79@example.com</t>
  </si>
  <si>
    <t>+92-3442129000</t>
  </si>
  <si>
    <t>EMP0080</t>
  </si>
  <si>
    <t>ayesha.khan80@example.com</t>
  </si>
  <si>
    <t>+92-3168880433</t>
  </si>
  <si>
    <t>taha.hussain81@example.com</t>
  </si>
  <si>
    <t>+92-3339861201</t>
  </si>
  <si>
    <t>omar.shah82@example.com</t>
  </si>
  <si>
    <t>+92-3920768103</t>
  </si>
  <si>
    <t>taha.khan83@example.com</t>
  </si>
  <si>
    <t>+92-3385559113</t>
  </si>
  <si>
    <t>EMP0084</t>
  </si>
  <si>
    <t>omar.raza84@example.com</t>
  </si>
  <si>
    <t>+92-3434866357</t>
  </si>
  <si>
    <t>EMP0085</t>
  </si>
  <si>
    <t>ayesha.ali85@example.com</t>
  </si>
  <si>
    <t>+92-3427571911</t>
  </si>
  <si>
    <t>ahmed.butt86@example.com</t>
  </si>
  <si>
    <t>+92-3995177696</t>
  </si>
  <si>
    <t>iqra.raza87@example.com</t>
  </si>
  <si>
    <t>+92-3250465232</t>
  </si>
  <si>
    <t>EMP0093</t>
  </si>
  <si>
    <t>EMP0088</t>
  </si>
  <si>
    <t>hira.malik88@example.com</t>
  </si>
  <si>
    <t>+92-3342445209</t>
  </si>
  <si>
    <t>EMP0089</t>
  </si>
  <si>
    <t>danish.siddiqui89@example.com</t>
  </si>
  <si>
    <t>+92-3997790805</t>
  </si>
  <si>
    <t>EMP0090</t>
  </si>
  <si>
    <t>hassan.butt90@example.com</t>
  </si>
  <si>
    <t>+92-3723393682</t>
  </si>
  <si>
    <t>zain.shah91@example.com</t>
  </si>
  <si>
    <t>+92-3018783061</t>
  </si>
  <si>
    <t>sara.raza92@example.com</t>
  </si>
  <si>
    <t>+92-3743518579</t>
  </si>
  <si>
    <t>ali.ali93@example.com</t>
  </si>
  <si>
    <t>+92-3337028493</t>
  </si>
  <si>
    <t>zain.sheikh94@example.com</t>
  </si>
  <si>
    <t>+92-3045520491</t>
  </si>
  <si>
    <t>zoya.siddiqui95@example.com</t>
  </si>
  <si>
    <t>+92-3121651866</t>
  </si>
  <si>
    <t>EMP0096</t>
  </si>
  <si>
    <t>usman.butt96@example.com</t>
  </si>
  <si>
    <t>+92-3580067465</t>
  </si>
  <si>
    <t>EMP0097</t>
  </si>
  <si>
    <t>maryam.siddiqui97@example.com</t>
  </si>
  <si>
    <t>+92-3146911705</t>
  </si>
  <si>
    <t>hira.khan98@example.com</t>
  </si>
  <si>
    <t>+92-3721923226</t>
  </si>
  <si>
    <t>EMP0099</t>
  </si>
  <si>
    <t>laiba.ali99@example.com</t>
  </si>
  <si>
    <t>+92-3024469829</t>
  </si>
  <si>
    <t>EMP0100</t>
  </si>
  <si>
    <t>omar.raza100@example.com</t>
  </si>
  <si>
    <t>+92-3355041969</t>
  </si>
  <si>
    <t>Add 5 to A — '=A2+5</t>
  </si>
  <si>
    <t>Add 5 to B — '=B2+5</t>
  </si>
  <si>
    <t>Addition — '=A3+B3</t>
  </si>
  <si>
    <t>SUM 3 Cells — '=SUM(A3,B3,C3)</t>
  </si>
  <si>
    <t>SUM Range — '=SUM(A3:D3)</t>
  </si>
  <si>
    <t>SUM with Addition — '=SUM(D3+E3)</t>
  </si>
  <si>
    <t>SUM Separate Cells — '=SUM(D3,E3)</t>
  </si>
  <si>
    <t>Subtraction — '=E3-D3</t>
  </si>
  <si>
    <t>Multiplication — '=G3*H3</t>
  </si>
  <si>
    <t>PRODUCT — '=PRODUCT(G3:H3)</t>
  </si>
  <si>
    <t>Division — '=H3/G3</t>
  </si>
  <si>
    <t>AVERAGE — '=AVERAGE(G3:H3)</t>
  </si>
  <si>
    <t>MAXIMUM — '=MAX(A3:K3)</t>
  </si>
  <si>
    <t>MINIMUM — '=MIN(A3:M3)</t>
  </si>
  <si>
    <t>P.F</t>
  </si>
  <si>
    <t>OOP</t>
  </si>
  <si>
    <t>DSA</t>
  </si>
  <si>
    <t>O.S</t>
  </si>
  <si>
    <t>Count</t>
  </si>
  <si>
    <t>Counta</t>
  </si>
  <si>
    <t>Countblank</t>
  </si>
  <si>
    <t>ab</t>
  </si>
  <si>
    <t>Date</t>
  </si>
  <si>
    <t>Employee Name</t>
  </si>
  <si>
    <t>Sales (Rs.)</t>
  </si>
  <si>
    <t>Target (Rs.)</t>
  </si>
  <si>
    <t>Muhammad Ahmed</t>
  </si>
  <si>
    <t>Ayesha Khan</t>
  </si>
  <si>
    <t>Muhammad Hamza</t>
  </si>
  <si>
    <t>Fatima Ali</t>
  </si>
  <si>
    <t>Hassan Raza</t>
  </si>
  <si>
    <t>Sana Ahmed</t>
  </si>
  <si>
    <t>Usman Malik</t>
  </si>
  <si>
    <t>Zainab Siddiqui</t>
  </si>
  <si>
    <t>Bilal Hussain</t>
  </si>
  <si>
    <t>Maryam Sheikh</t>
  </si>
  <si>
    <t>Ali Abbas</t>
  </si>
  <si>
    <t>Hira Shah</t>
  </si>
  <si>
    <t>Abdullah Qureshi</t>
  </si>
  <si>
    <t>Iqra Javed</t>
  </si>
  <si>
    <t>Saad Farooq</t>
  </si>
  <si>
    <t>Maham Tariq</t>
  </si>
  <si>
    <t>Danish Iqbal</t>
  </si>
  <si>
    <t>Noor Fatima</t>
  </si>
  <si>
    <t>Fahad Mustafa</t>
  </si>
  <si>
    <t>Laiba Aslam</t>
  </si>
  <si>
    <t>Omar Siddiqui</t>
  </si>
  <si>
    <t>Khadija Noor</t>
  </si>
  <si>
    <t>Talha Anwar</t>
  </si>
  <si>
    <t>Rabia Khalid</t>
  </si>
  <si>
    <t>Ahmad Raza</t>
  </si>
  <si>
    <t>Sidra Imran</t>
  </si>
  <si>
    <t>Taha Yousuf</t>
  </si>
  <si>
    <t>Amna Zahid</t>
  </si>
  <si>
    <t>Shahzaib Akhtar</t>
  </si>
  <si>
    <t>Minal Arif</t>
  </si>
  <si>
    <t>Muneeb Ahmed</t>
  </si>
  <si>
    <t>Eman Zahra</t>
  </si>
  <si>
    <t>Shayan Khan</t>
  </si>
  <si>
    <t>Sadia Bibi</t>
  </si>
  <si>
    <t>Farhan Ali</t>
  </si>
  <si>
    <t>Mehwish Raza</t>
  </si>
  <si>
    <t>Adeel Hussain</t>
  </si>
  <si>
    <t>Anum Fatima</t>
  </si>
  <si>
    <t>Rizwan Haider</t>
  </si>
  <si>
    <t>Mahnoor Asif</t>
  </si>
  <si>
    <t>Ibrahim Shah</t>
  </si>
  <si>
    <t>Nimra Khalid</t>
  </si>
  <si>
    <t>Arsalan Javed</t>
  </si>
  <si>
    <t>Hafsa Tariq</t>
  </si>
  <si>
    <t>Sameer Iqbal</t>
  </si>
  <si>
    <t>Zoya Ahmed</t>
  </si>
  <si>
    <t>Kamran Yousuf</t>
  </si>
  <si>
    <t>Alina Saeed</t>
  </si>
  <si>
    <t>Waleed Akram</t>
  </si>
  <si>
    <t>Sehrish Malik</t>
  </si>
  <si>
    <t xml:space="preserve">linear (sequence from decremnet from 15 to 3 ) - (Start 15, Step -3, Stop 3) </t>
  </si>
  <si>
    <t>linear (Sequence from 1 to 15 but 2 increment) (Start 1, Step 2, Stop 15)</t>
  </si>
  <si>
    <t>linear (Sequence from 1 to 50) (Start 1, Step 1, Stop 50)</t>
  </si>
  <si>
    <t xml:space="preserve">Growth (sequence from multiply  ) - (Start 2, Step 2, Stop 35) </t>
  </si>
  <si>
    <t xml:space="preserve">Growth (sequence from Divide by 10 But it can multiply only so you  10 to 0.10  ) - (Start 10000, Step 0.10, Stop 1) </t>
  </si>
  <si>
    <t>SEQUENCE (ROW,COLUMN,START,STEPS) =SEQUENCE(5,5,1,5)</t>
  </si>
  <si>
    <t>Drag date to Downward</t>
  </si>
  <si>
    <t>Date Enter user Fills series (Series : Column)  ( Type : Date ) (unit : Day) (Start : 10/12/2026) (Step : 1 )  (Stop : 10/20/2026)</t>
  </si>
  <si>
    <t>Date Enter user Fills series (Series : Column)  ( Type : Date ) (unit : WeekDay) (Start : 10/12/2026) (Step : 1 )  (Stop : 10/20/2026)</t>
  </si>
  <si>
    <t>Difference</t>
  </si>
  <si>
    <t>Status</t>
  </si>
  <si>
    <t>PRECEDENTS HOW WE CREATE (20 IS AN EXAMPLE)  &amp;  DEPENDENTS WHICH FINAL NUMBER IT CAN CREATE (230 IS AN EXAMPLE)</t>
  </si>
  <si>
    <t xml:space="preserve"> </t>
  </si>
  <si>
    <t>%</t>
  </si>
  <si>
    <t xml:space="preserve">Add 100 in Target </t>
  </si>
  <si>
    <t>VERTICAL TO HORIZONTAL</t>
  </si>
  <si>
    <t>HORIZONTAL TO VERTICAL</t>
  </si>
  <si>
    <t>SKIP BLANKS</t>
  </si>
  <si>
    <t>OPERATIONS</t>
  </si>
  <si>
    <t>Paste Link</t>
  </si>
  <si>
    <t xml:space="preserve">ANY CHANGE IN FIRST SHEET IT CHANGE AUTOMATICALLY CHANGE N SECOND SHEET </t>
  </si>
  <si>
    <t>Ali Khan</t>
  </si>
  <si>
    <t>ORIGINAL DATA</t>
  </si>
  <si>
    <t>CLEAR FORMAT (ALT   H   E   F)</t>
  </si>
  <si>
    <t>COMPLETE REMOVE (ALT   H   E   A)</t>
  </si>
  <si>
    <t>DATA REMOVE (ALT   H   E   C) / DELETE</t>
  </si>
  <si>
    <t>Zain40 Siddiqui</t>
  </si>
  <si>
    <t>Ali 40bas</t>
  </si>
  <si>
    <t>40dullah Qureshi</t>
  </si>
  <si>
    <t>Total</t>
  </si>
  <si>
    <t>Total Marks</t>
  </si>
  <si>
    <t>P.F %</t>
  </si>
  <si>
    <t>OOP %</t>
  </si>
  <si>
    <t>DSA %</t>
  </si>
  <si>
    <t>O.S%</t>
  </si>
  <si>
    <t>Rank</t>
  </si>
  <si>
    <t>S No</t>
  </si>
  <si>
    <t>Formula</t>
  </si>
  <si>
    <t>Syntax</t>
  </si>
  <si>
    <t>Usage</t>
  </si>
  <si>
    <t>Example</t>
  </si>
  <si>
    <t>LEFT</t>
  </si>
  <si>
    <t>LEFT(text, [num_chars])</t>
  </si>
  <si>
    <t>Left side se characters nikaalta hai</t>
  </si>
  <si>
    <t>Starting letters extract karne ke liye</t>
  </si>
  <si>
    <t>RIGHT</t>
  </si>
  <si>
    <t>RIGHT(text, [num_chars])</t>
  </si>
  <si>
    <t>Right side se characters nikaalta hai</t>
  </si>
  <si>
    <t>Ending extract karne ke liye</t>
  </si>
  <si>
    <t>MID</t>
  </si>
  <si>
    <t>MID(text, start_num, num_chars)</t>
  </si>
  <si>
    <t>Beech ka text nikaalta hai</t>
  </si>
  <si>
    <t>Specific position ka text</t>
  </si>
  <si>
    <t>LEN</t>
  </si>
  <si>
    <t>LEN(text)</t>
  </si>
  <si>
    <t>Total characters count karta hai</t>
  </si>
  <si>
    <t>Length check karne ke liye</t>
  </si>
  <si>
    <t>TRIM</t>
  </si>
  <si>
    <t>TRIM(text)</t>
  </si>
  <si>
    <t>Extra spaces hata deta hai</t>
  </si>
  <si>
    <t>Clean data ke liye</t>
  </si>
  <si>
    <t>UPPER</t>
  </si>
  <si>
    <t>UPPER(text)</t>
  </si>
  <si>
    <t>Sabko capital bana deta hai</t>
  </si>
  <si>
    <t>Standard format</t>
  </si>
  <si>
    <t>LOWER</t>
  </si>
  <si>
    <t>LOWER(text)</t>
  </si>
  <si>
    <t>Sabko small letters me convert karta hai</t>
  </si>
  <si>
    <t>Email cleaning</t>
  </si>
  <si>
    <t>PROPER</t>
  </si>
  <si>
    <t>PROPER(text)</t>
  </si>
  <si>
    <t>Har word ka first letter capital</t>
  </si>
  <si>
    <t>Name formatting</t>
  </si>
  <si>
    <t>CONCAT</t>
  </si>
  <si>
    <t>CONCAT(text1, [text2], ...)</t>
  </si>
  <si>
    <t>Multiple text join karta hai</t>
  </si>
  <si>
    <t>Data combine</t>
  </si>
  <si>
    <t>CONCATENATE</t>
  </si>
  <si>
    <t>CONCATENATE(text1, [text2], ...)</t>
  </si>
  <si>
    <t>Same as CONCAT (old version)</t>
  </si>
  <si>
    <t>Combine text</t>
  </si>
  <si>
    <t>TEXTJOIN</t>
  </si>
  <si>
    <t>TEXTJOIN(delimiter, ignore_empty, text1, ...)</t>
  </si>
  <si>
    <t>Join karta hai with separator</t>
  </si>
  <si>
    <t>Advanced joining</t>
  </si>
  <si>
    <t>FIND</t>
  </si>
  <si>
    <t>FIND(find_text, within_text, [start_num])</t>
  </si>
  <si>
    <t>Case-sensitive search karta hai</t>
  </si>
  <si>
    <t>Position find karna</t>
  </si>
  <si>
    <t>SEARCH</t>
  </si>
  <si>
    <t>SEARCH(find_text, within_text, [start_num])</t>
  </si>
  <si>
    <t>Case-insensitive search</t>
  </si>
  <si>
    <t>Flexible search</t>
  </si>
  <si>
    <t>REPLACE</t>
  </si>
  <si>
    <t>REPLACE(old_text, start_num, num_chars, new_text)</t>
  </si>
  <si>
    <t>Text replace karta hai position se</t>
  </si>
  <si>
    <t>Data correction</t>
  </si>
  <si>
    <t>SUBSTITUTE</t>
  </si>
  <si>
    <t>SUBSTITUTE(text, old_text, new_text, [instance_num])</t>
  </si>
  <si>
    <t>Specific text replace karta hai</t>
  </si>
  <si>
    <t>Word replace</t>
  </si>
  <si>
    <t>VALUE</t>
  </si>
  <si>
    <t>VALUE(text)</t>
  </si>
  <si>
    <t>Text ko number me convert karta hai</t>
  </si>
  <si>
    <t>Numeric conversion</t>
  </si>
  <si>
    <t>TEXT</t>
  </si>
  <si>
    <t>TEXT(value, format_text)</t>
  </si>
  <si>
    <t>Number ko text format me convert</t>
  </si>
  <si>
    <t>Formatting</t>
  </si>
  <si>
    <t>CLEAN</t>
  </si>
  <si>
    <t>CLEAN(text)</t>
  </si>
  <si>
    <t>Non-printable characters remove karta hai</t>
  </si>
  <si>
    <t>Imported data cleaning</t>
  </si>
  <si>
    <t>19</t>
  </si>
  <si>
    <t>CHAR</t>
  </si>
  <si>
    <t>CHAR(number)</t>
  </si>
  <si>
    <t>ASCII code se character return</t>
  </si>
  <si>
    <t>Special characters</t>
  </si>
  <si>
    <t>REPT</t>
  </si>
  <si>
    <t>REPT(text, number_times)</t>
  </si>
  <si>
    <t>Text repeat karta hai</t>
  </si>
  <si>
    <t>Pattern banana</t>
  </si>
  <si>
    <t xml:space="preserve">Meaning </t>
  </si>
  <si>
    <t>Names</t>
  </si>
  <si>
    <t>Prefix</t>
  </si>
  <si>
    <t>=LEFT("Oneeb Arif",3) → One</t>
  </si>
  <si>
    <t>=RIGHT("Oneeb Arif",2) → if</t>
  </si>
  <si>
    <t>=PROPER("oneeb arif") → Oneeb Arif</t>
  </si>
  <si>
    <t>=FIND("a","Oneeb arif") → 8</t>
  </si>
  <si>
    <t>=SEARCH("A","oneeb arif") → 8</t>
  </si>
  <si>
    <t>=MID("Excel",2,3) → xce</t>
  </si>
  <si>
    <t>=LEN("Hello") → 5</t>
  </si>
  <si>
    <t>=TRIM(" Hello ") → Hello</t>
  </si>
  <si>
    <t>=UPPER("excel") → EXCEL</t>
  </si>
  <si>
    <t>=LOWER("EXCEL") → excel</t>
  </si>
  <si>
    <t>=CONCAT("A","B") → AB</t>
  </si>
  <si>
    <t>=CONCATENATE("Hi ", "All") → Hi All</t>
  </si>
  <si>
    <t>=TEXTJOIN(",", TRUE, "S No", 1, 2) → S No,1,2</t>
  </si>
  <si>
    <t>=REPLACE("1BB45",2,2,"AA") → 1AA45</t>
  </si>
  <si>
    <t>=SUBSTITUTE("Hi all","all","team") → Hi team</t>
  </si>
  <si>
    <t>=VALUE("123") → 123</t>
  </si>
  <si>
    <t>=CLEAN(text) → S No</t>
  </si>
  <si>
    <t>=CHAR(65) → A</t>
  </si>
  <si>
    <t>=TEXT(100,"₨0") → ₨100</t>
  </si>
  <si>
    <t>ID</t>
  </si>
  <si>
    <t>Suffix</t>
  </si>
  <si>
    <t>Mr. Oneeb Arif</t>
  </si>
  <si>
    <t>Mr. Bilal Ahmed</t>
  </si>
  <si>
    <t>Mr. Muneer Khan</t>
  </si>
  <si>
    <t>Mr. Affan Ahmed</t>
  </si>
  <si>
    <t>Ms. Ayesha Malik</t>
  </si>
  <si>
    <t>Mr. Abdul Wasay</t>
  </si>
  <si>
    <t>Ms. Fatima Raza</t>
  </si>
  <si>
    <t>Mr. Hamza Sheikh</t>
  </si>
  <si>
    <t>Ms. Zainab Ali</t>
  </si>
  <si>
    <t>AXP-7842-MNO</t>
  </si>
  <si>
    <t>BTR-8492-KLM</t>
  </si>
  <si>
    <t>COS-2345-YZQ</t>
  </si>
  <si>
    <t>DYN-6789-PQR</t>
  </si>
  <si>
    <t>EIM-4532-ABC</t>
  </si>
  <si>
    <t>FVK-9102-DEF</t>
  </si>
  <si>
    <t>GWL-3217-GHI</t>
  </si>
  <si>
    <t>HZS-7654-JKL</t>
  </si>
  <si>
    <t>JQP-1876-STU</t>
  </si>
  <si>
    <t>LENGTH</t>
  </si>
  <si>
    <t>Mr.           Oneeb Arif</t>
  </si>
  <si>
    <t>Mr. Bilal          Ahmed</t>
  </si>
  <si>
    <t>Mr.          Affan Ahmed</t>
  </si>
  <si>
    <t xml:space="preserve">     Ms.      Zainab       Ali</t>
  </si>
  <si>
    <t xml:space="preserve">         Mr.        Abdul    Wasay</t>
  </si>
  <si>
    <t xml:space="preserve">        Ms. Ayesha       Malik</t>
  </si>
  <si>
    <t xml:space="preserve">      Mr. Muneer         Khan</t>
  </si>
  <si>
    <t>Small Letters</t>
  </si>
  <si>
    <t>Capital Letters</t>
  </si>
  <si>
    <t>Sectence Case</t>
  </si>
  <si>
    <t>MR. ONEEB ARIF</t>
  </si>
  <si>
    <t>MR. BILAL AHMED</t>
  </si>
  <si>
    <t>MR. MUNEER KHAN</t>
  </si>
  <si>
    <t>MR. AFFAN AHMED</t>
  </si>
  <si>
    <t>MS. AYESHA MALIK</t>
  </si>
  <si>
    <t>MR. ABDUL WASAY</t>
  </si>
  <si>
    <t>MS. FATIMA RAZA</t>
  </si>
  <si>
    <t>MR. HAMZA SHEIKH</t>
  </si>
  <si>
    <t>MS. ZAINAB ALI</t>
  </si>
  <si>
    <t>Text Join</t>
  </si>
  <si>
    <t>First Name</t>
  </si>
  <si>
    <t>Last Name</t>
  </si>
  <si>
    <t>Full Name</t>
  </si>
  <si>
    <t>Oneeb</t>
  </si>
  <si>
    <t>Arif</t>
  </si>
  <si>
    <t>Muneer</t>
  </si>
  <si>
    <t>Affan</t>
  </si>
  <si>
    <t>Abdul</t>
  </si>
  <si>
    <t>Wasay</t>
  </si>
  <si>
    <t>Zainab</t>
  </si>
  <si>
    <t>Tariq</t>
  </si>
  <si>
    <t>FlashFill (Ctrl E)</t>
  </si>
  <si>
    <t>Oneeb Arif</t>
  </si>
  <si>
    <t>Bilal Ahmed</t>
  </si>
  <si>
    <t>Muneer Khan</t>
  </si>
  <si>
    <t>Affan Ahmed</t>
  </si>
  <si>
    <t>Ayesha Malik</t>
  </si>
  <si>
    <t>Abdul Wasay</t>
  </si>
  <si>
    <t>Fatima Raza</t>
  </si>
  <si>
    <t>Hamza Sheikh</t>
  </si>
  <si>
    <t>Zainab Ali</t>
  </si>
  <si>
    <t>Usman Tariq</t>
  </si>
  <si>
    <t>Concatenate</t>
  </si>
  <si>
    <t>Concat</t>
  </si>
  <si>
    <t>Text Split</t>
  </si>
  <si>
    <t>Ampersend (&amp;)</t>
  </si>
  <si>
    <t>Text Split , Ampersend , Fashfill, TextBeforeDelimeter, TextAfterDelimeter</t>
  </si>
  <si>
    <t>Text Before &amp; After Delimete</t>
  </si>
  <si>
    <t>Before</t>
  </si>
  <si>
    <t>After</t>
  </si>
  <si>
    <t>Substitute</t>
  </si>
  <si>
    <t>Change</t>
  </si>
  <si>
    <t>Replace</t>
  </si>
  <si>
    <t>Find (Case Sensitive)</t>
  </si>
  <si>
    <t>Search  (Not Case Sensitive)</t>
  </si>
  <si>
    <t>Birth Dates</t>
  </si>
  <si>
    <t>Days</t>
  </si>
  <si>
    <t>Month</t>
  </si>
  <si>
    <t>Value</t>
  </si>
  <si>
    <t>12345</t>
  </si>
  <si>
    <t>Clean</t>
  </si>
  <si>
    <t>Oneeb
Arif</t>
  </si>
  <si>
    <t>65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</si>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</sst>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PKR]\ #,##0.00"/>
    <numFmt numFmtId="166" formatCode="dd/mm/yyyy"/>
    <numFmt numFmtId="167" formatCode="&quot;Rs. &quot;#,##0"/>
    <numFmt numFmtId="168" formatCode="&quot;Rs.&quot;\ #,##0"/>
  </numFmts>
  <fonts count="27" x14ac:knownFonts="1">
    <font>
      <sz val="11"/>
      <color theme="1"/>
      <name val="Calibri"/>
      <family val="2"/>
      <scheme val="minor"/>
    </font>
    <font>
      <b/>
      <sz val="11"/>
      <color theme="2"/>
      <name val="Arial Narrow"/>
      <family val="2"/>
    </font>
    <font>
      <b/>
      <sz val="16"/>
      <color theme="2"/>
      <name val="Arial Narrow"/>
      <family val="2"/>
    </font>
    <font>
      <sz val="16"/>
      <color theme="1"/>
      <name val="Calibri"/>
      <family val="2"/>
      <scheme val="minor"/>
    </font>
    <font>
      <b/>
      <sz val="22"/>
      <color theme="2"/>
      <name val="Arial Narrow"/>
      <family val="2"/>
    </font>
    <font>
      <sz val="22"/>
      <color theme="1"/>
      <name val="Calibri"/>
      <family val="2"/>
      <scheme val="minor"/>
    </font>
    <font>
      <sz val="24"/>
      <color theme="1"/>
      <name val="Calibri"/>
      <family val="2"/>
      <scheme val="minor"/>
    </font>
    <font>
      <b/>
      <sz val="12"/>
      <color rgb="FFFFFFFF"/>
      <name val="Calibri"/>
    </font>
    <font>
      <b/>
      <sz val="12"/>
      <color rgb="FFFFFFFF"/>
      <name val="Calibri"/>
      <family val="2"/>
    </font>
    <font>
      <b/>
      <sz val="11"/>
      <color theme="0"/>
      <name val="Calibri"/>
      <family val="2"/>
      <scheme val="minor"/>
    </font>
    <font>
      <sz val="11"/>
      <color theme="2"/>
      <name val="Calibri"/>
      <family val="2"/>
      <scheme val="minor"/>
    </font>
    <font>
      <sz val="11"/>
      <color rgb="FF000000"/>
      <name val="Calibri"/>
      <family val="2"/>
      <scheme val="minor"/>
    </font>
    <font>
      <b/>
      <sz val="12"/>
      <color rgb="FFFFFFFF"/>
      <name val="Calibri"/>
      <family val="2"/>
      <scheme val="minor"/>
    </font>
    <font>
      <b/>
      <sz val="12"/>
      <color rgb="FFFFFFFF"/>
      <name val="Calibri"/>
      <scheme val="minor"/>
    </font>
    <font>
      <sz val="11"/>
      <color theme="1"/>
      <name val="Calibri"/>
      <family val="2"/>
      <scheme val="minor"/>
    </font>
    <font>
      <b/>
      <sz val="11"/>
      <color theme="1"/>
      <name val="Calibri"/>
      <family val="2"/>
      <scheme val="minor"/>
    </font>
    <font>
      <b/>
      <sz val="12"/>
      <color theme="9" tint="-0.249977111117893"/>
      <name val="Cambria"/>
      <family val="1"/>
      <scheme val="major"/>
    </font>
    <font>
      <b/>
      <sz val="11"/>
      <color theme="2"/>
      <name val="Calibri"/>
      <family val="2"/>
      <scheme val="minor"/>
    </font>
    <font>
      <b/>
      <sz val="11"/>
      <color theme="9" tint="-0.499984740745262"/>
      <name val="Calibri"/>
      <family val="2"/>
      <scheme val="minor"/>
    </font>
    <font>
      <sz val="11"/>
      <color theme="9" tint="-0.499984740745262"/>
      <name val="Calibri"/>
      <family val="2"/>
      <scheme val="minor"/>
    </font>
    <font>
      <b/>
      <sz val="11"/>
      <name val="Calibri"/>
      <family val="2"/>
      <scheme val="minor"/>
    </font>
    <font>
      <sz val="11"/>
      <color rgb="FFFFFFFF"/>
      <name val="Calibri"/>
      <family val="2"/>
      <scheme val="minor"/>
    </font>
    <font>
      <b/>
      <sz val="11"/>
      <color rgb="FFFFFFFF"/>
      <name val="Calibri"/>
      <family val="2"/>
      <scheme val="minor"/>
    </font>
    <font>
      <sz val="10"/>
      <color rgb="FF222222"/>
      <name val="Calibri"/>
      <family val="2"/>
      <scheme val="minor"/>
    </font>
    <font>
      <b/>
      <sz val="10"/>
      <color rgb="FF222222"/>
      <name val="Calibri"/>
      <family val="2"/>
      <scheme val="minor"/>
    </font>
    <font>
      <sz val="10"/>
      <color rgb="FF222222"/>
      <name val="Calibri"/>
      <family val="2"/>
    </font>
    <font>
      <b/>
      <sz val="10"/>
      <color rgb="FF1F4E78"/>
      <name val="Calibri"/>
      <family val="2"/>
      <scheme val="minor"/>
    </font>
  </fonts>
  <fills count="31">
    <fill>
      <patternFill patternType="none"/>
    </fill>
    <fill>
      <patternFill patternType="gray125"/>
    </fill>
    <fill>
      <patternFill patternType="solid">
        <fgColor theme="1"/>
        <bgColor indexed="64"/>
      </patternFill>
    </fill>
    <fill>
      <patternFill patternType="solid">
        <fgColor rgb="FF064A20"/>
      </patternFill>
    </fill>
    <fill>
      <patternFill patternType="solid">
        <fgColor rgb="FF064A20"/>
        <bgColor rgb="FF000000"/>
      </patternFill>
    </fill>
    <fill>
      <patternFill patternType="solid">
        <fgColor theme="5" tint="0.59999389629810485"/>
        <bgColor indexed="64"/>
      </patternFill>
    </fill>
    <fill>
      <patternFill patternType="solid">
        <fgColor rgb="FFFFFF0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1" tint="0.49998474074526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39994506668294322"/>
        <bgColor indexed="64"/>
      </patternFill>
    </fill>
    <fill>
      <patternFill patternType="solid">
        <fgColor rgb="FF00000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1F4E78"/>
        <bgColor indexed="64"/>
      </patternFill>
    </fill>
    <fill>
      <patternFill patternType="solid">
        <fgColor rgb="FFFFFFFF"/>
        <bgColor indexed="64"/>
      </patternFill>
    </fill>
    <fill>
      <patternFill patternType="solid">
        <fgColor rgb="FFF2F2F2"/>
        <bgColor indexed="64"/>
      </patternFill>
    </fill>
    <fill>
      <patternFill patternType="solid">
        <fgColor rgb="FFF7FBFF"/>
        <bgColor indexed="64"/>
      </patternFill>
    </fill>
    <fill>
      <patternFill patternType="solid">
        <fgColor rgb="FF1D2330"/>
        <bgColor indexed="64"/>
      </patternFill>
    </fill>
    <fill>
      <patternFill patternType="solid">
        <fgColor rgb="FF0F5B78"/>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0E5A6B"/>
        <bgColor indexed="64"/>
      </patternFill>
    </fill>
    <fill>
      <patternFill patternType="solid">
        <fgColor rgb="FFB7DEE8"/>
        <bgColor indexed="64"/>
      </patternFill>
    </fill>
    <fill>
      <patternFill patternType="solid">
        <fgColor rgb="FF92D050"/>
        <bgColor indexed="64"/>
      </patternFill>
    </fill>
    <fill>
      <patternFill patternType="solid">
        <fgColor theme="8" tint="0.39997558519241921"/>
        <bgColor indexed="64"/>
      </patternFill>
    </fill>
  </fills>
  <borders count="54">
    <border>
      <left/>
      <right/>
      <top/>
      <bottom/>
      <diagonal/>
    </border>
    <border>
      <left style="thick">
        <color theme="3"/>
      </left>
      <right style="thick">
        <color theme="2" tint="-0.499984740745262"/>
      </right>
      <top style="thick">
        <color theme="3"/>
      </top>
      <bottom style="thick">
        <color theme="2" tint="-0.499984740745262"/>
      </bottom>
      <diagonal/>
    </border>
    <border>
      <left style="thick">
        <color theme="2" tint="-0.499984740745262"/>
      </left>
      <right style="thick">
        <color theme="2" tint="-0.499984740745262"/>
      </right>
      <top style="thick">
        <color theme="3"/>
      </top>
      <bottom style="thick">
        <color theme="2" tint="-0.499984740745262"/>
      </bottom>
      <diagonal/>
    </border>
    <border>
      <left style="thick">
        <color theme="3"/>
      </left>
      <right style="thick">
        <color theme="2" tint="-0.499984740745262"/>
      </right>
      <top style="thick">
        <color theme="2" tint="-0.499984740745262"/>
      </top>
      <bottom style="thick">
        <color theme="2" tint="-0.499984740745262"/>
      </bottom>
      <diagonal/>
    </border>
    <border>
      <left style="thick">
        <color theme="2" tint="-0.499984740745262"/>
      </left>
      <right style="thick">
        <color theme="2" tint="-0.499984740745262"/>
      </right>
      <top style="thick">
        <color theme="2" tint="-0.499984740745262"/>
      </top>
      <bottom style="thick">
        <color theme="2" tint="-0.499984740745262"/>
      </bottom>
      <diagonal/>
    </border>
    <border>
      <left style="double">
        <color theme="4"/>
      </left>
      <right style="double">
        <color theme="2" tint="-0.499984740745262"/>
      </right>
      <top style="double">
        <color theme="2" tint="-0.499984740745262"/>
      </top>
      <bottom style="double">
        <color theme="2" tint="-0.499984740745262"/>
      </bottom>
      <diagonal/>
    </border>
    <border>
      <left style="double">
        <color theme="2" tint="-0.499984740745262"/>
      </left>
      <right style="double">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thick">
        <color theme="2" tint="-0.499984740745262"/>
      </right>
      <top style="thick">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double">
        <color theme="2" tint="-0.499984740745262"/>
      </bottom>
      <diagonal/>
    </border>
    <border>
      <left style="double">
        <color theme="2" tint="-0.499984740745262"/>
      </left>
      <right style="thick">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thick">
        <color theme="2" tint="-0.499984740745262"/>
      </bottom>
      <diagonal/>
    </border>
    <border>
      <left style="double">
        <color theme="2" tint="-0.499984740745262"/>
      </left>
      <right style="double">
        <color theme="2" tint="-0.499984740745262"/>
      </right>
      <top style="double">
        <color theme="2" tint="-0.499984740745262"/>
      </top>
      <bottom style="thick">
        <color theme="2"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medium">
        <color rgb="FFC4C7C5"/>
      </left>
      <right style="medium">
        <color rgb="FFC4C7C5"/>
      </right>
      <top style="medium">
        <color rgb="FF1F1F1F"/>
      </top>
      <bottom/>
      <diagonal/>
    </border>
    <border>
      <left style="medium">
        <color rgb="FF1F1F1F"/>
      </left>
      <right style="medium">
        <color rgb="FFC4C7C5"/>
      </right>
      <top style="medium">
        <color rgb="FF1F1F1F"/>
      </top>
      <bottom/>
      <diagonal/>
    </border>
    <border>
      <left style="medium">
        <color rgb="FFC4C7C5"/>
      </left>
      <right style="medium">
        <color rgb="FF1F1F1F"/>
      </right>
      <top style="medium">
        <color rgb="FF1F1F1F"/>
      </top>
      <bottom/>
      <diagonal/>
    </border>
    <border>
      <left/>
      <right/>
      <top style="thin">
        <color rgb="FFB7C9D6"/>
      </top>
      <bottom/>
      <diagonal/>
    </border>
    <border>
      <left/>
      <right/>
      <top/>
      <bottom style="thin">
        <color rgb="FFB7C9D6"/>
      </bottom>
      <diagonal/>
    </border>
    <border>
      <left style="medium">
        <color rgb="FF1D2330"/>
      </left>
      <right/>
      <top style="medium">
        <color rgb="FF1D2330"/>
      </top>
      <bottom style="thin">
        <color indexed="64"/>
      </bottom>
      <diagonal/>
    </border>
    <border>
      <left/>
      <right style="medium">
        <color rgb="FF1D2330"/>
      </right>
      <top style="medium">
        <color rgb="FF1D2330"/>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4" fillId="0" borderId="0" applyFont="0" applyFill="0" applyBorder="0" applyAlignment="0" applyProtection="0"/>
  </cellStyleXfs>
  <cellXfs count="211">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49" fontId="3" fillId="0" borderId="3" xfId="0" applyNumberFormat="1" applyFont="1" applyBorder="1" applyAlignment="1">
      <alignment horizontal="center"/>
    </xf>
    <xf numFmtId="49" fontId="3" fillId="0" borderId="4" xfId="0" applyNumberFormat="1"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1" fillId="2" borderId="6" xfId="0" applyFont="1" applyFill="1" applyBorder="1" applyAlignment="1">
      <alignment vertical="top"/>
    </xf>
    <xf numFmtId="165" fontId="1" fillId="2" borderId="6" xfId="0" applyNumberFormat="1" applyFont="1" applyFill="1" applyBorder="1" applyAlignment="1">
      <alignment horizontal="center" vertical="top"/>
    </xf>
    <xf numFmtId="166" fontId="1" fillId="2" borderId="6" xfId="0" applyNumberFormat="1" applyFont="1" applyFill="1" applyBorder="1" applyAlignment="1">
      <alignment horizontal="center" vertical="top"/>
    </xf>
    <xf numFmtId="0" fontId="1" fillId="2" borderId="6" xfId="0" applyFont="1" applyFill="1" applyBorder="1"/>
    <xf numFmtId="0" fontId="0" fillId="0" borderId="5" xfId="0" applyBorder="1"/>
    <xf numFmtId="0" fontId="0" fillId="0" borderId="6" xfId="0" applyBorder="1"/>
    <xf numFmtId="0" fontId="0" fillId="0" borderId="6" xfId="0" applyBorder="1" applyAlignment="1"/>
    <xf numFmtId="165" fontId="0" fillId="0" borderId="6" xfId="0" applyNumberFormat="1" applyBorder="1"/>
    <xf numFmtId="166" fontId="0" fillId="0" borderId="6" xfId="0" applyNumberFormat="1" applyBorder="1"/>
    <xf numFmtId="164" fontId="0" fillId="0" borderId="6" xfId="0" applyNumberFormat="1" applyBorder="1"/>
    <xf numFmtId="0" fontId="0" fillId="0" borderId="6" xfId="0" applyBorder="1" applyAlignment="1">
      <alignment vertical="top"/>
    </xf>
    <xf numFmtId="0" fontId="4" fillId="2" borderId="7" xfId="0" applyFont="1" applyFill="1" applyBorder="1" applyAlignment="1">
      <alignment horizontal="center" vertical="top"/>
    </xf>
    <xf numFmtId="0" fontId="5" fillId="0" borderId="0" xfId="0" applyFont="1" applyBorder="1"/>
    <xf numFmtId="0" fontId="4" fillId="2" borderId="8" xfId="0" applyFont="1" applyFill="1" applyBorder="1" applyAlignment="1">
      <alignment horizontal="center"/>
    </xf>
    <xf numFmtId="0" fontId="4" fillId="2" borderId="9" xfId="0" applyFont="1" applyFill="1" applyBorder="1" applyAlignment="1">
      <alignment horizontal="center"/>
    </xf>
    <xf numFmtId="0" fontId="5" fillId="0" borderId="10" xfId="0" applyFont="1" applyBorder="1" applyAlignment="1">
      <alignment horizontal="center"/>
    </xf>
    <xf numFmtId="0" fontId="5" fillId="0" borderId="6"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6" fillId="0" borderId="6" xfId="0" applyFont="1" applyBorder="1" applyAlignment="1">
      <alignment horizontal="center"/>
    </xf>
    <xf numFmtId="0" fontId="6" fillId="0" borderId="11" xfId="0" applyFont="1" applyBorder="1" applyAlignment="1">
      <alignment horizontal="center"/>
    </xf>
    <xf numFmtId="168" fontId="0" fillId="0" borderId="0" xfId="0" applyNumberFormat="1"/>
    <xf numFmtId="0" fontId="0" fillId="0" borderId="14" xfId="0" applyBorder="1" applyAlignment="1"/>
    <xf numFmtId="168" fontId="0" fillId="0" borderId="14" xfId="0" applyNumberFormat="1" applyBorder="1" applyAlignment="1"/>
    <xf numFmtId="0" fontId="0" fillId="0" borderId="15" xfId="0" applyBorder="1" applyAlignment="1"/>
    <xf numFmtId="168" fontId="0" fillId="0" borderId="15" xfId="0" applyNumberFormat="1" applyBorder="1" applyAlignment="1"/>
    <xf numFmtId="0" fontId="8" fillId="3" borderId="16" xfId="0" applyFont="1" applyFill="1" applyBorder="1" applyAlignment="1"/>
    <xf numFmtId="0" fontId="7" fillId="3" borderId="17" xfId="0" applyFont="1" applyFill="1" applyBorder="1" applyAlignment="1"/>
    <xf numFmtId="168" fontId="7" fillId="3" borderId="17" xfId="0" applyNumberFormat="1" applyFont="1" applyFill="1" applyBorder="1" applyAlignment="1"/>
    <xf numFmtId="0" fontId="7" fillId="3" borderId="18" xfId="0" applyFont="1" applyFill="1" applyBorder="1" applyAlignment="1"/>
    <xf numFmtId="167" fontId="0" fillId="0" borderId="20" xfId="0" applyNumberFormat="1" applyBorder="1" applyAlignment="1"/>
    <xf numFmtId="14" fontId="0" fillId="0" borderId="19" xfId="0" applyNumberFormat="1" applyBorder="1" applyAlignment="1"/>
    <xf numFmtId="14" fontId="0" fillId="0" borderId="21" xfId="0" applyNumberFormat="1" applyBorder="1" applyAlignment="1"/>
    <xf numFmtId="167" fontId="0" fillId="0" borderId="22" xfId="0" applyNumberFormat="1" applyBorder="1" applyAlignment="1"/>
    <xf numFmtId="166" fontId="0" fillId="0" borderId="19" xfId="0" applyNumberFormat="1" applyBorder="1" applyAlignment="1"/>
    <xf numFmtId="14" fontId="0" fillId="0" borderId="0" xfId="0" applyNumberFormat="1" applyBorder="1" applyAlignment="1"/>
    <xf numFmtId="0" fontId="0" fillId="0" borderId="0" xfId="0" applyBorder="1" applyAlignment="1"/>
    <xf numFmtId="168" fontId="0" fillId="0" borderId="0" xfId="0" applyNumberFormat="1" applyBorder="1" applyAlignment="1"/>
    <xf numFmtId="167" fontId="0" fillId="0" borderId="0" xfId="0" applyNumberFormat="1" applyBorder="1" applyAlignment="1"/>
    <xf numFmtId="0" fontId="8" fillId="3" borderId="16" xfId="0" applyFont="1" applyFill="1" applyBorder="1" applyAlignment="1">
      <alignment horizontal="center"/>
    </xf>
    <xf numFmtId="0" fontId="7" fillId="3" borderId="17" xfId="0" applyFont="1" applyFill="1" applyBorder="1" applyAlignment="1">
      <alignment horizontal="center"/>
    </xf>
    <xf numFmtId="168" fontId="7" fillId="3" borderId="17" xfId="0" applyNumberFormat="1" applyFont="1" applyFill="1" applyBorder="1" applyAlignment="1">
      <alignment horizontal="center"/>
    </xf>
    <xf numFmtId="0" fontId="7" fillId="3" borderId="18" xfId="0" applyFont="1" applyFill="1" applyBorder="1" applyAlignment="1">
      <alignment horizontal="center"/>
    </xf>
    <xf numFmtId="166" fontId="0" fillId="0" borderId="19" xfId="0" applyNumberFormat="1" applyBorder="1" applyAlignment="1">
      <alignment horizontal="center"/>
    </xf>
    <xf numFmtId="0" fontId="0" fillId="0" borderId="14" xfId="0" applyBorder="1" applyAlignment="1">
      <alignment horizontal="center"/>
    </xf>
    <xf numFmtId="168" fontId="0" fillId="0" borderId="14" xfId="0" applyNumberFormat="1" applyBorder="1" applyAlignment="1">
      <alignment horizontal="center"/>
    </xf>
    <xf numFmtId="167" fontId="0" fillId="0" borderId="20" xfId="0" applyNumberFormat="1" applyBorder="1" applyAlignment="1">
      <alignment horizontal="center"/>
    </xf>
    <xf numFmtId="14" fontId="0" fillId="0" borderId="19" xfId="0" applyNumberFormat="1" applyBorder="1" applyAlignment="1">
      <alignment horizontal="center"/>
    </xf>
    <xf numFmtId="14" fontId="0" fillId="0" borderId="21" xfId="0" applyNumberFormat="1" applyBorder="1" applyAlignment="1">
      <alignment horizontal="center"/>
    </xf>
    <xf numFmtId="0" fontId="0" fillId="0" borderId="15" xfId="0" applyBorder="1" applyAlignment="1">
      <alignment horizontal="center"/>
    </xf>
    <xf numFmtId="168" fontId="0" fillId="0" borderId="15" xfId="0" applyNumberFormat="1" applyBorder="1" applyAlignment="1">
      <alignment horizontal="center"/>
    </xf>
    <xf numFmtId="167" fontId="0" fillId="0" borderId="22" xfId="0" applyNumberFormat="1" applyBorder="1" applyAlignment="1">
      <alignment horizontal="center"/>
    </xf>
    <xf numFmtId="0" fontId="7" fillId="3" borderId="17" xfId="0" applyFont="1" applyFill="1"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8" fillId="3" borderId="16" xfId="0" applyFont="1" applyFill="1" applyBorder="1" applyAlignment="1">
      <alignment horizontal="center" vertical="center"/>
    </xf>
    <xf numFmtId="166" fontId="0" fillId="0" borderId="19" xfId="0" applyNumberFormat="1" applyBorder="1" applyAlignment="1">
      <alignment horizontal="center" vertical="center"/>
    </xf>
    <xf numFmtId="14" fontId="0" fillId="0" borderId="19" xfId="0" applyNumberFormat="1" applyBorder="1" applyAlignment="1">
      <alignment horizontal="center" vertical="center"/>
    </xf>
    <xf numFmtId="0" fontId="0" fillId="0" borderId="0" xfId="0" applyBorder="1" applyAlignment="1">
      <alignment horizontal="center" vertical="center"/>
    </xf>
    <xf numFmtId="0" fontId="12" fillId="4" borderId="16" xfId="0" applyFont="1" applyFill="1" applyBorder="1" applyAlignment="1">
      <alignment horizontal="center"/>
    </xf>
    <xf numFmtId="0" fontId="13" fillId="4" borderId="23" xfId="0" applyFont="1" applyFill="1" applyBorder="1" applyAlignment="1">
      <alignment horizontal="center"/>
    </xf>
    <xf numFmtId="166" fontId="11" fillId="0" borderId="25" xfId="0" applyNumberFormat="1" applyFont="1" applyBorder="1" applyAlignment="1">
      <alignment horizontal="center"/>
    </xf>
    <xf numFmtId="0" fontId="11" fillId="0" borderId="26" xfId="0" applyFont="1" applyBorder="1" applyAlignment="1">
      <alignment horizontal="center"/>
    </xf>
    <xf numFmtId="14" fontId="11" fillId="0" borderId="25" xfId="0" applyNumberFormat="1" applyFont="1" applyBorder="1" applyAlignment="1">
      <alignment horizontal="center"/>
    </xf>
    <xf numFmtId="0" fontId="11" fillId="5" borderId="26" xfId="0" applyFont="1" applyFill="1" applyBorder="1" applyAlignment="1">
      <alignment horizontal="center"/>
    </xf>
    <xf numFmtId="0" fontId="11" fillId="6" borderId="26" xfId="0" applyFont="1" applyFill="1" applyBorder="1" applyAlignment="1">
      <alignment horizontal="center"/>
    </xf>
    <xf numFmtId="1" fontId="11" fillId="0" borderId="26" xfId="0" applyNumberFormat="1" applyFont="1" applyBorder="1" applyAlignment="1">
      <alignment horizontal="center"/>
    </xf>
    <xf numFmtId="2" fontId="0" fillId="0" borderId="0" xfId="0" applyNumberFormat="1"/>
    <xf numFmtId="1" fontId="12" fillId="4" borderId="23" xfId="0" applyNumberFormat="1" applyFont="1" applyFill="1" applyBorder="1" applyAlignment="1">
      <alignment horizontal="center"/>
    </xf>
    <xf numFmtId="1" fontId="13" fillId="4" borderId="24" xfId="0" applyNumberFormat="1" applyFont="1" applyFill="1" applyBorder="1" applyAlignment="1">
      <alignment horizontal="center"/>
    </xf>
    <xf numFmtId="1" fontId="11" fillId="0" borderId="27" xfId="0" applyNumberFormat="1" applyFont="1" applyBorder="1" applyAlignment="1">
      <alignment horizontal="center"/>
    </xf>
    <xf numFmtId="2" fontId="11" fillId="0" borderId="26" xfId="0" applyNumberFormat="1" applyFont="1" applyFill="1" applyBorder="1" applyAlignment="1">
      <alignment horizontal="center"/>
    </xf>
    <xf numFmtId="2" fontId="11" fillId="0" borderId="28" xfId="0" applyNumberFormat="1" applyFont="1" applyFill="1" applyBorder="1" applyAlignment="1">
      <alignment horizontal="center"/>
    </xf>
    <xf numFmtId="2" fontId="12" fillId="0" borderId="26" xfId="0" applyNumberFormat="1" applyFont="1" applyFill="1" applyBorder="1" applyAlignment="1">
      <alignment horizontal="center"/>
    </xf>
    <xf numFmtId="2" fontId="13" fillId="0" borderId="26" xfId="0" applyNumberFormat="1" applyFont="1" applyFill="1" applyBorder="1" applyAlignment="1">
      <alignment horizontal="center"/>
    </xf>
    <xf numFmtId="2" fontId="13" fillId="0" borderId="28" xfId="0" applyNumberFormat="1" applyFont="1" applyFill="1" applyBorder="1" applyAlignment="1">
      <alignment horizontal="center"/>
    </xf>
    <xf numFmtId="2" fontId="11" fillId="0" borderId="29" xfId="0" applyNumberFormat="1" applyFont="1" applyFill="1" applyBorder="1" applyAlignment="1">
      <alignment horizontal="center"/>
    </xf>
    <xf numFmtId="2" fontId="11" fillId="0" borderId="0" xfId="0" applyNumberFormat="1" applyFont="1" applyFill="1" applyBorder="1" applyAlignment="1">
      <alignment horizontal="center"/>
    </xf>
    <xf numFmtId="0" fontId="0" fillId="0" borderId="29" xfId="0" applyFill="1" applyBorder="1"/>
    <xf numFmtId="0" fontId="0" fillId="0" borderId="18" xfId="0" applyBorder="1"/>
    <xf numFmtId="0" fontId="0" fillId="0" borderId="20" xfId="0" applyBorder="1"/>
    <xf numFmtId="0" fontId="0" fillId="0" borderId="22" xfId="0" applyBorder="1"/>
    <xf numFmtId="0" fontId="0" fillId="7" borderId="19" xfId="0" applyFill="1" applyBorder="1" applyAlignment="1">
      <alignment horizontal="center"/>
    </xf>
    <xf numFmtId="0" fontId="0" fillId="7" borderId="14" xfId="0" applyFill="1" applyBorder="1" applyAlignment="1">
      <alignment horizontal="center"/>
    </xf>
    <xf numFmtId="0" fontId="0" fillId="7" borderId="21" xfId="0" applyFill="1" applyBorder="1" applyAlignment="1">
      <alignment horizontal="center"/>
    </xf>
    <xf numFmtId="0" fontId="0" fillId="7" borderId="15" xfId="0" applyFill="1" applyBorder="1" applyAlignment="1">
      <alignment horizontal="center"/>
    </xf>
    <xf numFmtId="0" fontId="9" fillId="2" borderId="32" xfId="0" applyFont="1" applyFill="1" applyBorder="1" applyAlignment="1">
      <alignment horizontal="center"/>
    </xf>
    <xf numFmtId="0" fontId="9" fillId="2" borderId="31" xfId="0" applyFont="1" applyFill="1" applyBorder="1" applyAlignment="1">
      <alignment horizontal="center"/>
    </xf>
    <xf numFmtId="0" fontId="0" fillId="7" borderId="32" xfId="0" applyFont="1" applyFill="1" applyBorder="1" applyAlignment="1">
      <alignment horizontal="center"/>
    </xf>
    <xf numFmtId="0" fontId="0" fillId="7" borderId="31" xfId="0" applyFont="1" applyFill="1" applyBorder="1" applyAlignment="1">
      <alignment horizontal="center"/>
    </xf>
    <xf numFmtId="0" fontId="0" fillId="7" borderId="30" xfId="0" applyFont="1" applyFill="1" applyBorder="1" applyAlignment="1">
      <alignment horizontal="center"/>
    </xf>
    <xf numFmtId="0" fontId="0" fillId="7" borderId="14" xfId="0" applyFont="1" applyFill="1" applyBorder="1" applyAlignment="1">
      <alignment horizontal="center"/>
    </xf>
    <xf numFmtId="14" fontId="0" fillId="0" borderId="0" xfId="0" applyNumberFormat="1"/>
    <xf numFmtId="0" fontId="0" fillId="0" borderId="14" xfId="0" applyBorder="1"/>
    <xf numFmtId="0" fontId="10" fillId="2" borderId="14" xfId="0" applyFont="1" applyFill="1" applyBorder="1" applyAlignment="1">
      <alignment horizontal="center"/>
    </xf>
    <xf numFmtId="14" fontId="0" fillId="7" borderId="14" xfId="0" applyNumberFormat="1" applyFill="1" applyBorder="1" applyAlignment="1">
      <alignment horizontal="center"/>
    </xf>
    <xf numFmtId="0" fontId="0" fillId="8" borderId="14" xfId="0" applyFill="1" applyBorder="1" applyAlignment="1">
      <alignment horizontal="center"/>
    </xf>
    <xf numFmtId="0" fontId="15" fillId="8" borderId="14" xfId="0" applyFont="1" applyFill="1" applyBorder="1" applyAlignment="1">
      <alignment horizontal="center"/>
    </xf>
    <xf numFmtId="0" fontId="15" fillId="8" borderId="39" xfId="0" applyFont="1" applyFill="1" applyBorder="1" applyAlignment="1">
      <alignment horizontal="center"/>
    </xf>
    <xf numFmtId="0" fontId="0" fillId="9" borderId="14" xfId="0" applyFill="1" applyBorder="1" applyAlignment="1">
      <alignment horizontal="center"/>
    </xf>
    <xf numFmtId="14" fontId="0" fillId="8" borderId="14" xfId="0" applyNumberFormat="1" applyFill="1" applyBorder="1" applyAlignment="1"/>
    <xf numFmtId="0" fontId="0" fillId="10" borderId="0" xfId="0" applyFill="1"/>
    <xf numFmtId="0" fontId="0" fillId="11" borderId="14" xfId="0"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12" borderId="16" xfId="0" applyFill="1" applyBorder="1" applyAlignment="1">
      <alignment horizontal="center"/>
    </xf>
    <xf numFmtId="0" fontId="0" fillId="12" borderId="17" xfId="0" applyFill="1" applyBorder="1" applyAlignment="1">
      <alignment horizontal="center"/>
    </xf>
    <xf numFmtId="0" fontId="0" fillId="12" borderId="18" xfId="0" applyFill="1" applyBorder="1" applyAlignment="1">
      <alignment horizontal="center"/>
    </xf>
    <xf numFmtId="14" fontId="11" fillId="0" borderId="14" xfId="0" applyNumberFormat="1" applyFont="1" applyFill="1" applyBorder="1"/>
    <xf numFmtId="14" fontId="11" fillId="0" borderId="40" xfId="0" applyNumberFormat="1" applyFont="1" applyFill="1" applyBorder="1"/>
    <xf numFmtId="0" fontId="0" fillId="13" borderId="20" xfId="0" applyFill="1" applyBorder="1" applyAlignment="1">
      <alignment horizontal="center"/>
    </xf>
    <xf numFmtId="0" fontId="0" fillId="13" borderId="22" xfId="0" applyFill="1" applyBorder="1" applyAlignment="1">
      <alignment horizontal="center"/>
    </xf>
    <xf numFmtId="0" fontId="0" fillId="14" borderId="14" xfId="0" applyFill="1" applyBorder="1" applyAlignment="1">
      <alignment horizontal="center"/>
    </xf>
    <xf numFmtId="0" fontId="0" fillId="14" borderId="16" xfId="0" applyFill="1" applyBorder="1" applyAlignment="1">
      <alignment horizontal="center"/>
    </xf>
    <xf numFmtId="0" fontId="0" fillId="14" borderId="17" xfId="0" applyFill="1" applyBorder="1" applyAlignment="1">
      <alignment horizontal="center"/>
    </xf>
    <xf numFmtId="0" fontId="0" fillId="14" borderId="18" xfId="0" applyFill="1" applyBorder="1" applyAlignment="1">
      <alignment horizontal="center"/>
    </xf>
    <xf numFmtId="15" fontId="0" fillId="0" borderId="19" xfId="0" applyNumberFormat="1" applyBorder="1" applyAlignment="1">
      <alignment horizontal="center"/>
    </xf>
    <xf numFmtId="15" fontId="0" fillId="0" borderId="21" xfId="0" applyNumberFormat="1" applyBorder="1" applyAlignment="1">
      <alignment horizontal="center"/>
    </xf>
    <xf numFmtId="0" fontId="0" fillId="0" borderId="17" xfId="0" applyBorder="1"/>
    <xf numFmtId="0" fontId="0" fillId="0" borderId="15" xfId="0" applyBorder="1"/>
    <xf numFmtId="0" fontId="0" fillId="0" borderId="0" xfId="0" applyFill="1" applyBorder="1" applyAlignment="1">
      <alignment horizontal="center"/>
    </xf>
    <xf numFmtId="9" fontId="15" fillId="8" borderId="14" xfId="1" applyFont="1" applyFill="1" applyBorder="1" applyAlignment="1">
      <alignment horizontal="center"/>
    </xf>
    <xf numFmtId="9" fontId="0" fillId="8" borderId="14" xfId="1" applyFont="1" applyFill="1" applyBorder="1" applyAlignment="1">
      <alignment horizontal="center"/>
    </xf>
    <xf numFmtId="0" fontId="0" fillId="15" borderId="14" xfId="0" applyFill="1" applyBorder="1" applyAlignment="1">
      <alignment horizontal="center"/>
    </xf>
    <xf numFmtId="0" fontId="19" fillId="17" borderId="14" xfId="0" applyFont="1" applyFill="1" applyBorder="1" applyAlignment="1">
      <alignment horizontal="center"/>
    </xf>
    <xf numFmtId="0" fontId="19" fillId="17" borderId="39" xfId="0" applyFont="1" applyFill="1" applyBorder="1" applyAlignment="1">
      <alignment horizontal="center"/>
    </xf>
    <xf numFmtId="0" fontId="0" fillId="8" borderId="15" xfId="0" applyFill="1" applyBorder="1" applyAlignment="1">
      <alignment horizontal="center"/>
    </xf>
    <xf numFmtId="9" fontId="0" fillId="8" borderId="15" xfId="1" applyFont="1" applyFill="1" applyBorder="1" applyAlignment="1">
      <alignment horizontal="center"/>
    </xf>
    <xf numFmtId="0" fontId="0" fillId="8" borderId="14" xfId="1" applyNumberFormat="1" applyFont="1" applyFill="1" applyBorder="1" applyAlignment="1">
      <alignment horizontal="center"/>
    </xf>
    <xf numFmtId="0" fontId="22" fillId="19" borderId="45" xfId="0" applyNumberFormat="1" applyFont="1" applyFill="1" applyBorder="1" applyAlignment="1">
      <alignment horizontal="center" vertical="center" wrapText="1"/>
    </xf>
    <xf numFmtId="0" fontId="22" fillId="19" borderId="44" xfId="0" applyNumberFormat="1" applyFont="1" applyFill="1" applyBorder="1" applyAlignment="1">
      <alignment horizontal="center" vertical="center" wrapText="1"/>
    </xf>
    <xf numFmtId="0" fontId="22" fillId="19" borderId="46" xfId="0" applyNumberFormat="1" applyFont="1" applyFill="1" applyBorder="1" applyAlignment="1">
      <alignment horizontal="center" vertical="center" wrapText="1"/>
    </xf>
    <xf numFmtId="0" fontId="11" fillId="20" borderId="47" xfId="0" applyNumberFormat="1" applyFont="1" applyFill="1" applyBorder="1" applyAlignment="1">
      <alignment horizontal="left"/>
    </xf>
    <xf numFmtId="0" fontId="11" fillId="20" borderId="0" xfId="0" applyNumberFormat="1" applyFont="1" applyFill="1" applyBorder="1" applyAlignment="1">
      <alignment horizontal="left"/>
    </xf>
    <xf numFmtId="0" fontId="11" fillId="20" borderId="48" xfId="0" applyNumberFormat="1" applyFont="1" applyFill="1" applyBorder="1" applyAlignment="1">
      <alignment horizontal="left"/>
    </xf>
    <xf numFmtId="0" fontId="22" fillId="24" borderId="14" xfId="0" applyNumberFormat="1" applyFont="1" applyFill="1" applyBorder="1" applyAlignment="1">
      <alignment horizontal="center"/>
    </xf>
    <xf numFmtId="0" fontId="11" fillId="20" borderId="14" xfId="0" applyNumberFormat="1" applyFont="1" applyFill="1" applyBorder="1" applyAlignment="1">
      <alignment horizontal="left"/>
    </xf>
    <xf numFmtId="2" fontId="11" fillId="20" borderId="14" xfId="0" applyNumberFormat="1" applyFont="1" applyFill="1" applyBorder="1" applyAlignment="1">
      <alignment horizontal="left"/>
    </xf>
    <xf numFmtId="1" fontId="24" fillId="21" borderId="14" xfId="0" applyNumberFormat="1" applyFont="1" applyFill="1" applyBorder="1" applyAlignment="1">
      <alignment horizontal="left" vertical="center" wrapText="1"/>
    </xf>
    <xf numFmtId="0" fontId="26" fillId="22" borderId="14" xfId="0" applyNumberFormat="1" applyFont="1" applyFill="1" applyBorder="1" applyAlignment="1">
      <alignment horizontal="left" vertical="center" wrapText="1"/>
    </xf>
    <xf numFmtId="0" fontId="23" fillId="20" borderId="14" xfId="0" applyNumberFormat="1" applyFont="1" applyFill="1" applyBorder="1" applyAlignment="1">
      <alignment horizontal="left" vertical="center" wrapText="1"/>
    </xf>
    <xf numFmtId="0" fontId="25" fillId="20" borderId="14" xfId="0" quotePrefix="1" applyNumberFormat="1" applyFont="1" applyFill="1" applyBorder="1" applyAlignment="1">
      <alignment horizontal="left" vertical="center" wrapText="1"/>
    </xf>
    <xf numFmtId="1" fontId="24" fillId="9" borderId="14" xfId="0" applyNumberFormat="1" applyFont="1" applyFill="1" applyBorder="1" applyAlignment="1">
      <alignment horizontal="left" vertical="center" wrapText="1"/>
    </xf>
    <xf numFmtId="0" fontId="26" fillId="9" borderId="14" xfId="0" applyNumberFormat="1" applyFont="1" applyFill="1" applyBorder="1" applyAlignment="1">
      <alignment horizontal="left" vertical="center" wrapText="1"/>
    </xf>
    <xf numFmtId="0" fontId="23" fillId="9" borderId="14" xfId="0" applyNumberFormat="1" applyFont="1" applyFill="1" applyBorder="1" applyAlignment="1">
      <alignment horizontal="left" vertical="center" wrapText="1"/>
    </xf>
    <xf numFmtId="0" fontId="25" fillId="9" borderId="14" xfId="0" quotePrefix="1" applyNumberFormat="1" applyFont="1" applyFill="1" applyBorder="1" applyAlignment="1">
      <alignment horizontal="left" vertical="center" wrapText="1"/>
    </xf>
    <xf numFmtId="1" fontId="24" fillId="25" borderId="14" xfId="0" applyNumberFormat="1" applyFont="1" applyFill="1" applyBorder="1" applyAlignment="1">
      <alignment horizontal="left" vertical="center" wrapText="1"/>
    </xf>
    <xf numFmtId="0" fontId="26" fillId="25" borderId="14" xfId="0" applyNumberFormat="1" applyFont="1" applyFill="1" applyBorder="1" applyAlignment="1">
      <alignment horizontal="left" vertical="center" wrapText="1"/>
    </xf>
    <xf numFmtId="0" fontId="23" fillId="25" borderId="14" xfId="0" applyNumberFormat="1" applyFont="1" applyFill="1" applyBorder="1" applyAlignment="1">
      <alignment horizontal="left" vertical="center" wrapText="1"/>
    </xf>
    <xf numFmtId="0" fontId="25" fillId="25" borderId="14" xfId="0" quotePrefix="1" applyNumberFormat="1" applyFont="1" applyFill="1" applyBorder="1" applyAlignment="1">
      <alignment horizontal="left" vertical="center" wrapText="1"/>
    </xf>
    <xf numFmtId="1" fontId="24" fillId="26" borderId="14" xfId="0" applyNumberFormat="1" applyFont="1" applyFill="1" applyBorder="1" applyAlignment="1">
      <alignment horizontal="left" vertical="center" wrapText="1"/>
    </xf>
    <xf numFmtId="0" fontId="26" fillId="26" borderId="14" xfId="0" applyNumberFormat="1" applyFont="1" applyFill="1" applyBorder="1" applyAlignment="1">
      <alignment horizontal="left" vertical="center" wrapText="1"/>
    </xf>
    <xf numFmtId="0" fontId="23" fillId="26" borderId="14" xfId="0" applyNumberFormat="1" applyFont="1" applyFill="1" applyBorder="1" applyAlignment="1">
      <alignment horizontal="left" vertical="center" wrapText="1"/>
    </xf>
    <xf numFmtId="0" fontId="25" fillId="26" borderId="14" xfId="0" quotePrefix="1" applyNumberFormat="1" applyFont="1" applyFill="1" applyBorder="1" applyAlignment="1">
      <alignment horizontal="left" vertical="center" wrapText="1"/>
    </xf>
    <xf numFmtId="0" fontId="22" fillId="27" borderId="0" xfId="0" applyFont="1" applyFill="1" applyAlignment="1">
      <alignment horizontal="center" vertical="center"/>
    </xf>
    <xf numFmtId="0" fontId="11" fillId="0" borderId="14" xfId="0" applyFont="1" applyBorder="1" applyAlignment="1">
      <alignment horizontal="center" vertical="center"/>
    </xf>
    <xf numFmtId="0" fontId="11" fillId="28" borderId="14" xfId="0" applyFont="1" applyFill="1" applyBorder="1" applyAlignment="1">
      <alignment horizontal="center" vertical="center"/>
    </xf>
    <xf numFmtId="0" fontId="0" fillId="0" borderId="0" xfId="0" applyFont="1"/>
    <xf numFmtId="1" fontId="24" fillId="21" borderId="31" xfId="0" applyNumberFormat="1" applyFont="1" applyFill="1" applyBorder="1" applyAlignment="1">
      <alignment horizontal="left" vertical="center" wrapText="1"/>
    </xf>
    <xf numFmtId="0" fontId="26" fillId="22" borderId="31" xfId="0" applyNumberFormat="1" applyFont="1" applyFill="1" applyBorder="1" applyAlignment="1">
      <alignment horizontal="left" vertical="center" wrapText="1"/>
    </xf>
    <xf numFmtId="0" fontId="23" fillId="20" borderId="31" xfId="0" applyNumberFormat="1" applyFont="1" applyFill="1" applyBorder="1" applyAlignment="1">
      <alignment horizontal="left" vertical="center" wrapText="1"/>
    </xf>
    <xf numFmtId="0" fontId="25" fillId="20" borderId="31" xfId="0" quotePrefix="1" applyNumberFormat="1" applyFont="1" applyFill="1" applyBorder="1" applyAlignment="1">
      <alignment horizontal="left" vertical="center" wrapText="1"/>
    </xf>
    <xf numFmtId="1" fontId="24" fillId="30" borderId="14" xfId="0" applyNumberFormat="1" applyFont="1" applyFill="1" applyBorder="1" applyAlignment="1">
      <alignment horizontal="left" vertical="center" wrapText="1"/>
    </xf>
    <xf numFmtId="0" fontId="26" fillId="30" borderId="14" xfId="0" applyNumberFormat="1" applyFont="1" applyFill="1" applyBorder="1" applyAlignment="1">
      <alignment horizontal="left" vertical="center" wrapText="1"/>
    </xf>
    <xf numFmtId="0" fontId="23" fillId="30" borderId="14" xfId="0" applyNumberFormat="1" applyFont="1" applyFill="1" applyBorder="1" applyAlignment="1">
      <alignment horizontal="left" vertical="center" wrapText="1"/>
    </xf>
    <xf numFmtId="0" fontId="25" fillId="30" borderId="14" xfId="0" quotePrefix="1" applyNumberFormat="1" applyFont="1" applyFill="1" applyBorder="1" applyAlignment="1">
      <alignment horizontal="left" vertical="center" wrapText="1"/>
    </xf>
    <xf numFmtId="1" fontId="24" fillId="14" borderId="14" xfId="0" applyNumberFormat="1" applyFont="1" applyFill="1" applyBorder="1" applyAlignment="1">
      <alignment horizontal="left" vertical="center" wrapText="1"/>
    </xf>
    <xf numFmtId="0" fontId="26" fillId="14" borderId="14" xfId="0" applyNumberFormat="1" applyFont="1" applyFill="1" applyBorder="1" applyAlignment="1">
      <alignment horizontal="left" vertical="center" wrapText="1"/>
    </xf>
    <xf numFmtId="0" fontId="23" fillId="14" borderId="14" xfId="0" applyNumberFormat="1" applyFont="1" applyFill="1" applyBorder="1" applyAlignment="1">
      <alignment horizontal="left" vertical="center" wrapText="1"/>
    </xf>
    <xf numFmtId="0" fontId="25" fillId="14" borderId="14" xfId="0" quotePrefix="1" applyNumberFormat="1" applyFont="1" applyFill="1" applyBorder="1" applyAlignment="1">
      <alignment horizontal="left" vertical="center" wrapText="1"/>
    </xf>
    <xf numFmtId="14" fontId="11" fillId="20" borderId="14" xfId="0" applyNumberFormat="1" applyFont="1" applyFill="1" applyBorder="1" applyAlignment="1">
      <alignment horizontal="left"/>
    </xf>
    <xf numFmtId="0" fontId="10" fillId="2" borderId="16" xfId="0" applyFont="1" applyFill="1" applyBorder="1" applyAlignment="1">
      <alignment horizontal="center"/>
    </xf>
    <xf numFmtId="0" fontId="10" fillId="2" borderId="17" xfId="0" applyFont="1" applyFill="1" applyBorder="1" applyAlignment="1">
      <alignment horizontal="center"/>
    </xf>
    <xf numFmtId="0" fontId="16" fillId="8" borderId="33" xfId="0" applyFont="1" applyFill="1" applyBorder="1" applyAlignment="1">
      <alignment horizontal="center"/>
    </xf>
    <xf numFmtId="0" fontId="16" fillId="8" borderId="34" xfId="0" applyFont="1" applyFill="1" applyBorder="1" applyAlignment="1">
      <alignment horizontal="center"/>
    </xf>
    <xf numFmtId="0" fontId="16" fillId="8" borderId="35" xfId="0" applyFont="1" applyFill="1" applyBorder="1" applyAlignment="1">
      <alignment horizontal="center"/>
    </xf>
    <xf numFmtId="0" fontId="16" fillId="8" borderId="36" xfId="0" applyFont="1" applyFill="1" applyBorder="1" applyAlignment="1">
      <alignment horizontal="center"/>
    </xf>
    <xf numFmtId="0" fontId="16" fillId="8" borderId="37" xfId="0" applyFont="1" applyFill="1" applyBorder="1" applyAlignment="1">
      <alignment horizontal="center"/>
    </xf>
    <xf numFmtId="0" fontId="16" fillId="8" borderId="38" xfId="0" applyFont="1" applyFill="1" applyBorder="1" applyAlignment="1">
      <alignment horizontal="center"/>
    </xf>
    <xf numFmtId="0" fontId="15" fillId="7" borderId="14" xfId="0" applyFont="1" applyFill="1" applyBorder="1" applyAlignment="1">
      <alignment horizontal="center"/>
    </xf>
    <xf numFmtId="0" fontId="0" fillId="7" borderId="14" xfId="0" applyFill="1" applyBorder="1" applyAlignment="1">
      <alignment horizontal="center"/>
    </xf>
    <xf numFmtId="0" fontId="15" fillId="7" borderId="30" xfId="0" applyFont="1" applyFill="1" applyBorder="1" applyAlignment="1">
      <alignment horizontal="center"/>
    </xf>
    <xf numFmtId="0" fontId="15" fillId="7" borderId="42" xfId="0" applyFont="1" applyFill="1" applyBorder="1" applyAlignment="1">
      <alignment horizontal="center"/>
    </xf>
    <xf numFmtId="0" fontId="15" fillId="7" borderId="41" xfId="0" applyFont="1" applyFill="1" applyBorder="1" applyAlignment="1">
      <alignment horizontal="center"/>
    </xf>
    <xf numFmtId="0" fontId="18" fillId="17" borderId="0" xfId="0" applyFont="1" applyFill="1" applyAlignment="1">
      <alignment horizontal="center"/>
    </xf>
    <xf numFmtId="0" fontId="19" fillId="17" borderId="0" xfId="0" applyFont="1" applyFill="1" applyAlignment="1">
      <alignment horizontal="center"/>
    </xf>
    <xf numFmtId="0" fontId="17" fillId="2" borderId="14" xfId="0" applyFont="1" applyFill="1" applyBorder="1" applyAlignment="1">
      <alignment horizontal="center"/>
    </xf>
    <xf numFmtId="0" fontId="20" fillId="18" borderId="14" xfId="0" applyFont="1" applyFill="1" applyBorder="1" applyAlignment="1">
      <alignment horizontal="center"/>
    </xf>
    <xf numFmtId="0" fontId="20" fillId="18" borderId="43" xfId="0" applyFont="1" applyFill="1" applyBorder="1" applyAlignment="1">
      <alignment horizontal="center"/>
    </xf>
    <xf numFmtId="0" fontId="20" fillId="18" borderId="0" xfId="0" applyFont="1" applyFill="1" applyAlignment="1">
      <alignment horizontal="center"/>
    </xf>
    <xf numFmtId="0" fontId="15" fillId="29" borderId="51" xfId="0" applyFont="1" applyFill="1" applyBorder="1" applyAlignment="1">
      <alignment horizontal="center"/>
    </xf>
    <xf numFmtId="0" fontId="15" fillId="29" borderId="52" xfId="0" applyFont="1" applyFill="1" applyBorder="1" applyAlignment="1">
      <alignment horizontal="center"/>
    </xf>
    <xf numFmtId="0" fontId="15" fillId="29" borderId="53" xfId="0" applyFont="1" applyFill="1" applyBorder="1" applyAlignment="1">
      <alignment horizontal="center"/>
    </xf>
    <xf numFmtId="0" fontId="22" fillId="23" borderId="49" xfId="0" applyNumberFormat="1" applyFont="1" applyFill="1" applyBorder="1" applyAlignment="1">
      <alignment horizontal="center"/>
    </xf>
    <xf numFmtId="0" fontId="22" fillId="23" borderId="50" xfId="0" applyNumberFormat="1" applyFont="1" applyFill="1" applyBorder="1" applyAlignment="1">
      <alignment horizontal="center"/>
    </xf>
    <xf numFmtId="0" fontId="21" fillId="16" borderId="0" xfId="0" applyFont="1" applyFill="1" applyAlignment="1">
      <alignment horizontal="center" vertical="center"/>
    </xf>
    <xf numFmtId="49" fontId="11" fillId="20" borderId="14" xfId="0" applyNumberFormat="1" applyFont="1" applyFill="1" applyBorder="1" applyAlignment="1">
      <alignment horizontal="left"/>
    </xf>
    <xf numFmtId="49" fontId="11" fillId="20" borderId="14" xfId="0" applyNumberFormat="1" applyFont="1" applyFill="1" applyBorder="1" applyAlignment="1">
      <alignment horizontal="left" wrapText="1"/>
    </xf>
  </cellXfs>
  <cellStyles count="2">
    <cellStyle name="Normal" xfId="0" builtinId="0"/>
    <cellStyle name="Percent" xfId="1" builtinId="5"/>
  </cellStyles>
  <dxfs count="58">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border outline="0">
        <left style="medium">
          <color indexed="64"/>
        </left>
        <right style="medium">
          <color indexed="64"/>
        </right>
        <top style="medium">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FFFFFF"/>
        <name val="Calibri"/>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absolute">
    <xdr:from>
      <xdr:col>10</xdr:col>
      <xdr:colOff>114300</xdr:colOff>
      <xdr:row>11</xdr:row>
      <xdr:rowOff>66675</xdr:rowOff>
    </xdr:from>
    <xdr:to>
      <xdr:col>13</xdr:col>
      <xdr:colOff>114300</xdr:colOff>
      <xdr:row>24</xdr:row>
      <xdr:rowOff>114300</xdr:rowOff>
    </xdr:to>
    <mc:AlternateContent xmlns:mc="http://schemas.openxmlformats.org/markup-compatibility/2006" xmlns:sle15="http://schemas.microsoft.com/office/drawing/2012/slicer">
      <mc:Choice Requires="sle15">
        <xdr:graphicFrame macro="">
          <xdr:nvGraphicFramePr>
            <xdr:cNvPr id="2" name="Department">
              <a:extLst>
                <a:ext uri="{FF2B5EF4-FFF2-40B4-BE49-F238E27FC236}">
                  <a16:creationId xmlns:a16="http://schemas.microsoft.com/office/drawing/2014/main" id="{38E7ABD3-67C7-4394-9F76-ECE711EE075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86700" y="2171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142875</xdr:colOff>
      <xdr:row>25</xdr:row>
      <xdr:rowOff>85725</xdr:rowOff>
    </xdr:from>
    <xdr:to>
      <xdr:col>13</xdr:col>
      <xdr:colOff>142875</xdr:colOff>
      <xdr:row>38</xdr:row>
      <xdr:rowOff>133350</xdr:rowOff>
    </xdr:to>
    <mc:AlternateContent xmlns:mc="http://schemas.openxmlformats.org/markup-compatibility/2006" xmlns:sle15="http://schemas.microsoft.com/office/drawing/2012/slicer">
      <mc:Choice Requires="sle15">
        <xdr:graphicFrame macro="">
          <xdr:nvGraphicFramePr>
            <xdr:cNvPr id="3" name="Region">
              <a:extLst>
                <a:ext uri="{FF2B5EF4-FFF2-40B4-BE49-F238E27FC236}">
                  <a16:creationId xmlns:a16="http://schemas.microsoft.com/office/drawing/2014/main" id="{585B64C4-9BB0-4354-A1F0-1494414FB8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5275" y="4857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156882</xdr:colOff>
      <xdr:row>5</xdr:row>
      <xdr:rowOff>11206</xdr:rowOff>
    </xdr:from>
    <xdr:to>
      <xdr:col>17</xdr:col>
      <xdr:colOff>0</xdr:colOff>
      <xdr:row>21</xdr:row>
      <xdr:rowOff>78441</xdr:rowOff>
    </xdr:to>
    <xdr:sp macro="" textlink="">
      <xdr:nvSpPr>
        <xdr:cNvPr id="2" name="Rectangle 1">
          <a:extLst>
            <a:ext uri="{FF2B5EF4-FFF2-40B4-BE49-F238E27FC236}">
              <a16:creationId xmlns:a16="http://schemas.microsoft.com/office/drawing/2014/main" id="{0E3242A8-B7A5-48E6-A2CB-80FE4E92F1F7}"/>
            </a:ext>
          </a:extLst>
        </xdr:cNvPr>
        <xdr:cNvSpPr/>
      </xdr:nvSpPr>
      <xdr:spPr>
        <a:xfrm>
          <a:off x="8169088" y="963706"/>
          <a:ext cx="3473824" cy="31152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6"/>
              </a:solidFill>
            </a:rPr>
            <a:t>Objects</a:t>
          </a:r>
          <a:endParaRPr lang="en-US" sz="1100" b="1">
            <a:solidFill>
              <a:schemeClr val="accent6"/>
            </a:solidFill>
          </a:endParaRPr>
        </a:p>
      </xdr:txBody>
    </xdr:sp>
    <xdr:clientData/>
  </xdr:twoCellAnchor>
  <xdr:twoCellAnchor>
    <xdr:from>
      <xdr:col>11</xdr:col>
      <xdr:colOff>493059</xdr:colOff>
      <xdr:row>8</xdr:row>
      <xdr:rowOff>179294</xdr:rowOff>
    </xdr:from>
    <xdr:to>
      <xdr:col>13</xdr:col>
      <xdr:colOff>302559</xdr:colOff>
      <xdr:row>12</xdr:row>
      <xdr:rowOff>56029</xdr:rowOff>
    </xdr:to>
    <xdr:sp macro="" textlink="">
      <xdr:nvSpPr>
        <xdr:cNvPr id="3" name="Rectangle 2">
          <a:extLst>
            <a:ext uri="{FF2B5EF4-FFF2-40B4-BE49-F238E27FC236}">
              <a16:creationId xmlns:a16="http://schemas.microsoft.com/office/drawing/2014/main" id="{527D113F-BCAF-40A6-AB0D-899E9F7E7F34}"/>
            </a:ext>
          </a:extLst>
        </xdr:cNvPr>
        <xdr:cNvSpPr/>
      </xdr:nvSpPr>
      <xdr:spPr>
        <a:xfrm>
          <a:off x="8505265" y="1703294"/>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425823</xdr:colOff>
      <xdr:row>14</xdr:row>
      <xdr:rowOff>67236</xdr:rowOff>
    </xdr:from>
    <xdr:to>
      <xdr:col>16</xdr:col>
      <xdr:colOff>235323</xdr:colOff>
      <xdr:row>17</xdr:row>
      <xdr:rowOff>134471</xdr:rowOff>
    </xdr:to>
    <xdr:sp macro="" textlink="">
      <xdr:nvSpPr>
        <xdr:cNvPr id="4" name="Rectangle 3">
          <a:extLst>
            <a:ext uri="{FF2B5EF4-FFF2-40B4-BE49-F238E27FC236}">
              <a16:creationId xmlns:a16="http://schemas.microsoft.com/office/drawing/2014/main" id="{D1885B25-A5EC-4334-AB8E-0148159D0600}"/>
            </a:ext>
          </a:extLst>
        </xdr:cNvPr>
        <xdr:cNvSpPr/>
      </xdr:nvSpPr>
      <xdr:spPr>
        <a:xfrm>
          <a:off x="10253382" y="2734236"/>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11</xdr:col>
      <xdr:colOff>544605</xdr:colOff>
      <xdr:row>14</xdr:row>
      <xdr:rowOff>96370</xdr:rowOff>
    </xdr:from>
    <xdr:to>
      <xdr:col>13</xdr:col>
      <xdr:colOff>354105</xdr:colOff>
      <xdr:row>17</xdr:row>
      <xdr:rowOff>163605</xdr:rowOff>
    </xdr:to>
    <xdr:sp macro="" textlink="">
      <xdr:nvSpPr>
        <xdr:cNvPr id="5" name="Rectangle 4">
          <a:extLst>
            <a:ext uri="{FF2B5EF4-FFF2-40B4-BE49-F238E27FC236}">
              <a16:creationId xmlns:a16="http://schemas.microsoft.com/office/drawing/2014/main" id="{C4769136-A2B1-4873-87F9-4838FEA31480}"/>
            </a:ext>
          </a:extLst>
        </xdr:cNvPr>
        <xdr:cNvSpPr/>
      </xdr:nvSpPr>
      <xdr:spPr>
        <a:xfrm>
          <a:off x="8556811" y="2763370"/>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405653</xdr:colOff>
      <xdr:row>9</xdr:row>
      <xdr:rowOff>2241</xdr:rowOff>
    </xdr:from>
    <xdr:to>
      <xdr:col>16</xdr:col>
      <xdr:colOff>215153</xdr:colOff>
      <xdr:row>12</xdr:row>
      <xdr:rowOff>69476</xdr:rowOff>
    </xdr:to>
    <xdr:sp macro="" textlink="">
      <xdr:nvSpPr>
        <xdr:cNvPr id="6" name="Rectangle 5">
          <a:extLst>
            <a:ext uri="{FF2B5EF4-FFF2-40B4-BE49-F238E27FC236}">
              <a16:creationId xmlns:a16="http://schemas.microsoft.com/office/drawing/2014/main" id="{D9C46E66-DEF0-4BD9-ADA5-9249EF3825E9}"/>
            </a:ext>
          </a:extLst>
        </xdr:cNvPr>
        <xdr:cNvSpPr/>
      </xdr:nvSpPr>
      <xdr:spPr>
        <a:xfrm>
          <a:off x="10233212" y="1716741"/>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editAs="oneCell">
    <xdr:from>
      <xdr:col>16</xdr:col>
      <xdr:colOff>299358</xdr:colOff>
      <xdr:row>167</xdr:row>
      <xdr:rowOff>190500</xdr:rowOff>
    </xdr:from>
    <xdr:to>
      <xdr:col>31</xdr:col>
      <xdr:colOff>326571</xdr:colOff>
      <xdr:row>179</xdr:row>
      <xdr:rowOff>0</xdr:rowOff>
    </xdr:to>
    <xdr:pic>
      <xdr:nvPicPr>
        <xdr:cNvPr id="7" name="Picture 6">
          <a:extLst>
            <a:ext uri="{FF2B5EF4-FFF2-40B4-BE49-F238E27FC236}">
              <a16:creationId xmlns:a16="http://schemas.microsoft.com/office/drawing/2014/main" id="{A4D2DF18-F9F1-48F8-A6E9-FEA4071C59CE}"/>
            </a:ext>
          </a:extLst>
        </xdr:cNvPr>
        <xdr:cNvPicPr>
          <a:picLocks noChangeAspect="1"/>
        </xdr:cNvPicPr>
      </xdr:nvPicPr>
      <xdr:blipFill rotWithShape="1">
        <a:blip xmlns:r="http://schemas.openxmlformats.org/officeDocument/2006/relationships" r:embed="rId1"/>
        <a:srcRect l="6497" r="5536" b="6587"/>
        <a:stretch/>
      </xdr:blipFill>
      <xdr:spPr>
        <a:xfrm>
          <a:off x="11389179" y="32058429"/>
          <a:ext cx="9212035" cy="21227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95250</xdr:colOff>
      <xdr:row>7</xdr:row>
      <xdr:rowOff>0</xdr:rowOff>
    </xdr:from>
    <xdr:to>
      <xdr:col>16</xdr:col>
      <xdr:colOff>620247</xdr:colOff>
      <xdr:row>23</xdr:row>
      <xdr:rowOff>76636</xdr:rowOff>
    </xdr:to>
    <xdr:pic>
      <xdr:nvPicPr>
        <xdr:cNvPr id="2" name="Picture 1">
          <a:extLst>
            <a:ext uri="{FF2B5EF4-FFF2-40B4-BE49-F238E27FC236}">
              <a16:creationId xmlns:a16="http://schemas.microsoft.com/office/drawing/2014/main" id="{5760BAC1-B6E0-45A8-9CB5-650E2EF2294B}"/>
            </a:ext>
          </a:extLst>
        </xdr:cNvPr>
        <xdr:cNvPicPr>
          <a:picLocks noChangeAspect="1"/>
        </xdr:cNvPicPr>
      </xdr:nvPicPr>
      <xdr:blipFill rotWithShape="1">
        <a:blip xmlns:r="http://schemas.openxmlformats.org/officeDocument/2006/relationships" r:embed="rId1"/>
        <a:srcRect l="9676" r="7110"/>
        <a:stretch/>
      </xdr:blipFill>
      <xdr:spPr>
        <a:xfrm>
          <a:off x="10439400" y="1333500"/>
          <a:ext cx="1228726" cy="3124636"/>
        </a:xfrm>
        <a:prstGeom prst="rect">
          <a:avLst/>
        </a:prstGeom>
      </xdr:spPr>
    </xdr:pic>
    <xdr:clientData/>
  </xdr:twoCellAnchor>
  <xdr:twoCellAnchor editAs="oneCell">
    <xdr:from>
      <xdr:col>18</xdr:col>
      <xdr:colOff>342901</xdr:colOff>
      <xdr:row>7</xdr:row>
      <xdr:rowOff>28575</xdr:rowOff>
    </xdr:from>
    <xdr:to>
      <xdr:col>20</xdr:col>
      <xdr:colOff>323850</xdr:colOff>
      <xdr:row>23</xdr:row>
      <xdr:rowOff>47625</xdr:rowOff>
    </xdr:to>
    <xdr:pic>
      <xdr:nvPicPr>
        <xdr:cNvPr id="3" name="Picture 2">
          <a:extLst>
            <a:ext uri="{FF2B5EF4-FFF2-40B4-BE49-F238E27FC236}">
              <a16:creationId xmlns:a16="http://schemas.microsoft.com/office/drawing/2014/main" id="{031BD2F1-10C4-4614-9E3D-C872E2551102}"/>
            </a:ext>
          </a:extLst>
        </xdr:cNvPr>
        <xdr:cNvPicPr>
          <a:picLocks noChangeAspect="1"/>
        </xdr:cNvPicPr>
      </xdr:nvPicPr>
      <xdr:blipFill rotWithShape="1">
        <a:blip xmlns:r="http://schemas.openxmlformats.org/officeDocument/2006/relationships" r:embed="rId2"/>
        <a:srcRect l="5434" t="2011" r="26097" b="5473"/>
        <a:stretch/>
      </xdr:blipFill>
      <xdr:spPr>
        <a:xfrm>
          <a:off x="12515851" y="1362075"/>
          <a:ext cx="1200149" cy="3067050"/>
        </a:xfrm>
        <a:prstGeom prst="rect">
          <a:avLst/>
        </a:prstGeom>
      </xdr:spPr>
    </xdr:pic>
    <xdr:clientData/>
  </xdr:twoCellAnchor>
  <xdr:twoCellAnchor>
    <xdr:from>
      <xdr:col>17</xdr:col>
      <xdr:colOff>342900</xdr:colOff>
      <xdr:row>15</xdr:row>
      <xdr:rowOff>142875</xdr:rowOff>
    </xdr:from>
    <xdr:to>
      <xdr:col>18</xdr:col>
      <xdr:colOff>200025</xdr:colOff>
      <xdr:row>15</xdr:row>
      <xdr:rowOff>152400</xdr:rowOff>
    </xdr:to>
    <xdr:cxnSp macro="">
      <xdr:nvCxnSpPr>
        <xdr:cNvPr id="5" name="Straight Arrow Connector 4">
          <a:extLst>
            <a:ext uri="{FF2B5EF4-FFF2-40B4-BE49-F238E27FC236}">
              <a16:creationId xmlns:a16="http://schemas.microsoft.com/office/drawing/2014/main" id="{65C6F197-7DCC-40AE-8240-DB050323C363}"/>
            </a:ext>
          </a:extLst>
        </xdr:cNvPr>
        <xdr:cNvCxnSpPr/>
      </xdr:nvCxnSpPr>
      <xdr:spPr>
        <a:xfrm>
          <a:off x="11906250" y="3000375"/>
          <a:ext cx="4667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57150</xdr:colOff>
      <xdr:row>2</xdr:row>
      <xdr:rowOff>123825</xdr:rowOff>
    </xdr:from>
    <xdr:to>
      <xdr:col>22</xdr:col>
      <xdr:colOff>38100</xdr:colOff>
      <xdr:row>2</xdr:row>
      <xdr:rowOff>123826</xdr:rowOff>
    </xdr:to>
    <xdr:cxnSp macro="">
      <xdr:nvCxnSpPr>
        <xdr:cNvPr id="7" name="Straight Arrow Connector 6">
          <a:extLst>
            <a:ext uri="{FF2B5EF4-FFF2-40B4-BE49-F238E27FC236}">
              <a16:creationId xmlns:a16="http://schemas.microsoft.com/office/drawing/2014/main" id="{CA00B1DF-22D0-4F61-AEE6-50EF2EBD4372}"/>
            </a:ext>
          </a:extLst>
        </xdr:cNvPr>
        <xdr:cNvCxnSpPr/>
      </xdr:nvCxnSpPr>
      <xdr:spPr>
        <a:xfrm>
          <a:off x="7353300" y="504825"/>
          <a:ext cx="8105775"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32844</xdr:colOff>
      <xdr:row>46</xdr:row>
      <xdr:rowOff>5110</xdr:rowOff>
    </xdr:from>
    <xdr:to>
      <xdr:col>2</xdr:col>
      <xdr:colOff>1156137</xdr:colOff>
      <xdr:row>46</xdr:row>
      <xdr:rowOff>216776</xdr:rowOff>
    </xdr:to>
    <xdr:pic>
      <xdr:nvPicPr>
        <xdr:cNvPr id="3" name="Picture 2">
          <a:extLst>
            <a:ext uri="{FF2B5EF4-FFF2-40B4-BE49-F238E27FC236}">
              <a16:creationId xmlns:a16="http://schemas.microsoft.com/office/drawing/2014/main" id="{33F6791B-7414-4DC5-8AED-7F5471677F78}"/>
            </a:ext>
          </a:extLst>
        </xdr:cNvPr>
        <xdr:cNvPicPr>
          <a:picLocks noChangeAspect="1"/>
        </xdr:cNvPicPr>
      </xdr:nvPicPr>
      <xdr:blipFill>
        <a:blip xmlns:r="http://schemas.openxmlformats.org/officeDocument/2006/relationships" r:embed="rId1"/>
        <a:stretch>
          <a:fillRect/>
        </a:stretch>
      </xdr:blipFill>
      <xdr:spPr>
        <a:xfrm>
          <a:off x="1832741" y="8866644"/>
          <a:ext cx="1123293" cy="211666"/>
        </a:xfrm>
        <a:prstGeom prst="rect">
          <a:avLst/>
        </a:prstGeom>
      </xdr:spPr>
    </xdr:pic>
    <xdr:clientData/>
  </xdr:twoCellAnchor>
  <xdr:twoCellAnchor editAs="oneCell">
    <xdr:from>
      <xdr:col>7</xdr:col>
      <xdr:colOff>83343</xdr:colOff>
      <xdr:row>60</xdr:row>
      <xdr:rowOff>29765</xdr:rowOff>
    </xdr:from>
    <xdr:to>
      <xdr:col>7</xdr:col>
      <xdr:colOff>1190625</xdr:colOff>
      <xdr:row>60</xdr:row>
      <xdr:rowOff>208359</xdr:rowOff>
    </xdr:to>
    <xdr:pic>
      <xdr:nvPicPr>
        <xdr:cNvPr id="4" name="Picture 3">
          <a:extLst>
            <a:ext uri="{FF2B5EF4-FFF2-40B4-BE49-F238E27FC236}">
              <a16:creationId xmlns:a16="http://schemas.microsoft.com/office/drawing/2014/main" id="{DC362064-7AE3-4910-9C0A-A230E379A168}"/>
            </a:ext>
          </a:extLst>
        </xdr:cNvPr>
        <xdr:cNvPicPr>
          <a:picLocks noChangeAspect="1"/>
        </xdr:cNvPicPr>
      </xdr:nvPicPr>
      <xdr:blipFill>
        <a:blip xmlns:r="http://schemas.openxmlformats.org/officeDocument/2006/relationships" r:embed="rId2"/>
        <a:stretch>
          <a:fillRect/>
        </a:stretch>
      </xdr:blipFill>
      <xdr:spPr>
        <a:xfrm>
          <a:off x="7739062" y="12066984"/>
          <a:ext cx="1107282" cy="178594"/>
        </a:xfrm>
        <a:prstGeom prst="rect">
          <a:avLst/>
        </a:prstGeom>
      </xdr:spPr>
    </xdr:pic>
    <xdr:clientData/>
  </xdr:twoCellAnchor>
  <xdr:twoCellAnchor editAs="oneCell">
    <xdr:from>
      <xdr:col>8</xdr:col>
      <xdr:colOff>119061</xdr:colOff>
      <xdr:row>60</xdr:row>
      <xdr:rowOff>35718</xdr:rowOff>
    </xdr:from>
    <xdr:to>
      <xdr:col>8</xdr:col>
      <xdr:colOff>1125140</xdr:colOff>
      <xdr:row>60</xdr:row>
      <xdr:rowOff>203633</xdr:rowOff>
    </xdr:to>
    <xdr:pic>
      <xdr:nvPicPr>
        <xdr:cNvPr id="5" name="Picture 4">
          <a:extLst>
            <a:ext uri="{FF2B5EF4-FFF2-40B4-BE49-F238E27FC236}">
              <a16:creationId xmlns:a16="http://schemas.microsoft.com/office/drawing/2014/main" id="{F1AC0B2A-E086-4F3F-8AA3-384590636B2F}"/>
            </a:ext>
          </a:extLst>
        </xdr:cNvPr>
        <xdr:cNvPicPr>
          <a:picLocks noChangeAspect="1"/>
        </xdr:cNvPicPr>
      </xdr:nvPicPr>
      <xdr:blipFill>
        <a:blip xmlns:r="http://schemas.openxmlformats.org/officeDocument/2006/relationships" r:embed="rId3"/>
        <a:stretch>
          <a:fillRect/>
        </a:stretch>
      </xdr:blipFill>
      <xdr:spPr>
        <a:xfrm>
          <a:off x="9013030" y="12072937"/>
          <a:ext cx="1006079" cy="167915"/>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46D8E3-CD66-4901-84B1-68B03FEE54A3}" sourceName="Department">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04BD2C-DC76-4E5D-915B-AD3D5D975E2B}" sourceName="Region">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F5CEFA6-53F7-4E72-B29E-EE481610B022}" cache="Slicer_Department" caption="Department" style="SlicerStyleDark6" rowHeight="241300"/>
  <slicer name="Region" xr10:uid="{7E9FA1CE-C199-44FB-B0DF-1FDFA1F2C178}" cache="Slicer_Region" caption="Region"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88C5AF-1E0A-4EDD-AF11-5A4BBABB9721}" name="Employees" displayName="Employees" ref="A1:F39" totalsRowCount="1" headerRowDxfId="57" dataDxfId="55" headerRowBorderDxfId="56" tableBorderDxfId="54">
  <autoFilter ref="A1:F38" xr:uid="{2688C5AF-1E0A-4EDD-AF11-5A4BBABB9721}"/>
  <tableColumns count="6">
    <tableColumn id="1" xr3:uid="{B1033A5F-C26D-48E8-B4BE-5F7761A770FB}" name="Date" dataDxfId="53" totalsRowDxfId="52"/>
    <tableColumn id="2" xr3:uid="{AD6BA12D-25CE-4D3E-8E2A-1DD281A3FDA5}" name="Employee Name" dataDxfId="51" totalsRowDxfId="50"/>
    <tableColumn id="3" xr3:uid="{96E1CF2B-482C-42D2-8CEA-C0CE6D69979C}" name="Department" dataDxfId="49" totalsRowDxfId="48"/>
    <tableColumn id="4" xr3:uid="{602E6D48-4D10-4D1E-9636-6A41FF0A4753}" name="Region" dataDxfId="47" totalsRowDxfId="46"/>
    <tableColumn id="5" xr3:uid="{98D904BD-DEE8-4674-A97B-995E27B5AB23}" name="Sales (Rs.)" dataDxfId="45" totalsRowDxfId="44"/>
    <tableColumn id="6" xr3:uid="{F7A5EC06-42D8-4DD0-83BA-C91339988D38}" name="Target (Rs.)" totalsRowFunction="custom" dataDxfId="43" totalsRowDxfId="42">
      <totalsRowFormula>SUM(F2:F38)</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2E7867-F6FB-4E99-90AB-B3D6FC5DD7A3}">
  <we:reference id="wa200010215" version="2.0.0.1" store="en-US" storeType="OMEX"/>
  <we:alternateReferences>
    <we:reference id="wa200010215" version="2.0.0.1" store="WA200010215" storeType="OMEX"/>
  </we:alternateReferences>
  <we:properties>
    <we:property name="bps.codex_control.document_id" value="&quot;d68953c5-6118-45d0-8c7e-db6211ef9f7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2"/>
  <sheetViews>
    <sheetView topLeftCell="AD1" zoomScale="145" zoomScaleNormal="145" workbookViewId="0">
      <selection activeCell="AK51" sqref="AK1:AK51"/>
    </sheetView>
  </sheetViews>
  <sheetFormatPr defaultRowHeight="16.5" thickTop="1" thickBottom="1" x14ac:dyDescent="0.3"/>
  <cols>
    <col min="1" max="1" width="12.42578125" style="13" bestFit="1" customWidth="1"/>
    <col min="2" max="2" width="10.85546875" style="14" bestFit="1" customWidth="1"/>
    <col min="3" max="3" width="10.5703125" style="14" bestFit="1" customWidth="1"/>
    <col min="4" max="4" width="4.42578125" style="14" bestFit="1" customWidth="1"/>
    <col min="5" max="5" width="7.5703125" style="14" bestFit="1" customWidth="1"/>
    <col min="6" max="6" width="10.85546875" style="14" bestFit="1" customWidth="1"/>
    <col min="7" max="7" width="17.28515625" style="14" customWidth="1"/>
    <col min="8" max="8" width="11.5703125" style="14" bestFit="1" customWidth="1"/>
    <col min="9" max="9" width="18.5703125" style="14" bestFit="1" customWidth="1"/>
    <col min="10" max="10" width="12.7109375" style="14" bestFit="1" customWidth="1"/>
    <col min="11" max="11" width="16.5703125" style="15" bestFit="1" customWidth="1"/>
    <col min="12" max="12" width="19.5703125" style="16" bestFit="1" customWidth="1"/>
    <col min="13" max="13" width="11.140625" style="17" bestFit="1" customWidth="1"/>
    <col min="14" max="14" width="12.85546875" style="14" bestFit="1" customWidth="1"/>
    <col min="15" max="15" width="32.42578125" style="14" bestFit="1" customWidth="1"/>
    <col min="16" max="16" width="15.5703125" style="14" bestFit="1" customWidth="1"/>
    <col min="17" max="17" width="11.42578125" style="14" bestFit="1" customWidth="1"/>
    <col min="18" max="18" width="18.28515625" style="14" bestFit="1" customWidth="1"/>
    <col min="19" max="19" width="18.7109375" style="14" bestFit="1" customWidth="1"/>
    <col min="20" max="20" width="15.28515625" style="14" bestFit="1" customWidth="1"/>
    <col min="21" max="21" width="19" style="14" bestFit="1" customWidth="1"/>
    <col min="22" max="22" width="23.42578125" style="14" bestFit="1" customWidth="1"/>
    <col min="23" max="23" width="14.85546875" style="14" bestFit="1" customWidth="1"/>
    <col min="24" max="24" width="17" style="14" bestFit="1" customWidth="1"/>
    <col min="25" max="25" width="13.140625" style="14" bestFit="1" customWidth="1"/>
    <col min="26" max="26" width="13.7109375" style="14" bestFit="1" customWidth="1"/>
    <col min="27" max="27" width="11.42578125" style="14" bestFit="1" customWidth="1"/>
    <col min="28" max="28" width="16.7109375" style="14" bestFit="1" customWidth="1"/>
    <col min="29" max="29" width="17.7109375" style="14" bestFit="1" customWidth="1"/>
    <col min="30" max="30" width="12.140625" style="14" bestFit="1" customWidth="1"/>
    <col min="31" max="31" width="10.5703125" style="14" bestFit="1" customWidth="1"/>
    <col min="32" max="32" width="19.28515625" style="14" bestFit="1" customWidth="1"/>
    <col min="33" max="34" width="10.7109375" style="14" bestFit="1" customWidth="1"/>
    <col min="35" max="35" width="14.140625" style="14" bestFit="1" customWidth="1"/>
    <col min="36" max="36" width="16.140625" style="14" bestFit="1" customWidth="1"/>
    <col min="37" max="37" width="7.42578125" style="14" bestFit="1" customWidth="1"/>
    <col min="38" max="38" width="16.28515625" style="14" bestFit="1" customWidth="1"/>
    <col min="39" max="39" width="16.5703125" style="14" bestFit="1" customWidth="1"/>
    <col min="40" max="40" width="12.140625" style="14" bestFit="1" customWidth="1"/>
    <col min="41" max="16384" width="9.140625" style="14"/>
  </cols>
  <sheetData>
    <row r="1" spans="1:40" s="12" customFormat="1" ht="18" thickTop="1" thickBot="1" x14ac:dyDescent="0.35">
      <c r="A1" s="7" t="s">
        <v>0</v>
      </c>
      <c r="B1" s="8" t="s">
        <v>1</v>
      </c>
      <c r="C1" s="8" t="s">
        <v>2</v>
      </c>
      <c r="D1" s="8" t="s">
        <v>3</v>
      </c>
      <c r="E1" s="8" t="s">
        <v>4</v>
      </c>
      <c r="F1" s="8" t="s">
        <v>5</v>
      </c>
      <c r="G1" s="8" t="s">
        <v>6</v>
      </c>
      <c r="H1" s="8" t="s">
        <v>7</v>
      </c>
      <c r="I1" s="8" t="s">
        <v>8</v>
      </c>
      <c r="J1" s="8" t="s">
        <v>9</v>
      </c>
      <c r="K1" s="9" t="s">
        <v>10</v>
      </c>
      <c r="L1" s="10" t="s">
        <v>11</v>
      </c>
      <c r="M1" s="11"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row>
    <row r="2" spans="1:40" thickTop="1" thickBot="1" x14ac:dyDescent="0.3">
      <c r="A2" s="13" t="s">
        <v>40</v>
      </c>
      <c r="B2" s="14" t="s">
        <v>41</v>
      </c>
      <c r="C2" s="14" t="s">
        <v>42</v>
      </c>
      <c r="D2" s="14">
        <v>27</v>
      </c>
      <c r="E2" s="14" t="s">
        <v>43</v>
      </c>
      <c r="F2" s="14" t="s">
        <v>44</v>
      </c>
      <c r="G2" s="14" t="s">
        <v>45</v>
      </c>
      <c r="H2" s="14" t="s">
        <v>46</v>
      </c>
      <c r="I2" s="14" t="s">
        <v>47</v>
      </c>
      <c r="J2" s="14" t="s">
        <v>48</v>
      </c>
      <c r="K2" s="15">
        <v>13</v>
      </c>
      <c r="L2" s="16">
        <v>144621</v>
      </c>
      <c r="M2" s="17">
        <v>45729</v>
      </c>
      <c r="N2" s="18">
        <v>31826</v>
      </c>
      <c r="O2" s="14" t="s">
        <v>49</v>
      </c>
      <c r="P2" s="14" t="s">
        <v>50</v>
      </c>
      <c r="Q2" s="14" t="s">
        <v>51</v>
      </c>
      <c r="R2" s="14">
        <v>1.5</v>
      </c>
      <c r="S2" s="14">
        <v>76.7</v>
      </c>
      <c r="T2" s="14">
        <v>3</v>
      </c>
      <c r="U2" s="14">
        <v>207974</v>
      </c>
      <c r="V2" s="14">
        <v>1331970</v>
      </c>
      <c r="W2" s="14">
        <v>28</v>
      </c>
      <c r="X2" s="14">
        <v>1</v>
      </c>
      <c r="Y2" s="14" t="s">
        <v>52</v>
      </c>
      <c r="Z2" s="14" t="s">
        <v>53</v>
      </c>
      <c r="AA2" s="14">
        <v>5</v>
      </c>
      <c r="AB2" s="14">
        <v>4</v>
      </c>
      <c r="AC2" s="14">
        <v>2.7</v>
      </c>
      <c r="AD2" s="14" t="s">
        <v>54</v>
      </c>
      <c r="AE2" s="14">
        <v>60</v>
      </c>
      <c r="AF2" s="14">
        <v>222001</v>
      </c>
      <c r="AG2" s="14">
        <v>153368.45000000001</v>
      </c>
      <c r="AH2" s="14">
        <v>68632.55</v>
      </c>
      <c r="AI2" s="14" t="s">
        <v>55</v>
      </c>
      <c r="AJ2" s="14" t="s">
        <v>56</v>
      </c>
      <c r="AK2" s="14" t="s">
        <v>57</v>
      </c>
      <c r="AL2" s="14">
        <v>1.4</v>
      </c>
      <c r="AM2" s="14">
        <v>17.100000000000001</v>
      </c>
      <c r="AN2" s="18">
        <v>45850</v>
      </c>
    </row>
    <row r="3" spans="1:40" thickTop="1" thickBot="1" x14ac:dyDescent="0.3">
      <c r="A3" s="13" t="s">
        <v>58</v>
      </c>
      <c r="B3" s="14" t="s">
        <v>59</v>
      </c>
      <c r="C3" s="14" t="s">
        <v>60</v>
      </c>
      <c r="D3" s="14">
        <v>34</v>
      </c>
      <c r="E3" s="14" t="s">
        <v>43</v>
      </c>
      <c r="F3" s="14" t="s">
        <v>61</v>
      </c>
      <c r="G3" s="14" t="s">
        <v>62</v>
      </c>
      <c r="H3" s="14" t="s">
        <v>63</v>
      </c>
      <c r="I3" s="14" t="s">
        <v>64</v>
      </c>
      <c r="J3" s="14" t="s">
        <v>65</v>
      </c>
      <c r="K3" s="15">
        <v>29</v>
      </c>
      <c r="L3" s="16">
        <v>153799</v>
      </c>
      <c r="M3" s="17">
        <v>46028</v>
      </c>
      <c r="N3" s="18">
        <v>32624</v>
      </c>
      <c r="O3" s="14" t="s">
        <v>66</v>
      </c>
      <c r="P3" s="14" t="s">
        <v>67</v>
      </c>
      <c r="Q3" s="14" t="s">
        <v>68</v>
      </c>
      <c r="R3" s="14">
        <v>3.3</v>
      </c>
      <c r="S3" s="14">
        <v>85.8</v>
      </c>
      <c r="T3" s="14">
        <v>21</v>
      </c>
      <c r="U3" s="14">
        <v>235318</v>
      </c>
      <c r="V3" s="14">
        <v>5330794</v>
      </c>
      <c r="W3" s="14">
        <v>77</v>
      </c>
      <c r="X3" s="14">
        <v>2</v>
      </c>
      <c r="Y3" s="14" t="s">
        <v>69</v>
      </c>
      <c r="Z3" s="14" t="s">
        <v>70</v>
      </c>
      <c r="AA3" s="14">
        <v>37</v>
      </c>
      <c r="AB3" s="14">
        <v>3</v>
      </c>
      <c r="AC3" s="14">
        <v>1.7</v>
      </c>
      <c r="AD3" s="14" t="s">
        <v>71</v>
      </c>
      <c r="AE3" s="14">
        <v>77</v>
      </c>
      <c r="AF3" s="14">
        <v>302175</v>
      </c>
      <c r="AG3" s="14">
        <v>215596.12</v>
      </c>
      <c r="AH3" s="14">
        <v>86578.880000000005</v>
      </c>
      <c r="AI3" s="14" t="s">
        <v>72</v>
      </c>
      <c r="AJ3" s="14" t="s">
        <v>73</v>
      </c>
      <c r="AK3" s="14" t="s">
        <v>74</v>
      </c>
      <c r="AL3" s="14">
        <v>4.8</v>
      </c>
      <c r="AM3" s="14">
        <v>2.2999999999999998</v>
      </c>
      <c r="AN3" s="18">
        <v>46229</v>
      </c>
    </row>
    <row r="4" spans="1:40" thickTop="1" thickBot="1" x14ac:dyDescent="0.3">
      <c r="A4" s="13" t="s">
        <v>75</v>
      </c>
      <c r="B4" s="14" t="s">
        <v>76</v>
      </c>
      <c r="C4" s="14" t="s">
        <v>77</v>
      </c>
      <c r="D4" s="14">
        <v>50</v>
      </c>
      <c r="E4" s="14" t="s">
        <v>78</v>
      </c>
      <c r="F4" s="14" t="s">
        <v>79</v>
      </c>
      <c r="G4" s="14" t="s">
        <v>80</v>
      </c>
      <c r="H4" s="14" t="s">
        <v>81</v>
      </c>
      <c r="I4" s="14" t="s">
        <v>47</v>
      </c>
      <c r="J4" s="14" t="s">
        <v>48</v>
      </c>
      <c r="K4" s="15">
        <v>23</v>
      </c>
      <c r="L4" s="16">
        <v>218891</v>
      </c>
      <c r="M4" s="17">
        <v>45975</v>
      </c>
      <c r="N4" s="18">
        <v>36821</v>
      </c>
      <c r="O4" s="14" t="s">
        <v>82</v>
      </c>
      <c r="P4" s="14" t="s">
        <v>83</v>
      </c>
      <c r="Q4" s="14" t="s">
        <v>84</v>
      </c>
      <c r="R4" s="14">
        <v>2.54</v>
      </c>
      <c r="S4" s="14">
        <v>90.1</v>
      </c>
      <c r="T4" s="14">
        <v>1</v>
      </c>
      <c r="U4" s="14">
        <v>242061</v>
      </c>
      <c r="V4" s="14">
        <v>6463698</v>
      </c>
      <c r="W4" s="14">
        <v>21</v>
      </c>
      <c r="X4" s="14">
        <v>19</v>
      </c>
      <c r="Y4" s="14" t="s">
        <v>69</v>
      </c>
      <c r="Z4" s="14" t="s">
        <v>70</v>
      </c>
      <c r="AA4" s="14">
        <v>39</v>
      </c>
      <c r="AB4" s="14">
        <v>31</v>
      </c>
      <c r="AC4" s="14">
        <v>1.2</v>
      </c>
      <c r="AD4" s="14" t="s">
        <v>85</v>
      </c>
      <c r="AE4" s="14">
        <v>66</v>
      </c>
      <c r="AF4" s="14">
        <v>193322</v>
      </c>
      <c r="AG4" s="14">
        <v>136728.78</v>
      </c>
      <c r="AH4" s="14">
        <v>56593.22</v>
      </c>
      <c r="AI4" s="14" t="s">
        <v>86</v>
      </c>
      <c r="AJ4" s="14" t="s">
        <v>73</v>
      </c>
      <c r="AK4" s="14" t="s">
        <v>87</v>
      </c>
      <c r="AL4" s="14">
        <v>4.7</v>
      </c>
      <c r="AM4" s="14">
        <v>14.9</v>
      </c>
      <c r="AN4" s="18">
        <v>45828</v>
      </c>
    </row>
    <row r="5" spans="1:40" thickTop="1" thickBot="1" x14ac:dyDescent="0.3">
      <c r="A5" s="13" t="s">
        <v>88</v>
      </c>
      <c r="B5" s="14" t="s">
        <v>89</v>
      </c>
      <c r="C5" s="14" t="s">
        <v>90</v>
      </c>
      <c r="D5" s="14">
        <v>38</v>
      </c>
      <c r="E5" s="14" t="s">
        <v>91</v>
      </c>
      <c r="F5" s="14" t="s">
        <v>92</v>
      </c>
      <c r="G5" s="14" t="s">
        <v>93</v>
      </c>
      <c r="H5" s="14" t="s">
        <v>94</v>
      </c>
      <c r="I5" s="14" t="s">
        <v>95</v>
      </c>
      <c r="J5" s="14" t="s">
        <v>96</v>
      </c>
      <c r="K5" s="15">
        <v>2</v>
      </c>
      <c r="L5" s="16">
        <v>81194</v>
      </c>
      <c r="M5" s="17">
        <v>45812</v>
      </c>
      <c r="N5" s="18">
        <v>32089</v>
      </c>
      <c r="O5" s="14" t="s">
        <v>97</v>
      </c>
      <c r="P5" s="14" t="s">
        <v>98</v>
      </c>
      <c r="Q5" s="14" t="s">
        <v>99</v>
      </c>
      <c r="R5" s="14">
        <v>1.73</v>
      </c>
      <c r="S5" s="14">
        <v>78.5</v>
      </c>
      <c r="T5" s="14">
        <v>9</v>
      </c>
      <c r="U5" s="14">
        <v>219648</v>
      </c>
      <c r="V5" s="14">
        <v>9468948</v>
      </c>
      <c r="W5" s="14">
        <v>47</v>
      </c>
      <c r="X5" s="14">
        <v>19</v>
      </c>
      <c r="Y5" s="14" t="s">
        <v>100</v>
      </c>
      <c r="Z5" s="14" t="s">
        <v>101</v>
      </c>
      <c r="AA5" s="14">
        <v>9</v>
      </c>
      <c r="AB5" s="14">
        <v>6</v>
      </c>
      <c r="AC5" s="14">
        <v>3.8</v>
      </c>
      <c r="AD5" s="14" t="s">
        <v>54</v>
      </c>
      <c r="AE5" s="14">
        <v>486</v>
      </c>
      <c r="AF5" s="14">
        <v>303064</v>
      </c>
      <c r="AG5" s="14">
        <v>167533.92000000001</v>
      </c>
      <c r="AH5" s="14">
        <v>135530.07999999999</v>
      </c>
      <c r="AI5" s="14" t="s">
        <v>102</v>
      </c>
      <c r="AJ5" s="14" t="s">
        <v>73</v>
      </c>
      <c r="AK5" s="14" t="s">
        <v>103</v>
      </c>
      <c r="AL5" s="14">
        <v>2.6</v>
      </c>
      <c r="AM5" s="14">
        <v>12</v>
      </c>
      <c r="AN5" s="18">
        <v>45764</v>
      </c>
    </row>
    <row r="6" spans="1:40" thickTop="1" thickBot="1" x14ac:dyDescent="0.3">
      <c r="A6" s="13" t="s">
        <v>104</v>
      </c>
      <c r="B6" s="14" t="s">
        <v>105</v>
      </c>
      <c r="C6" s="14" t="s">
        <v>106</v>
      </c>
      <c r="D6" s="14">
        <v>49</v>
      </c>
      <c r="E6" s="14" t="s">
        <v>78</v>
      </c>
      <c r="F6" s="14" t="s">
        <v>79</v>
      </c>
      <c r="G6" s="14" t="s">
        <v>93</v>
      </c>
      <c r="H6" s="14" t="s">
        <v>107</v>
      </c>
      <c r="I6" s="14" t="s">
        <v>47</v>
      </c>
      <c r="J6" s="14" t="s">
        <v>48</v>
      </c>
      <c r="K6" s="15">
        <v>18</v>
      </c>
      <c r="L6" s="16">
        <v>74653</v>
      </c>
      <c r="M6" s="17">
        <v>46207</v>
      </c>
      <c r="N6" s="18">
        <v>30487</v>
      </c>
      <c r="O6" s="14" t="s">
        <v>108</v>
      </c>
      <c r="P6" s="14" t="s">
        <v>109</v>
      </c>
      <c r="Q6" s="14" t="s">
        <v>110</v>
      </c>
      <c r="R6" s="14">
        <v>3.46</v>
      </c>
      <c r="S6" s="14">
        <v>74.5</v>
      </c>
      <c r="T6" s="14">
        <v>16</v>
      </c>
      <c r="U6" s="14">
        <v>182132</v>
      </c>
      <c r="V6" s="14">
        <v>10604568</v>
      </c>
      <c r="W6" s="14">
        <v>46</v>
      </c>
      <c r="X6" s="14">
        <v>15</v>
      </c>
      <c r="Y6" s="14" t="s">
        <v>69</v>
      </c>
      <c r="Z6" s="14" t="s">
        <v>111</v>
      </c>
      <c r="AA6" s="14">
        <v>5</v>
      </c>
      <c r="AB6" s="14">
        <v>1</v>
      </c>
      <c r="AC6" s="14">
        <v>4.4000000000000004</v>
      </c>
      <c r="AD6" s="14" t="s">
        <v>112</v>
      </c>
      <c r="AE6" s="14">
        <v>245</v>
      </c>
      <c r="AF6" s="14">
        <v>224947</v>
      </c>
      <c r="AG6" s="14">
        <v>106407.06</v>
      </c>
      <c r="AH6" s="14">
        <v>118539.94</v>
      </c>
      <c r="AI6" s="14" t="s">
        <v>72</v>
      </c>
      <c r="AJ6" s="14" t="s">
        <v>113</v>
      </c>
      <c r="AK6" s="14" t="s">
        <v>74</v>
      </c>
      <c r="AL6" s="14">
        <v>1.6</v>
      </c>
      <c r="AM6" s="14">
        <v>22.5</v>
      </c>
      <c r="AN6" s="18">
        <v>45929</v>
      </c>
    </row>
    <row r="7" spans="1:40" thickTop="1" thickBot="1" x14ac:dyDescent="0.3">
      <c r="A7" s="13" t="s">
        <v>114</v>
      </c>
      <c r="B7" s="14" t="s">
        <v>105</v>
      </c>
      <c r="C7" s="14" t="s">
        <v>115</v>
      </c>
      <c r="D7" s="14">
        <v>44</v>
      </c>
      <c r="E7" s="14" t="s">
        <v>78</v>
      </c>
      <c r="F7" s="14" t="s">
        <v>61</v>
      </c>
      <c r="G7" s="14" t="s">
        <v>45</v>
      </c>
      <c r="H7" s="14" t="s">
        <v>116</v>
      </c>
      <c r="I7" s="14" t="s">
        <v>47</v>
      </c>
      <c r="J7" s="14" t="s">
        <v>117</v>
      </c>
      <c r="K7" s="15">
        <v>16</v>
      </c>
      <c r="L7" s="16">
        <v>131128</v>
      </c>
      <c r="M7" s="17">
        <v>45829</v>
      </c>
      <c r="N7" s="18">
        <v>33346</v>
      </c>
      <c r="O7" s="14" t="s">
        <v>118</v>
      </c>
      <c r="P7" s="14" t="s">
        <v>119</v>
      </c>
      <c r="Q7" s="14" t="s">
        <v>120</v>
      </c>
      <c r="R7" s="14">
        <v>3.55</v>
      </c>
      <c r="S7" s="14">
        <v>88.4</v>
      </c>
      <c r="T7" s="14">
        <v>12</v>
      </c>
      <c r="U7" s="14">
        <v>125508</v>
      </c>
      <c r="V7" s="14">
        <v>14229348</v>
      </c>
      <c r="W7" s="14">
        <v>51</v>
      </c>
      <c r="X7" s="14">
        <v>23</v>
      </c>
      <c r="Y7" s="14" t="s">
        <v>121</v>
      </c>
      <c r="Z7" s="14" t="s">
        <v>101</v>
      </c>
      <c r="AA7" s="14">
        <v>14</v>
      </c>
      <c r="AB7" s="14">
        <v>8</v>
      </c>
      <c r="AC7" s="14">
        <v>3.1</v>
      </c>
      <c r="AD7" s="14" t="s">
        <v>71</v>
      </c>
      <c r="AE7" s="14">
        <v>374</v>
      </c>
      <c r="AF7" s="14">
        <v>99640</v>
      </c>
      <c r="AG7" s="14">
        <v>63873.599999999999</v>
      </c>
      <c r="AH7" s="14">
        <v>35766.400000000001</v>
      </c>
      <c r="AI7" s="14" t="s">
        <v>102</v>
      </c>
      <c r="AJ7" s="14" t="s">
        <v>122</v>
      </c>
      <c r="AK7" s="14" t="s">
        <v>123</v>
      </c>
      <c r="AL7" s="14">
        <v>2.9</v>
      </c>
      <c r="AM7" s="14">
        <v>5.8</v>
      </c>
      <c r="AN7" s="18">
        <v>46277</v>
      </c>
    </row>
    <row r="8" spans="1:40" thickTop="1" thickBot="1" x14ac:dyDescent="0.3">
      <c r="A8" s="13" t="s">
        <v>124</v>
      </c>
      <c r="B8" s="14" t="s">
        <v>59</v>
      </c>
      <c r="C8" s="14" t="s">
        <v>125</v>
      </c>
      <c r="D8" s="14">
        <v>26</v>
      </c>
      <c r="E8" s="14" t="s">
        <v>78</v>
      </c>
      <c r="F8" s="14" t="s">
        <v>79</v>
      </c>
      <c r="G8" s="14" t="s">
        <v>126</v>
      </c>
      <c r="H8" s="14" t="s">
        <v>81</v>
      </c>
      <c r="I8" s="14" t="s">
        <v>95</v>
      </c>
      <c r="J8" s="14" t="s">
        <v>117</v>
      </c>
      <c r="K8" s="15">
        <v>6</v>
      </c>
      <c r="L8" s="16">
        <v>161524</v>
      </c>
      <c r="M8" s="17">
        <v>45659</v>
      </c>
      <c r="N8" s="18">
        <v>35015</v>
      </c>
      <c r="O8" s="14" t="s">
        <v>127</v>
      </c>
      <c r="P8" s="14" t="s">
        <v>128</v>
      </c>
      <c r="Q8" s="14" t="s">
        <v>129</v>
      </c>
      <c r="R8" s="14">
        <v>4.6399999999999997</v>
      </c>
      <c r="S8" s="14">
        <v>93.5</v>
      </c>
      <c r="T8" s="14">
        <v>12</v>
      </c>
      <c r="U8" s="14">
        <v>250626</v>
      </c>
      <c r="V8" s="14">
        <v>3495097</v>
      </c>
      <c r="W8" s="14">
        <v>55</v>
      </c>
      <c r="X8" s="14">
        <v>25</v>
      </c>
      <c r="Y8" s="14" t="s">
        <v>100</v>
      </c>
      <c r="Z8" s="14" t="s">
        <v>111</v>
      </c>
      <c r="AA8" s="14">
        <v>23</v>
      </c>
      <c r="AB8" s="14">
        <v>11</v>
      </c>
      <c r="AC8" s="14">
        <v>4.2</v>
      </c>
      <c r="AD8" s="14" t="s">
        <v>130</v>
      </c>
      <c r="AE8" s="14">
        <v>237</v>
      </c>
      <c r="AF8" s="14">
        <v>438921</v>
      </c>
      <c r="AG8" s="14">
        <v>349687.41</v>
      </c>
      <c r="AH8" s="14">
        <v>89233.59</v>
      </c>
      <c r="AI8" s="14" t="s">
        <v>131</v>
      </c>
      <c r="AJ8" s="14" t="s">
        <v>122</v>
      </c>
      <c r="AK8" s="14" t="s">
        <v>57</v>
      </c>
      <c r="AL8" s="14">
        <v>1.7</v>
      </c>
      <c r="AM8" s="14">
        <v>3.8</v>
      </c>
      <c r="AN8" s="18">
        <v>45812</v>
      </c>
    </row>
    <row r="9" spans="1:40" thickTop="1" thickBot="1" x14ac:dyDescent="0.3">
      <c r="A9" s="13" t="s">
        <v>132</v>
      </c>
      <c r="B9" s="14" t="s">
        <v>76</v>
      </c>
      <c r="C9" s="14" t="s">
        <v>125</v>
      </c>
      <c r="D9" s="14">
        <v>51</v>
      </c>
      <c r="E9" s="14" t="s">
        <v>91</v>
      </c>
      <c r="F9" s="14" t="s">
        <v>133</v>
      </c>
      <c r="G9" s="14" t="s">
        <v>134</v>
      </c>
      <c r="H9" s="14" t="s">
        <v>135</v>
      </c>
      <c r="I9" s="14" t="s">
        <v>47</v>
      </c>
      <c r="J9" s="14" t="s">
        <v>48</v>
      </c>
      <c r="K9" s="15">
        <v>25</v>
      </c>
      <c r="L9" s="16">
        <v>225413</v>
      </c>
      <c r="M9" s="17">
        <v>45763</v>
      </c>
      <c r="N9" s="18">
        <v>35404</v>
      </c>
      <c r="O9" s="14" t="s">
        <v>136</v>
      </c>
      <c r="P9" s="14" t="s">
        <v>137</v>
      </c>
      <c r="Q9" s="14" t="s">
        <v>138</v>
      </c>
      <c r="R9" s="14">
        <v>1.1100000000000001</v>
      </c>
      <c r="S9" s="14">
        <v>76.400000000000006</v>
      </c>
      <c r="T9" s="14">
        <v>32</v>
      </c>
      <c r="U9" s="14">
        <v>126111</v>
      </c>
      <c r="V9" s="14">
        <v>13312420</v>
      </c>
      <c r="W9" s="14">
        <v>75</v>
      </c>
      <c r="X9" s="14">
        <v>10</v>
      </c>
      <c r="Y9" s="14" t="s">
        <v>139</v>
      </c>
      <c r="Z9" s="14" t="s">
        <v>70</v>
      </c>
      <c r="AA9" s="14">
        <v>40</v>
      </c>
      <c r="AB9" s="14">
        <v>38</v>
      </c>
      <c r="AC9" s="14">
        <v>4.3</v>
      </c>
      <c r="AD9" s="14" t="s">
        <v>140</v>
      </c>
      <c r="AE9" s="14">
        <v>465</v>
      </c>
      <c r="AF9" s="14">
        <v>437839</v>
      </c>
      <c r="AG9" s="14">
        <v>303276.86</v>
      </c>
      <c r="AH9" s="14">
        <v>134562.14000000001</v>
      </c>
      <c r="AI9" s="14" t="s">
        <v>14</v>
      </c>
      <c r="AJ9" s="14" t="s">
        <v>73</v>
      </c>
      <c r="AK9" s="14" t="s">
        <v>103</v>
      </c>
      <c r="AL9" s="14">
        <v>4.3</v>
      </c>
      <c r="AM9" s="14">
        <v>15.5</v>
      </c>
      <c r="AN9" s="18">
        <v>46171</v>
      </c>
    </row>
    <row r="10" spans="1:40" thickTop="1" thickBot="1" x14ac:dyDescent="0.3">
      <c r="A10" s="13" t="s">
        <v>141</v>
      </c>
      <c r="B10" s="14" t="s">
        <v>142</v>
      </c>
      <c r="C10" s="14" t="s">
        <v>143</v>
      </c>
      <c r="D10" s="14">
        <v>32</v>
      </c>
      <c r="E10" s="14" t="s">
        <v>91</v>
      </c>
      <c r="F10" s="14" t="s">
        <v>144</v>
      </c>
      <c r="G10" s="14" t="s">
        <v>134</v>
      </c>
      <c r="H10" s="14" t="s">
        <v>135</v>
      </c>
      <c r="I10" s="14" t="s">
        <v>95</v>
      </c>
      <c r="J10" s="14" t="s">
        <v>145</v>
      </c>
      <c r="K10" s="15">
        <v>19</v>
      </c>
      <c r="L10" s="16">
        <v>225105</v>
      </c>
      <c r="M10" s="17">
        <v>45781</v>
      </c>
      <c r="N10" s="18">
        <v>35441</v>
      </c>
      <c r="O10" s="14" t="s">
        <v>146</v>
      </c>
      <c r="P10" s="14" t="s">
        <v>147</v>
      </c>
      <c r="Q10" s="14" t="s">
        <v>148</v>
      </c>
      <c r="R10" s="14">
        <v>2.93</v>
      </c>
      <c r="S10" s="14">
        <v>93.3</v>
      </c>
      <c r="T10" s="14">
        <v>35</v>
      </c>
      <c r="U10" s="14">
        <v>29791</v>
      </c>
      <c r="V10" s="14">
        <v>4669042</v>
      </c>
      <c r="W10" s="14">
        <v>24</v>
      </c>
      <c r="X10" s="14">
        <v>8</v>
      </c>
      <c r="Y10" s="14" t="s">
        <v>149</v>
      </c>
      <c r="Z10" s="14" t="s">
        <v>111</v>
      </c>
      <c r="AA10" s="14">
        <v>2</v>
      </c>
      <c r="AB10" s="14">
        <v>1</v>
      </c>
      <c r="AC10" s="14">
        <v>3</v>
      </c>
      <c r="AD10" s="14" t="s">
        <v>54</v>
      </c>
      <c r="AE10" s="14">
        <v>14</v>
      </c>
      <c r="AF10" s="14">
        <v>94605</v>
      </c>
      <c r="AG10" s="14">
        <v>60897</v>
      </c>
      <c r="AH10" s="14">
        <v>33708</v>
      </c>
      <c r="AI10" s="14" t="s">
        <v>150</v>
      </c>
      <c r="AJ10" s="14" t="s">
        <v>73</v>
      </c>
      <c r="AK10" s="14" t="s">
        <v>123</v>
      </c>
      <c r="AL10" s="14">
        <v>3.5</v>
      </c>
      <c r="AM10" s="14">
        <v>15.2</v>
      </c>
      <c r="AN10" s="18">
        <v>46182</v>
      </c>
    </row>
    <row r="11" spans="1:40" thickTop="1" thickBot="1" x14ac:dyDescent="0.3">
      <c r="A11" s="13" t="s">
        <v>151</v>
      </c>
      <c r="B11" s="14" t="s">
        <v>152</v>
      </c>
      <c r="C11" s="14" t="s">
        <v>115</v>
      </c>
      <c r="D11" s="14">
        <v>53</v>
      </c>
      <c r="E11" s="14" t="s">
        <v>78</v>
      </c>
      <c r="F11" s="14" t="s">
        <v>61</v>
      </c>
      <c r="G11" s="14" t="s">
        <v>80</v>
      </c>
      <c r="H11" s="14" t="s">
        <v>46</v>
      </c>
      <c r="I11" s="14" t="s">
        <v>64</v>
      </c>
      <c r="J11" s="14" t="s">
        <v>96</v>
      </c>
      <c r="K11" s="15">
        <v>13</v>
      </c>
      <c r="L11" s="16">
        <v>66882</v>
      </c>
      <c r="M11" s="17">
        <v>46059</v>
      </c>
      <c r="N11" s="18">
        <v>34488</v>
      </c>
      <c r="O11" s="14" t="s">
        <v>153</v>
      </c>
      <c r="P11" s="14" t="s">
        <v>154</v>
      </c>
      <c r="Q11" s="14" t="s">
        <v>151</v>
      </c>
      <c r="R11" s="14">
        <v>1.85</v>
      </c>
      <c r="S11" s="14">
        <v>79.099999999999994</v>
      </c>
      <c r="T11" s="14">
        <v>7</v>
      </c>
      <c r="U11" s="14">
        <v>80974</v>
      </c>
      <c r="V11" s="14">
        <v>12514497</v>
      </c>
      <c r="W11" s="14">
        <v>46</v>
      </c>
      <c r="X11" s="14">
        <v>4</v>
      </c>
      <c r="Y11" s="14" t="s">
        <v>139</v>
      </c>
      <c r="Z11" s="14" t="s">
        <v>101</v>
      </c>
      <c r="AA11" s="14">
        <v>35</v>
      </c>
      <c r="AB11" s="14">
        <v>30</v>
      </c>
      <c r="AC11" s="14">
        <v>4.9000000000000004</v>
      </c>
      <c r="AD11" s="14" t="s">
        <v>155</v>
      </c>
      <c r="AE11" s="14">
        <v>382</v>
      </c>
      <c r="AF11" s="14">
        <v>160325</v>
      </c>
      <c r="AG11" s="14">
        <v>98979.520000000004</v>
      </c>
      <c r="AH11" s="14">
        <v>61345.48</v>
      </c>
      <c r="AI11" s="14" t="s">
        <v>150</v>
      </c>
      <c r="AJ11" s="14" t="s">
        <v>73</v>
      </c>
      <c r="AK11" s="14" t="s">
        <v>87</v>
      </c>
      <c r="AL11" s="14">
        <v>1.7</v>
      </c>
      <c r="AM11" s="14">
        <v>20</v>
      </c>
      <c r="AN11" s="18">
        <v>45887</v>
      </c>
    </row>
    <row r="12" spans="1:40" thickTop="1" thickBot="1" x14ac:dyDescent="0.3">
      <c r="A12" s="13" t="s">
        <v>68</v>
      </c>
      <c r="B12" s="14" t="s">
        <v>156</v>
      </c>
      <c r="C12" s="14" t="s">
        <v>115</v>
      </c>
      <c r="D12" s="14">
        <v>47</v>
      </c>
      <c r="E12" s="14" t="s">
        <v>78</v>
      </c>
      <c r="F12" s="14" t="s">
        <v>133</v>
      </c>
      <c r="G12" s="14" t="s">
        <v>93</v>
      </c>
      <c r="H12" s="14" t="s">
        <v>157</v>
      </c>
      <c r="I12" s="14" t="s">
        <v>158</v>
      </c>
      <c r="J12" s="14" t="s">
        <v>48</v>
      </c>
      <c r="K12" s="15">
        <v>10</v>
      </c>
      <c r="L12" s="16">
        <v>180240</v>
      </c>
      <c r="M12" s="17">
        <v>46127</v>
      </c>
      <c r="N12" s="18">
        <v>34669</v>
      </c>
      <c r="O12" s="14" t="s">
        <v>159</v>
      </c>
      <c r="P12" s="14" t="s">
        <v>160</v>
      </c>
      <c r="Q12" s="14" t="s">
        <v>161</v>
      </c>
      <c r="R12" s="14">
        <v>3.5</v>
      </c>
      <c r="S12" s="14">
        <v>85.4</v>
      </c>
      <c r="T12" s="14">
        <v>4</v>
      </c>
      <c r="U12" s="14">
        <v>59165</v>
      </c>
      <c r="V12" s="14">
        <v>13726537</v>
      </c>
      <c r="W12" s="14">
        <v>29</v>
      </c>
      <c r="X12" s="14">
        <v>28</v>
      </c>
      <c r="Y12" s="14" t="s">
        <v>69</v>
      </c>
      <c r="Z12" s="14" t="s">
        <v>111</v>
      </c>
      <c r="AA12" s="14">
        <v>26</v>
      </c>
      <c r="AB12" s="14">
        <v>10</v>
      </c>
      <c r="AC12" s="14">
        <v>2.1</v>
      </c>
      <c r="AD12" s="14" t="s">
        <v>140</v>
      </c>
      <c r="AE12" s="14">
        <v>463</v>
      </c>
      <c r="AF12" s="14">
        <v>241241</v>
      </c>
      <c r="AG12" s="14">
        <v>197288.55</v>
      </c>
      <c r="AH12" s="14">
        <v>43952.45</v>
      </c>
      <c r="AI12" s="14" t="s">
        <v>162</v>
      </c>
      <c r="AJ12" s="14" t="s">
        <v>113</v>
      </c>
      <c r="AK12" s="14" t="s">
        <v>57</v>
      </c>
      <c r="AL12" s="14">
        <v>4.3</v>
      </c>
      <c r="AM12" s="14">
        <v>25.5</v>
      </c>
      <c r="AN12" s="18">
        <v>45922</v>
      </c>
    </row>
    <row r="13" spans="1:40" thickTop="1" thickBot="1" x14ac:dyDescent="0.3">
      <c r="A13" s="13" t="s">
        <v>163</v>
      </c>
      <c r="B13" s="14" t="s">
        <v>164</v>
      </c>
      <c r="C13" s="14" t="s">
        <v>42</v>
      </c>
      <c r="D13" s="14">
        <v>41</v>
      </c>
      <c r="E13" s="14" t="s">
        <v>78</v>
      </c>
      <c r="F13" s="14" t="s">
        <v>165</v>
      </c>
      <c r="G13" s="14" t="s">
        <v>45</v>
      </c>
      <c r="H13" s="14" t="s">
        <v>135</v>
      </c>
      <c r="I13" s="14" t="s">
        <v>64</v>
      </c>
      <c r="J13" s="14" t="s">
        <v>48</v>
      </c>
      <c r="K13" s="15">
        <v>8</v>
      </c>
      <c r="L13" s="16">
        <v>39412</v>
      </c>
      <c r="M13" s="17">
        <v>45748</v>
      </c>
      <c r="N13" s="18">
        <v>32193</v>
      </c>
      <c r="O13" s="14" t="s">
        <v>166</v>
      </c>
      <c r="P13" s="14" t="s">
        <v>167</v>
      </c>
      <c r="Q13" s="14" t="s">
        <v>168</v>
      </c>
      <c r="R13" s="14">
        <v>4.45</v>
      </c>
      <c r="S13" s="14">
        <v>83.6</v>
      </c>
      <c r="T13" s="14">
        <v>21</v>
      </c>
      <c r="U13" s="14">
        <v>289964</v>
      </c>
      <c r="V13" s="14">
        <v>7508855</v>
      </c>
      <c r="W13" s="14">
        <v>34</v>
      </c>
      <c r="X13" s="14">
        <v>19</v>
      </c>
      <c r="Y13" s="14" t="s">
        <v>52</v>
      </c>
      <c r="Z13" s="14" t="s">
        <v>111</v>
      </c>
      <c r="AA13" s="14">
        <v>37</v>
      </c>
      <c r="AB13" s="14">
        <v>31</v>
      </c>
      <c r="AC13" s="14">
        <v>3.1</v>
      </c>
      <c r="AD13" s="14" t="s">
        <v>155</v>
      </c>
      <c r="AE13" s="14">
        <v>480</v>
      </c>
      <c r="AF13" s="14">
        <v>296332</v>
      </c>
      <c r="AG13" s="14">
        <v>234129.97</v>
      </c>
      <c r="AH13" s="14">
        <v>62202.03</v>
      </c>
      <c r="AI13" s="14" t="s">
        <v>150</v>
      </c>
      <c r="AJ13" s="14" t="s">
        <v>169</v>
      </c>
      <c r="AK13" s="14" t="s">
        <v>123</v>
      </c>
      <c r="AL13" s="14">
        <v>1.2</v>
      </c>
      <c r="AM13" s="14">
        <v>6.1</v>
      </c>
      <c r="AN13" s="18">
        <v>45977</v>
      </c>
    </row>
    <row r="14" spans="1:40" thickTop="1" thickBot="1" x14ac:dyDescent="0.3">
      <c r="A14" s="13" t="s">
        <v>170</v>
      </c>
      <c r="B14" s="14" t="s">
        <v>171</v>
      </c>
      <c r="C14" s="14" t="s">
        <v>143</v>
      </c>
      <c r="D14" s="14">
        <v>32</v>
      </c>
      <c r="E14" s="14" t="s">
        <v>43</v>
      </c>
      <c r="F14" s="14" t="s">
        <v>133</v>
      </c>
      <c r="G14" s="14" t="s">
        <v>45</v>
      </c>
      <c r="H14" s="14" t="s">
        <v>116</v>
      </c>
      <c r="I14" s="14" t="s">
        <v>47</v>
      </c>
      <c r="J14" s="14" t="s">
        <v>48</v>
      </c>
      <c r="K14" s="15">
        <v>0</v>
      </c>
      <c r="L14" s="16">
        <v>227172</v>
      </c>
      <c r="M14" s="17">
        <v>46175</v>
      </c>
      <c r="N14" s="18">
        <v>35537</v>
      </c>
      <c r="O14" s="14" t="s">
        <v>172</v>
      </c>
      <c r="P14" s="14" t="s">
        <v>173</v>
      </c>
      <c r="Q14" s="14" t="s">
        <v>174</v>
      </c>
      <c r="R14" s="14">
        <v>1.43</v>
      </c>
      <c r="S14" s="14">
        <v>94.6</v>
      </c>
      <c r="T14" s="14">
        <v>27</v>
      </c>
      <c r="U14" s="14">
        <v>259523</v>
      </c>
      <c r="V14" s="14">
        <v>9658787</v>
      </c>
      <c r="W14" s="14">
        <v>50</v>
      </c>
      <c r="X14" s="14">
        <v>16</v>
      </c>
      <c r="Y14" s="14" t="s">
        <v>139</v>
      </c>
      <c r="Z14" s="14" t="s">
        <v>101</v>
      </c>
      <c r="AA14" s="14">
        <v>29</v>
      </c>
      <c r="AB14" s="14">
        <v>16</v>
      </c>
      <c r="AC14" s="14">
        <v>4.9000000000000004</v>
      </c>
      <c r="AD14" s="14" t="s">
        <v>71</v>
      </c>
      <c r="AE14" s="14">
        <v>101</v>
      </c>
      <c r="AF14" s="14">
        <v>413195</v>
      </c>
      <c r="AG14" s="14">
        <v>217411.83</v>
      </c>
      <c r="AH14" s="14">
        <v>195783.17</v>
      </c>
      <c r="AI14" s="14" t="s">
        <v>162</v>
      </c>
      <c r="AJ14" s="14" t="s">
        <v>73</v>
      </c>
      <c r="AK14" s="14" t="s">
        <v>123</v>
      </c>
      <c r="AL14" s="14">
        <v>4.9000000000000004</v>
      </c>
      <c r="AM14" s="14">
        <v>25.1</v>
      </c>
      <c r="AN14" s="18">
        <v>45672</v>
      </c>
    </row>
    <row r="15" spans="1:40" thickTop="1" thickBot="1" x14ac:dyDescent="0.3">
      <c r="A15" s="13" t="s">
        <v>175</v>
      </c>
      <c r="B15" s="14" t="s">
        <v>176</v>
      </c>
      <c r="C15" s="14" t="s">
        <v>106</v>
      </c>
      <c r="D15" s="14">
        <v>24</v>
      </c>
      <c r="E15" s="14" t="s">
        <v>78</v>
      </c>
      <c r="F15" s="14" t="s">
        <v>92</v>
      </c>
      <c r="G15" s="14" t="s">
        <v>80</v>
      </c>
      <c r="H15" s="14" t="s">
        <v>46</v>
      </c>
      <c r="I15" s="14" t="s">
        <v>158</v>
      </c>
      <c r="J15" s="14" t="s">
        <v>48</v>
      </c>
      <c r="K15" s="15">
        <v>14</v>
      </c>
      <c r="L15" s="16">
        <v>83588</v>
      </c>
      <c r="M15" s="17">
        <v>45819</v>
      </c>
      <c r="N15" s="18">
        <v>32356</v>
      </c>
      <c r="O15" s="14" t="s">
        <v>177</v>
      </c>
      <c r="P15" s="14" t="s">
        <v>178</v>
      </c>
      <c r="Q15" s="14" t="s">
        <v>120</v>
      </c>
      <c r="R15" s="14">
        <v>4.8899999999999997</v>
      </c>
      <c r="S15" s="14">
        <v>86.4</v>
      </c>
      <c r="T15" s="14">
        <v>15</v>
      </c>
      <c r="U15" s="14">
        <v>18060</v>
      </c>
      <c r="V15" s="14">
        <v>5693352</v>
      </c>
      <c r="W15" s="14">
        <v>27</v>
      </c>
      <c r="X15" s="14">
        <v>11</v>
      </c>
      <c r="Y15" s="14" t="s">
        <v>52</v>
      </c>
      <c r="Z15" s="14" t="s">
        <v>111</v>
      </c>
      <c r="AA15" s="14">
        <v>28</v>
      </c>
      <c r="AB15" s="14">
        <v>5</v>
      </c>
      <c r="AC15" s="14">
        <v>2.2999999999999998</v>
      </c>
      <c r="AD15" s="14" t="s">
        <v>179</v>
      </c>
      <c r="AE15" s="14">
        <v>243</v>
      </c>
      <c r="AF15" s="14">
        <v>403439</v>
      </c>
      <c r="AG15" s="14">
        <v>312885.53999999998</v>
      </c>
      <c r="AH15" s="14">
        <v>90553.46</v>
      </c>
      <c r="AI15" s="14" t="s">
        <v>55</v>
      </c>
      <c r="AJ15" s="14" t="s">
        <v>56</v>
      </c>
      <c r="AK15" s="14" t="s">
        <v>57</v>
      </c>
      <c r="AL15" s="14">
        <v>2</v>
      </c>
      <c r="AM15" s="14">
        <v>23.3</v>
      </c>
      <c r="AN15" s="18">
        <v>45751</v>
      </c>
    </row>
    <row r="16" spans="1:40" thickTop="1" thickBot="1" x14ac:dyDescent="0.3">
      <c r="A16" s="13" t="s">
        <v>180</v>
      </c>
      <c r="B16" s="14" t="s">
        <v>181</v>
      </c>
      <c r="C16" s="14" t="s">
        <v>60</v>
      </c>
      <c r="D16" s="14">
        <v>22</v>
      </c>
      <c r="E16" s="14" t="s">
        <v>43</v>
      </c>
      <c r="F16" s="14" t="s">
        <v>165</v>
      </c>
      <c r="G16" s="14" t="s">
        <v>126</v>
      </c>
      <c r="H16" s="14" t="s">
        <v>157</v>
      </c>
      <c r="I16" s="14" t="s">
        <v>95</v>
      </c>
      <c r="J16" s="14" t="s">
        <v>65</v>
      </c>
      <c r="K16" s="15">
        <v>12</v>
      </c>
      <c r="L16" s="16">
        <v>235359</v>
      </c>
      <c r="M16" s="17">
        <v>45991</v>
      </c>
      <c r="N16" s="18">
        <v>37838</v>
      </c>
      <c r="O16" s="14" t="s">
        <v>182</v>
      </c>
      <c r="P16" s="14" t="s">
        <v>183</v>
      </c>
      <c r="Q16" s="14" t="s">
        <v>184</v>
      </c>
      <c r="R16" s="14">
        <v>1.58</v>
      </c>
      <c r="S16" s="14">
        <v>94.7</v>
      </c>
      <c r="T16" s="14">
        <v>32</v>
      </c>
      <c r="U16" s="14">
        <v>225047</v>
      </c>
      <c r="V16" s="14">
        <v>12811995</v>
      </c>
      <c r="W16" s="14">
        <v>64</v>
      </c>
      <c r="X16" s="14">
        <v>4</v>
      </c>
      <c r="Y16" s="14" t="s">
        <v>149</v>
      </c>
      <c r="Z16" s="14" t="s">
        <v>101</v>
      </c>
      <c r="AA16" s="14">
        <v>3</v>
      </c>
      <c r="AB16" s="14">
        <v>3</v>
      </c>
      <c r="AC16" s="14">
        <v>1.3</v>
      </c>
      <c r="AD16" s="14" t="s">
        <v>140</v>
      </c>
      <c r="AE16" s="14">
        <v>68</v>
      </c>
      <c r="AF16" s="14">
        <v>90426</v>
      </c>
      <c r="AG16" s="14">
        <v>54058.39</v>
      </c>
      <c r="AH16" s="14">
        <v>36367.61</v>
      </c>
      <c r="AI16" s="14" t="s">
        <v>14</v>
      </c>
      <c r="AJ16" s="14" t="s">
        <v>122</v>
      </c>
      <c r="AK16" s="14" t="s">
        <v>87</v>
      </c>
      <c r="AL16" s="14">
        <v>4.3</v>
      </c>
      <c r="AM16" s="14">
        <v>16.8</v>
      </c>
      <c r="AN16" s="18">
        <v>46300</v>
      </c>
    </row>
    <row r="17" spans="1:40" thickTop="1" thickBot="1" x14ac:dyDescent="0.3">
      <c r="A17" s="13" t="s">
        <v>129</v>
      </c>
      <c r="B17" s="14" t="s">
        <v>42</v>
      </c>
      <c r="C17" s="14" t="s">
        <v>106</v>
      </c>
      <c r="D17" s="14">
        <v>21</v>
      </c>
      <c r="E17" s="14" t="s">
        <v>43</v>
      </c>
      <c r="F17" s="14" t="s">
        <v>79</v>
      </c>
      <c r="G17" s="14" t="s">
        <v>185</v>
      </c>
      <c r="H17" s="14" t="s">
        <v>157</v>
      </c>
      <c r="I17" s="14" t="s">
        <v>64</v>
      </c>
      <c r="J17" s="14" t="s">
        <v>117</v>
      </c>
      <c r="K17" s="15">
        <v>25</v>
      </c>
      <c r="L17" s="16">
        <v>54516</v>
      </c>
      <c r="M17" s="17">
        <v>45929</v>
      </c>
      <c r="N17" s="18">
        <v>32136</v>
      </c>
      <c r="O17" s="14" t="s">
        <v>186</v>
      </c>
      <c r="P17" s="14" t="s">
        <v>187</v>
      </c>
      <c r="Q17" s="14" t="s">
        <v>188</v>
      </c>
      <c r="R17" s="14">
        <v>3.6</v>
      </c>
      <c r="S17" s="14">
        <v>83.8</v>
      </c>
      <c r="T17" s="14">
        <v>24</v>
      </c>
      <c r="U17" s="14">
        <v>40233</v>
      </c>
      <c r="V17" s="14">
        <v>8536456</v>
      </c>
      <c r="W17" s="14">
        <v>36</v>
      </c>
      <c r="X17" s="14">
        <v>24</v>
      </c>
      <c r="Y17" s="14" t="s">
        <v>149</v>
      </c>
      <c r="Z17" s="14" t="s">
        <v>101</v>
      </c>
      <c r="AA17" s="14">
        <v>32</v>
      </c>
      <c r="AB17" s="14">
        <v>16</v>
      </c>
      <c r="AC17" s="14">
        <v>1.3</v>
      </c>
      <c r="AD17" s="14" t="s">
        <v>189</v>
      </c>
      <c r="AE17" s="14">
        <v>169</v>
      </c>
      <c r="AF17" s="14">
        <v>293629</v>
      </c>
      <c r="AG17" s="14">
        <v>206082.26</v>
      </c>
      <c r="AH17" s="14">
        <v>87546.74</v>
      </c>
      <c r="AI17" s="14" t="s">
        <v>55</v>
      </c>
      <c r="AJ17" s="14" t="s">
        <v>113</v>
      </c>
      <c r="AK17" s="14" t="s">
        <v>103</v>
      </c>
      <c r="AL17" s="14">
        <v>3.3</v>
      </c>
      <c r="AM17" s="14">
        <v>0.4</v>
      </c>
      <c r="AN17" s="18">
        <v>45720</v>
      </c>
    </row>
    <row r="18" spans="1:40" thickTop="1" thickBot="1" x14ac:dyDescent="0.3">
      <c r="A18" s="13" t="s">
        <v>190</v>
      </c>
      <c r="B18" s="14" t="s">
        <v>105</v>
      </c>
      <c r="C18" s="14" t="s">
        <v>191</v>
      </c>
      <c r="D18" s="14">
        <v>52</v>
      </c>
      <c r="E18" s="14" t="s">
        <v>43</v>
      </c>
      <c r="F18" s="14" t="s">
        <v>61</v>
      </c>
      <c r="G18" s="14" t="s">
        <v>80</v>
      </c>
      <c r="H18" s="14" t="s">
        <v>81</v>
      </c>
      <c r="I18" s="14" t="s">
        <v>64</v>
      </c>
      <c r="J18" s="14" t="s">
        <v>145</v>
      </c>
      <c r="K18" s="15">
        <v>24</v>
      </c>
      <c r="L18" s="16">
        <v>66064</v>
      </c>
      <c r="M18" s="17">
        <v>46220</v>
      </c>
      <c r="N18" s="18">
        <v>31535</v>
      </c>
      <c r="O18" s="14" t="s">
        <v>192</v>
      </c>
      <c r="P18" s="14" t="s">
        <v>193</v>
      </c>
      <c r="Q18" s="14" t="s">
        <v>194</v>
      </c>
      <c r="R18" s="14">
        <v>2.84</v>
      </c>
      <c r="S18" s="14">
        <v>94.6</v>
      </c>
      <c r="T18" s="14">
        <v>28</v>
      </c>
      <c r="U18" s="14">
        <v>140853</v>
      </c>
      <c r="V18" s="14">
        <v>6990238</v>
      </c>
      <c r="W18" s="14">
        <v>26</v>
      </c>
      <c r="X18" s="14">
        <v>29</v>
      </c>
      <c r="Y18" s="14" t="s">
        <v>121</v>
      </c>
      <c r="Z18" s="14" t="s">
        <v>111</v>
      </c>
      <c r="AA18" s="14">
        <v>14</v>
      </c>
      <c r="AB18" s="14">
        <v>10</v>
      </c>
      <c r="AC18" s="14">
        <v>3.3</v>
      </c>
      <c r="AD18" s="14" t="s">
        <v>189</v>
      </c>
      <c r="AE18" s="14">
        <v>382</v>
      </c>
      <c r="AF18" s="14">
        <v>367322</v>
      </c>
      <c r="AG18" s="14">
        <v>178820.45</v>
      </c>
      <c r="AH18" s="14">
        <v>188501.55</v>
      </c>
      <c r="AI18" s="14" t="s">
        <v>55</v>
      </c>
      <c r="AJ18" s="19" t="s">
        <v>113</v>
      </c>
      <c r="AK18" s="14" t="s">
        <v>57</v>
      </c>
      <c r="AL18" s="14">
        <v>3.4</v>
      </c>
      <c r="AM18" s="14">
        <v>19</v>
      </c>
      <c r="AN18" s="18">
        <v>45944</v>
      </c>
    </row>
    <row r="19" spans="1:40" thickTop="1" thickBot="1" x14ac:dyDescent="0.3">
      <c r="A19" s="13" t="s">
        <v>195</v>
      </c>
      <c r="B19" s="14" t="s">
        <v>196</v>
      </c>
      <c r="C19" s="14" t="s">
        <v>115</v>
      </c>
      <c r="D19" s="14">
        <v>22</v>
      </c>
      <c r="E19" s="14" t="s">
        <v>78</v>
      </c>
      <c r="F19" s="14" t="s">
        <v>144</v>
      </c>
      <c r="G19" s="14" t="s">
        <v>197</v>
      </c>
      <c r="H19" s="14" t="s">
        <v>81</v>
      </c>
      <c r="I19" s="14" t="s">
        <v>64</v>
      </c>
      <c r="J19" s="14" t="s">
        <v>117</v>
      </c>
      <c r="K19" s="15">
        <v>23</v>
      </c>
      <c r="L19" s="16">
        <v>71885</v>
      </c>
      <c r="M19" s="17">
        <v>46084</v>
      </c>
      <c r="N19" s="18">
        <v>33430</v>
      </c>
      <c r="O19" s="14" t="s">
        <v>198</v>
      </c>
      <c r="P19" s="14" t="s">
        <v>199</v>
      </c>
      <c r="Q19" s="14" t="s">
        <v>40</v>
      </c>
      <c r="R19" s="14">
        <v>2.2999999999999998</v>
      </c>
      <c r="S19" s="14">
        <v>80.099999999999994</v>
      </c>
      <c r="T19" s="14">
        <v>25</v>
      </c>
      <c r="U19" s="14">
        <v>62936</v>
      </c>
      <c r="V19" s="14">
        <v>3783991</v>
      </c>
      <c r="W19" s="14">
        <v>1</v>
      </c>
      <c r="X19" s="14">
        <v>28</v>
      </c>
      <c r="Y19" s="14" t="s">
        <v>139</v>
      </c>
      <c r="Z19" s="14" t="s">
        <v>53</v>
      </c>
      <c r="AA19" s="14">
        <v>32</v>
      </c>
      <c r="AB19" s="14">
        <v>25</v>
      </c>
      <c r="AC19" s="14">
        <v>2.5</v>
      </c>
      <c r="AD19" s="14" t="s">
        <v>130</v>
      </c>
      <c r="AE19" s="14">
        <v>199</v>
      </c>
      <c r="AF19" s="14">
        <v>206463</v>
      </c>
      <c r="AG19" s="14">
        <v>110584.05</v>
      </c>
      <c r="AH19" s="14">
        <v>95878.95</v>
      </c>
      <c r="AI19" s="14" t="s">
        <v>150</v>
      </c>
      <c r="AJ19" s="14" t="s">
        <v>113</v>
      </c>
      <c r="AK19" s="14" t="s">
        <v>87</v>
      </c>
      <c r="AL19" s="14">
        <v>4</v>
      </c>
      <c r="AM19" s="14">
        <v>25.6</v>
      </c>
      <c r="AN19" s="18">
        <v>45945</v>
      </c>
    </row>
    <row r="20" spans="1:40" thickTop="1" thickBot="1" x14ac:dyDescent="0.3">
      <c r="A20" s="13" t="s">
        <v>200</v>
      </c>
      <c r="B20" s="14" t="s">
        <v>196</v>
      </c>
      <c r="C20" s="14" t="s">
        <v>201</v>
      </c>
      <c r="D20" s="14">
        <v>38</v>
      </c>
      <c r="E20" s="14" t="s">
        <v>43</v>
      </c>
      <c r="F20" s="14" t="s">
        <v>61</v>
      </c>
      <c r="G20" s="14" t="s">
        <v>93</v>
      </c>
      <c r="H20" s="14" t="s">
        <v>46</v>
      </c>
      <c r="I20" s="14" t="s">
        <v>158</v>
      </c>
      <c r="J20" s="14" t="s">
        <v>145</v>
      </c>
      <c r="K20" s="15">
        <v>28</v>
      </c>
      <c r="L20" s="16">
        <v>42605</v>
      </c>
      <c r="M20" s="17">
        <v>46067</v>
      </c>
      <c r="N20" s="18">
        <v>35680</v>
      </c>
      <c r="O20" s="14" t="s">
        <v>202</v>
      </c>
      <c r="P20" s="14" t="s">
        <v>203</v>
      </c>
      <c r="Q20" s="14" t="s">
        <v>204</v>
      </c>
      <c r="R20" s="14">
        <v>2.64</v>
      </c>
      <c r="S20" s="14">
        <v>88.4</v>
      </c>
      <c r="T20" s="14">
        <v>8</v>
      </c>
      <c r="U20" s="14">
        <v>150055</v>
      </c>
      <c r="V20" s="14">
        <v>8646598</v>
      </c>
      <c r="W20" s="14">
        <v>6</v>
      </c>
      <c r="X20" s="14">
        <v>29</v>
      </c>
      <c r="Y20" s="14" t="s">
        <v>52</v>
      </c>
      <c r="Z20" s="14" t="s">
        <v>101</v>
      </c>
      <c r="AA20" s="14">
        <v>10</v>
      </c>
      <c r="AB20" s="14">
        <v>3</v>
      </c>
      <c r="AC20" s="14">
        <v>2.9</v>
      </c>
      <c r="AD20" s="14" t="s">
        <v>71</v>
      </c>
      <c r="AE20" s="14">
        <v>144</v>
      </c>
      <c r="AF20" s="14">
        <v>362067</v>
      </c>
      <c r="AG20" s="14">
        <v>201193.60000000001</v>
      </c>
      <c r="AH20" s="14">
        <v>160873.4</v>
      </c>
      <c r="AI20" s="14" t="s">
        <v>55</v>
      </c>
      <c r="AJ20" s="14" t="s">
        <v>113</v>
      </c>
      <c r="AK20" s="14" t="s">
        <v>123</v>
      </c>
      <c r="AL20" s="14">
        <v>2.6</v>
      </c>
      <c r="AM20" s="14">
        <v>7.2</v>
      </c>
      <c r="AN20" s="18">
        <v>46152</v>
      </c>
    </row>
    <row r="21" spans="1:40" thickTop="1" thickBot="1" x14ac:dyDescent="0.3">
      <c r="A21" s="13" t="s">
        <v>205</v>
      </c>
      <c r="B21" s="14" t="s">
        <v>206</v>
      </c>
      <c r="C21" s="14" t="s">
        <v>106</v>
      </c>
      <c r="D21" s="14">
        <v>25</v>
      </c>
      <c r="E21" s="14" t="s">
        <v>78</v>
      </c>
      <c r="F21" s="14" t="s">
        <v>61</v>
      </c>
      <c r="G21" s="14" t="s">
        <v>197</v>
      </c>
      <c r="H21" s="14" t="s">
        <v>46</v>
      </c>
      <c r="I21" s="14" t="s">
        <v>64</v>
      </c>
      <c r="J21" s="14" t="s">
        <v>117</v>
      </c>
      <c r="K21" s="15">
        <v>24</v>
      </c>
      <c r="L21" s="16">
        <v>152954</v>
      </c>
      <c r="M21" s="17">
        <v>46095</v>
      </c>
      <c r="N21" s="18">
        <v>30932</v>
      </c>
      <c r="O21" s="14" t="s">
        <v>207</v>
      </c>
      <c r="P21" s="14" t="s">
        <v>208</v>
      </c>
      <c r="Q21" s="14" t="s">
        <v>209</v>
      </c>
      <c r="R21" s="14">
        <v>2.37</v>
      </c>
      <c r="S21" s="14">
        <v>72.7</v>
      </c>
      <c r="T21" s="14">
        <v>15</v>
      </c>
      <c r="U21" s="14">
        <v>193098</v>
      </c>
      <c r="V21" s="14">
        <v>4834520</v>
      </c>
      <c r="W21" s="14">
        <v>72</v>
      </c>
      <c r="X21" s="14">
        <v>6</v>
      </c>
      <c r="Y21" s="14" t="s">
        <v>149</v>
      </c>
      <c r="Z21" s="14" t="s">
        <v>70</v>
      </c>
      <c r="AA21" s="14">
        <v>42</v>
      </c>
      <c r="AB21" s="14">
        <v>10</v>
      </c>
      <c r="AC21" s="14">
        <v>2.5</v>
      </c>
      <c r="AD21" s="14" t="s">
        <v>54</v>
      </c>
      <c r="AE21" s="14">
        <v>107</v>
      </c>
      <c r="AF21" s="14">
        <v>221762</v>
      </c>
      <c r="AG21" s="14">
        <v>109618.01</v>
      </c>
      <c r="AH21" s="14">
        <v>112143.99</v>
      </c>
      <c r="AI21" s="14" t="s">
        <v>131</v>
      </c>
      <c r="AJ21" s="14" t="s">
        <v>113</v>
      </c>
      <c r="AK21" s="14" t="s">
        <v>123</v>
      </c>
      <c r="AL21" s="14">
        <v>4</v>
      </c>
      <c r="AM21" s="14">
        <v>14.9</v>
      </c>
      <c r="AN21" s="18">
        <v>46246</v>
      </c>
    </row>
    <row r="22" spans="1:40" thickTop="1" thickBot="1" x14ac:dyDescent="0.3">
      <c r="A22" s="13" t="s">
        <v>210</v>
      </c>
      <c r="B22" s="14" t="s">
        <v>59</v>
      </c>
      <c r="C22" s="14" t="s">
        <v>42</v>
      </c>
      <c r="D22" s="14">
        <v>26</v>
      </c>
      <c r="E22" s="14" t="s">
        <v>43</v>
      </c>
      <c r="F22" s="14" t="s">
        <v>211</v>
      </c>
      <c r="G22" s="14" t="s">
        <v>62</v>
      </c>
      <c r="H22" s="14" t="s">
        <v>94</v>
      </c>
      <c r="I22" s="14" t="s">
        <v>64</v>
      </c>
      <c r="J22" s="14" t="s">
        <v>145</v>
      </c>
      <c r="K22" s="15">
        <v>30</v>
      </c>
      <c r="L22" s="16">
        <v>116793</v>
      </c>
      <c r="M22" s="17">
        <v>45680</v>
      </c>
      <c r="N22" s="18">
        <v>30695</v>
      </c>
      <c r="O22" s="14" t="s">
        <v>212</v>
      </c>
      <c r="P22" s="14" t="s">
        <v>213</v>
      </c>
      <c r="Q22" s="14" t="s">
        <v>214</v>
      </c>
      <c r="R22" s="14">
        <v>1</v>
      </c>
      <c r="S22" s="14">
        <v>81.7</v>
      </c>
      <c r="T22" s="14">
        <v>33</v>
      </c>
      <c r="U22" s="14">
        <v>245446</v>
      </c>
      <c r="V22" s="14">
        <v>8032138</v>
      </c>
      <c r="W22" s="14">
        <v>31</v>
      </c>
      <c r="X22" s="14">
        <v>25</v>
      </c>
      <c r="Y22" s="14" t="s">
        <v>69</v>
      </c>
      <c r="Z22" s="14" t="s">
        <v>101</v>
      </c>
      <c r="AA22" s="14">
        <v>41</v>
      </c>
      <c r="AB22" s="14">
        <v>13</v>
      </c>
      <c r="AC22" s="14">
        <v>1.6</v>
      </c>
      <c r="AD22" s="14" t="s">
        <v>54</v>
      </c>
      <c r="AE22" s="14">
        <v>497</v>
      </c>
      <c r="AF22" s="14">
        <v>375056</v>
      </c>
      <c r="AG22" s="14">
        <v>238631.79</v>
      </c>
      <c r="AH22" s="14">
        <v>136424.21</v>
      </c>
      <c r="AI22" s="14" t="s">
        <v>150</v>
      </c>
      <c r="AJ22" s="14" t="s">
        <v>73</v>
      </c>
      <c r="AK22" s="14" t="s">
        <v>74</v>
      </c>
      <c r="AL22" s="14">
        <v>3.2</v>
      </c>
      <c r="AM22" s="14">
        <v>1.2</v>
      </c>
      <c r="AN22" s="18">
        <v>45786</v>
      </c>
    </row>
    <row r="23" spans="1:40" thickTop="1" thickBot="1" x14ac:dyDescent="0.3">
      <c r="A23" s="13" t="s">
        <v>215</v>
      </c>
      <c r="B23" s="14" t="s">
        <v>216</v>
      </c>
      <c r="C23" s="14" t="s">
        <v>217</v>
      </c>
      <c r="D23" s="14">
        <v>37</v>
      </c>
      <c r="E23" s="14" t="s">
        <v>91</v>
      </c>
      <c r="F23" s="14" t="s">
        <v>92</v>
      </c>
      <c r="G23" s="14" t="s">
        <v>185</v>
      </c>
      <c r="H23" s="14" t="s">
        <v>157</v>
      </c>
      <c r="I23" s="14" t="s">
        <v>47</v>
      </c>
      <c r="J23" s="14" t="s">
        <v>117</v>
      </c>
      <c r="K23" s="15">
        <v>16</v>
      </c>
      <c r="L23" s="16">
        <v>187801</v>
      </c>
      <c r="M23" s="17">
        <v>45854</v>
      </c>
      <c r="N23" s="18">
        <v>33732</v>
      </c>
      <c r="O23" s="14" t="s">
        <v>218</v>
      </c>
      <c r="P23" s="14" t="s">
        <v>219</v>
      </c>
      <c r="Q23" s="14" t="s">
        <v>58</v>
      </c>
      <c r="R23" s="14">
        <v>3.15</v>
      </c>
      <c r="S23" s="14">
        <v>99.9</v>
      </c>
      <c r="T23" s="14">
        <v>17</v>
      </c>
      <c r="U23" s="14">
        <v>165862</v>
      </c>
      <c r="V23" s="14">
        <v>11314184</v>
      </c>
      <c r="W23" s="14">
        <v>31</v>
      </c>
      <c r="X23" s="14">
        <v>15</v>
      </c>
      <c r="Y23" s="14" t="s">
        <v>121</v>
      </c>
      <c r="Z23" s="14" t="s">
        <v>101</v>
      </c>
      <c r="AA23" s="14">
        <v>20</v>
      </c>
      <c r="AB23" s="14">
        <v>4</v>
      </c>
      <c r="AC23" s="14">
        <v>1.1000000000000001</v>
      </c>
      <c r="AD23" s="14" t="s">
        <v>130</v>
      </c>
      <c r="AE23" s="14">
        <v>360</v>
      </c>
      <c r="AF23" s="14">
        <v>34708</v>
      </c>
      <c r="AG23" s="14">
        <v>23908.16</v>
      </c>
      <c r="AH23" s="14">
        <v>10799.84</v>
      </c>
      <c r="AI23" s="14" t="s">
        <v>55</v>
      </c>
      <c r="AJ23" s="14" t="s">
        <v>122</v>
      </c>
      <c r="AK23" s="14" t="s">
        <v>74</v>
      </c>
      <c r="AL23" s="14">
        <v>1.8</v>
      </c>
      <c r="AM23" s="14">
        <v>26.5</v>
      </c>
      <c r="AN23" s="18">
        <v>46088</v>
      </c>
    </row>
    <row r="24" spans="1:40" thickTop="1" thickBot="1" x14ac:dyDescent="0.3">
      <c r="A24" s="13" t="s">
        <v>209</v>
      </c>
      <c r="B24" s="14" t="s">
        <v>176</v>
      </c>
      <c r="C24" s="14" t="s">
        <v>191</v>
      </c>
      <c r="D24" s="14">
        <v>52</v>
      </c>
      <c r="E24" s="14" t="s">
        <v>78</v>
      </c>
      <c r="F24" s="14" t="s">
        <v>133</v>
      </c>
      <c r="G24" s="14" t="s">
        <v>62</v>
      </c>
      <c r="H24" s="14" t="s">
        <v>63</v>
      </c>
      <c r="I24" s="14" t="s">
        <v>64</v>
      </c>
      <c r="J24" s="14" t="s">
        <v>96</v>
      </c>
      <c r="K24" s="15">
        <v>0</v>
      </c>
      <c r="L24" s="16">
        <v>243945</v>
      </c>
      <c r="M24" s="17">
        <v>45957</v>
      </c>
      <c r="N24" s="18">
        <v>37867</v>
      </c>
      <c r="O24" s="14" t="s">
        <v>220</v>
      </c>
      <c r="P24" s="14" t="s">
        <v>221</v>
      </c>
      <c r="Q24" s="14" t="s">
        <v>222</v>
      </c>
      <c r="R24" s="14">
        <v>2.25</v>
      </c>
      <c r="S24" s="14">
        <v>94.6</v>
      </c>
      <c r="T24" s="14">
        <v>14</v>
      </c>
      <c r="U24" s="14">
        <v>243853</v>
      </c>
      <c r="V24" s="14">
        <v>4215193</v>
      </c>
      <c r="W24" s="14">
        <v>33</v>
      </c>
      <c r="X24" s="14">
        <v>24</v>
      </c>
      <c r="Y24" s="14" t="s">
        <v>139</v>
      </c>
      <c r="Z24" s="14" t="s">
        <v>111</v>
      </c>
      <c r="AA24" s="14">
        <v>24</v>
      </c>
      <c r="AB24" s="14">
        <v>7</v>
      </c>
      <c r="AC24" s="14">
        <v>4.8</v>
      </c>
      <c r="AD24" s="14" t="s">
        <v>112</v>
      </c>
      <c r="AE24" s="14">
        <v>312</v>
      </c>
      <c r="AF24" s="14">
        <v>134454</v>
      </c>
      <c r="AG24" s="14">
        <v>93703.87</v>
      </c>
      <c r="AH24" s="14">
        <v>40750.129999999997</v>
      </c>
      <c r="AI24" s="14" t="s">
        <v>162</v>
      </c>
      <c r="AJ24" s="14" t="s">
        <v>169</v>
      </c>
      <c r="AK24" s="14" t="s">
        <v>87</v>
      </c>
      <c r="AL24" s="14">
        <v>2.7</v>
      </c>
      <c r="AM24" s="14">
        <v>20</v>
      </c>
      <c r="AN24" s="18">
        <v>46267</v>
      </c>
    </row>
    <row r="25" spans="1:40" thickTop="1" thickBot="1" x14ac:dyDescent="0.3">
      <c r="A25" s="13" t="s">
        <v>223</v>
      </c>
      <c r="B25" s="14" t="s">
        <v>142</v>
      </c>
      <c r="C25" s="14" t="s">
        <v>90</v>
      </c>
      <c r="D25" s="14">
        <v>47</v>
      </c>
      <c r="E25" s="14" t="s">
        <v>78</v>
      </c>
      <c r="F25" s="14" t="s">
        <v>144</v>
      </c>
      <c r="G25" s="14" t="s">
        <v>134</v>
      </c>
      <c r="H25" s="14" t="s">
        <v>94</v>
      </c>
      <c r="I25" s="14" t="s">
        <v>64</v>
      </c>
      <c r="J25" s="14" t="s">
        <v>117</v>
      </c>
      <c r="K25" s="15">
        <v>23</v>
      </c>
      <c r="L25" s="16">
        <v>64676</v>
      </c>
      <c r="M25" s="17">
        <v>45739</v>
      </c>
      <c r="N25" s="18">
        <v>31205</v>
      </c>
      <c r="O25" s="14" t="s">
        <v>224</v>
      </c>
      <c r="P25" s="14" t="s">
        <v>225</v>
      </c>
      <c r="Q25" s="14" t="s">
        <v>226</v>
      </c>
      <c r="R25" s="14">
        <v>3.99</v>
      </c>
      <c r="S25" s="14">
        <v>71</v>
      </c>
      <c r="T25" s="14">
        <v>24</v>
      </c>
      <c r="U25" s="14">
        <v>196022</v>
      </c>
      <c r="V25" s="14">
        <v>6064960</v>
      </c>
      <c r="W25" s="14">
        <v>56</v>
      </c>
      <c r="X25" s="14">
        <v>5</v>
      </c>
      <c r="Y25" s="14" t="s">
        <v>69</v>
      </c>
      <c r="Z25" s="14" t="s">
        <v>111</v>
      </c>
      <c r="AA25" s="14">
        <v>39</v>
      </c>
      <c r="AB25" s="14">
        <v>9</v>
      </c>
      <c r="AC25" s="14">
        <v>1.3</v>
      </c>
      <c r="AD25" s="14" t="s">
        <v>179</v>
      </c>
      <c r="AE25" s="14">
        <v>179</v>
      </c>
      <c r="AF25" s="14">
        <v>43499</v>
      </c>
      <c r="AG25" s="14">
        <v>23001.89</v>
      </c>
      <c r="AH25" s="14">
        <v>20497.11</v>
      </c>
      <c r="AI25" s="14" t="s">
        <v>131</v>
      </c>
      <c r="AJ25" s="14" t="s">
        <v>122</v>
      </c>
      <c r="AK25" s="14" t="s">
        <v>103</v>
      </c>
      <c r="AL25" s="14">
        <v>4.9000000000000004</v>
      </c>
      <c r="AM25" s="14">
        <v>6.2</v>
      </c>
      <c r="AN25" s="18">
        <v>46023</v>
      </c>
    </row>
    <row r="26" spans="1:40" thickTop="1" thickBot="1" x14ac:dyDescent="0.3">
      <c r="A26" s="13" t="s">
        <v>227</v>
      </c>
      <c r="B26" s="14" t="s">
        <v>171</v>
      </c>
      <c r="C26" s="14" t="s">
        <v>90</v>
      </c>
      <c r="D26" s="14">
        <v>44</v>
      </c>
      <c r="E26" s="14" t="s">
        <v>91</v>
      </c>
      <c r="F26" s="14" t="s">
        <v>228</v>
      </c>
      <c r="G26" s="14" t="s">
        <v>126</v>
      </c>
      <c r="H26" s="14" t="s">
        <v>63</v>
      </c>
      <c r="I26" s="14" t="s">
        <v>158</v>
      </c>
      <c r="J26" s="14" t="s">
        <v>145</v>
      </c>
      <c r="K26" s="15">
        <v>0</v>
      </c>
      <c r="L26" s="16">
        <v>200586</v>
      </c>
      <c r="M26" s="17">
        <v>46078</v>
      </c>
      <c r="N26" s="18">
        <v>32106</v>
      </c>
      <c r="O26" s="14" t="s">
        <v>229</v>
      </c>
      <c r="P26" s="14" t="s">
        <v>230</v>
      </c>
      <c r="Q26" s="14" t="s">
        <v>231</v>
      </c>
      <c r="R26" s="14">
        <v>1.1399999999999999</v>
      </c>
      <c r="S26" s="14">
        <v>71.900000000000006</v>
      </c>
      <c r="T26" s="14">
        <v>3</v>
      </c>
      <c r="U26" s="14">
        <v>134750</v>
      </c>
      <c r="V26" s="14">
        <v>3770574</v>
      </c>
      <c r="W26" s="14">
        <v>8</v>
      </c>
      <c r="X26" s="14">
        <v>28</v>
      </c>
      <c r="Y26" s="14" t="s">
        <v>100</v>
      </c>
      <c r="Z26" s="14" t="s">
        <v>53</v>
      </c>
      <c r="AA26" s="14">
        <v>31</v>
      </c>
      <c r="AB26" s="14">
        <v>12</v>
      </c>
      <c r="AC26" s="14">
        <v>2.1</v>
      </c>
      <c r="AD26" s="14" t="s">
        <v>232</v>
      </c>
      <c r="AE26" s="14">
        <v>22</v>
      </c>
      <c r="AF26" s="14">
        <v>61011</v>
      </c>
      <c r="AG26" s="14">
        <v>28566.89</v>
      </c>
      <c r="AH26" s="14">
        <v>32444.11</v>
      </c>
      <c r="AI26" s="14" t="s">
        <v>55</v>
      </c>
      <c r="AJ26" s="14" t="s">
        <v>113</v>
      </c>
      <c r="AK26" s="14" t="s">
        <v>123</v>
      </c>
      <c r="AL26" s="14">
        <v>2.2000000000000002</v>
      </c>
      <c r="AM26" s="14">
        <v>21.6</v>
      </c>
      <c r="AN26" s="18">
        <v>46267</v>
      </c>
    </row>
    <row r="27" spans="1:40" thickTop="1" thickBot="1" x14ac:dyDescent="0.3">
      <c r="A27" s="13" t="s">
        <v>222</v>
      </c>
      <c r="B27" s="14" t="s">
        <v>176</v>
      </c>
      <c r="C27" s="14" t="s">
        <v>201</v>
      </c>
      <c r="D27" s="14">
        <v>45</v>
      </c>
      <c r="E27" s="14" t="s">
        <v>43</v>
      </c>
      <c r="F27" s="14" t="s">
        <v>92</v>
      </c>
      <c r="G27" s="14" t="s">
        <v>197</v>
      </c>
      <c r="H27" s="14" t="s">
        <v>135</v>
      </c>
      <c r="I27" s="14" t="s">
        <v>64</v>
      </c>
      <c r="J27" s="14" t="s">
        <v>96</v>
      </c>
      <c r="K27" s="15">
        <v>0</v>
      </c>
      <c r="L27" s="16">
        <v>245388</v>
      </c>
      <c r="M27" s="17">
        <v>45968</v>
      </c>
      <c r="N27" s="18">
        <v>37335</v>
      </c>
      <c r="O27" s="14" t="s">
        <v>233</v>
      </c>
      <c r="P27" s="14" t="s">
        <v>234</v>
      </c>
      <c r="Q27" s="14" t="s">
        <v>235</v>
      </c>
      <c r="R27" s="14">
        <v>2.84</v>
      </c>
      <c r="S27" s="14">
        <v>93.5</v>
      </c>
      <c r="T27" s="14">
        <v>5</v>
      </c>
      <c r="U27" s="14">
        <v>268375</v>
      </c>
      <c r="V27" s="14">
        <v>3810342</v>
      </c>
      <c r="W27" s="14">
        <v>50</v>
      </c>
      <c r="X27" s="14">
        <v>24</v>
      </c>
      <c r="Y27" s="14" t="s">
        <v>52</v>
      </c>
      <c r="Z27" s="14" t="s">
        <v>101</v>
      </c>
      <c r="AA27" s="14">
        <v>31</v>
      </c>
      <c r="AB27" s="14">
        <v>29</v>
      </c>
      <c r="AC27" s="14">
        <v>2.6</v>
      </c>
      <c r="AD27" s="14" t="s">
        <v>140</v>
      </c>
      <c r="AE27" s="14">
        <v>246</v>
      </c>
      <c r="AF27" s="14">
        <v>448071</v>
      </c>
      <c r="AG27" s="14">
        <v>240403.76</v>
      </c>
      <c r="AH27" s="14">
        <v>207667.24</v>
      </c>
      <c r="AI27" s="14" t="s">
        <v>14</v>
      </c>
      <c r="AJ27" s="14" t="s">
        <v>169</v>
      </c>
      <c r="AK27" s="14" t="s">
        <v>87</v>
      </c>
      <c r="AL27" s="14">
        <v>4.5</v>
      </c>
      <c r="AM27" s="14">
        <v>29.6</v>
      </c>
      <c r="AN27" s="18">
        <v>45929</v>
      </c>
    </row>
    <row r="28" spans="1:40" thickTop="1" thickBot="1" x14ac:dyDescent="0.3">
      <c r="A28" s="13" t="s">
        <v>110</v>
      </c>
      <c r="B28" s="14" t="s">
        <v>236</v>
      </c>
      <c r="C28" s="14" t="s">
        <v>60</v>
      </c>
      <c r="D28" s="14">
        <v>32</v>
      </c>
      <c r="E28" s="14" t="s">
        <v>78</v>
      </c>
      <c r="F28" s="14" t="s">
        <v>237</v>
      </c>
      <c r="G28" s="14" t="s">
        <v>62</v>
      </c>
      <c r="H28" s="14" t="s">
        <v>81</v>
      </c>
      <c r="I28" s="14" t="s">
        <v>95</v>
      </c>
      <c r="J28" s="14" t="s">
        <v>65</v>
      </c>
      <c r="K28" s="15">
        <v>27</v>
      </c>
      <c r="L28" s="16">
        <v>237866</v>
      </c>
      <c r="M28" s="17">
        <v>45782</v>
      </c>
      <c r="N28" s="18">
        <v>38117</v>
      </c>
      <c r="O28" s="14" t="s">
        <v>238</v>
      </c>
      <c r="P28" s="14" t="s">
        <v>239</v>
      </c>
      <c r="Q28" s="14" t="s">
        <v>240</v>
      </c>
      <c r="R28" s="14">
        <v>2.4900000000000002</v>
      </c>
      <c r="S28" s="14">
        <v>92.1</v>
      </c>
      <c r="T28" s="14">
        <v>12</v>
      </c>
      <c r="U28" s="14">
        <v>230370</v>
      </c>
      <c r="V28" s="14">
        <v>4651171</v>
      </c>
      <c r="W28" s="14">
        <v>23</v>
      </c>
      <c r="X28" s="14">
        <v>7</v>
      </c>
      <c r="Y28" s="14" t="s">
        <v>121</v>
      </c>
      <c r="Z28" s="14" t="s">
        <v>101</v>
      </c>
      <c r="AA28" s="14">
        <v>32</v>
      </c>
      <c r="AB28" s="14">
        <v>28</v>
      </c>
      <c r="AC28" s="14">
        <v>2.1</v>
      </c>
      <c r="AD28" s="14" t="s">
        <v>232</v>
      </c>
      <c r="AE28" s="14">
        <v>96</v>
      </c>
      <c r="AF28" s="14">
        <v>124230</v>
      </c>
      <c r="AG28" s="14">
        <v>60335.57</v>
      </c>
      <c r="AH28" s="14">
        <v>63894.43</v>
      </c>
      <c r="AI28" s="14" t="s">
        <v>14</v>
      </c>
      <c r="AJ28" s="14" t="s">
        <v>122</v>
      </c>
      <c r="AK28" s="14" t="s">
        <v>87</v>
      </c>
      <c r="AL28" s="14">
        <v>2</v>
      </c>
      <c r="AM28" s="14">
        <v>7.4</v>
      </c>
      <c r="AN28" s="18">
        <v>46196</v>
      </c>
    </row>
    <row r="29" spans="1:40" thickTop="1" thickBot="1" x14ac:dyDescent="0.3">
      <c r="A29" s="13" t="s">
        <v>138</v>
      </c>
      <c r="B29" s="14" t="s">
        <v>216</v>
      </c>
      <c r="C29" s="14" t="s">
        <v>106</v>
      </c>
      <c r="D29" s="14">
        <v>27</v>
      </c>
      <c r="E29" s="14" t="s">
        <v>78</v>
      </c>
      <c r="F29" s="14" t="s">
        <v>228</v>
      </c>
      <c r="G29" s="14" t="s">
        <v>126</v>
      </c>
      <c r="H29" s="14" t="s">
        <v>81</v>
      </c>
      <c r="I29" s="14" t="s">
        <v>158</v>
      </c>
      <c r="J29" s="14" t="s">
        <v>48</v>
      </c>
      <c r="K29" s="15">
        <v>28</v>
      </c>
      <c r="L29" s="16">
        <v>111985</v>
      </c>
      <c r="M29" s="17">
        <v>45896</v>
      </c>
      <c r="N29" s="18">
        <v>30323</v>
      </c>
      <c r="O29" s="14" t="s">
        <v>241</v>
      </c>
      <c r="P29" s="14" t="s">
        <v>242</v>
      </c>
      <c r="Q29" s="14" t="s">
        <v>227</v>
      </c>
      <c r="R29" s="14">
        <v>4.72</v>
      </c>
      <c r="S29" s="14">
        <v>81.2</v>
      </c>
      <c r="T29" s="14">
        <v>11</v>
      </c>
      <c r="U29" s="14">
        <v>235465</v>
      </c>
      <c r="V29" s="14">
        <v>10617369</v>
      </c>
      <c r="W29" s="14">
        <v>33</v>
      </c>
      <c r="X29" s="14">
        <v>24</v>
      </c>
      <c r="Y29" s="14" t="s">
        <v>149</v>
      </c>
      <c r="Z29" s="14" t="s">
        <v>111</v>
      </c>
      <c r="AA29" s="14">
        <v>30</v>
      </c>
      <c r="AB29" s="14">
        <v>1</v>
      </c>
      <c r="AC29" s="14">
        <v>3.5</v>
      </c>
      <c r="AD29" s="14" t="s">
        <v>232</v>
      </c>
      <c r="AE29" s="14">
        <v>179</v>
      </c>
      <c r="AF29" s="14">
        <v>438856</v>
      </c>
      <c r="AG29" s="14">
        <v>213810.95</v>
      </c>
      <c r="AH29" s="14">
        <v>225045.05</v>
      </c>
      <c r="AI29" s="14" t="s">
        <v>86</v>
      </c>
      <c r="AJ29" s="14" t="s">
        <v>122</v>
      </c>
      <c r="AK29" s="14" t="s">
        <v>123</v>
      </c>
      <c r="AL29" s="14">
        <v>2.4</v>
      </c>
      <c r="AM29" s="14">
        <v>1.3</v>
      </c>
      <c r="AN29" s="18">
        <v>45919</v>
      </c>
    </row>
    <row r="30" spans="1:40" thickTop="1" thickBot="1" x14ac:dyDescent="0.3">
      <c r="A30" s="13" t="s">
        <v>243</v>
      </c>
      <c r="B30" s="14" t="s">
        <v>60</v>
      </c>
      <c r="C30" s="14" t="s">
        <v>217</v>
      </c>
      <c r="D30" s="14">
        <v>21</v>
      </c>
      <c r="E30" s="14" t="s">
        <v>43</v>
      </c>
      <c r="F30" s="14" t="s">
        <v>92</v>
      </c>
      <c r="G30" s="14" t="s">
        <v>93</v>
      </c>
      <c r="H30" s="14" t="s">
        <v>135</v>
      </c>
      <c r="I30" s="14" t="s">
        <v>158</v>
      </c>
      <c r="J30" s="14" t="s">
        <v>48</v>
      </c>
      <c r="K30" s="15">
        <v>6</v>
      </c>
      <c r="L30" s="16">
        <v>43248</v>
      </c>
      <c r="M30" s="17">
        <v>46165</v>
      </c>
      <c r="N30" s="18">
        <v>35645</v>
      </c>
      <c r="O30" s="14" t="s">
        <v>244</v>
      </c>
      <c r="P30" s="14" t="s">
        <v>245</v>
      </c>
      <c r="Q30" s="14" t="s">
        <v>246</v>
      </c>
      <c r="R30" s="14">
        <v>3.66</v>
      </c>
      <c r="S30" s="14">
        <v>74.599999999999994</v>
      </c>
      <c r="T30" s="14">
        <v>34</v>
      </c>
      <c r="U30" s="14">
        <v>47790</v>
      </c>
      <c r="V30" s="14">
        <v>11456501</v>
      </c>
      <c r="W30" s="14">
        <v>20</v>
      </c>
      <c r="X30" s="14">
        <v>12</v>
      </c>
      <c r="Y30" s="14" t="s">
        <v>139</v>
      </c>
      <c r="Z30" s="14" t="s">
        <v>70</v>
      </c>
      <c r="AA30" s="14">
        <v>14</v>
      </c>
      <c r="AB30" s="14">
        <v>13</v>
      </c>
      <c r="AC30" s="14">
        <v>5</v>
      </c>
      <c r="AD30" s="14" t="s">
        <v>85</v>
      </c>
      <c r="AE30" s="14">
        <v>213</v>
      </c>
      <c r="AF30" s="14">
        <v>398898</v>
      </c>
      <c r="AG30" s="14">
        <v>275681.53999999998</v>
      </c>
      <c r="AH30" s="14">
        <v>123216.46</v>
      </c>
      <c r="AI30" s="14" t="s">
        <v>102</v>
      </c>
      <c r="AJ30" s="14" t="s">
        <v>113</v>
      </c>
      <c r="AK30" s="14" t="s">
        <v>103</v>
      </c>
      <c r="AL30" s="14">
        <v>4.5</v>
      </c>
      <c r="AM30" s="14">
        <v>12.4</v>
      </c>
      <c r="AN30" s="18">
        <v>45676</v>
      </c>
    </row>
    <row r="31" spans="1:40" thickTop="1" thickBot="1" x14ac:dyDescent="0.3">
      <c r="A31" s="13" t="s">
        <v>247</v>
      </c>
      <c r="B31" s="14" t="s">
        <v>59</v>
      </c>
      <c r="C31" s="14" t="s">
        <v>106</v>
      </c>
      <c r="D31" s="14">
        <v>21</v>
      </c>
      <c r="E31" s="14" t="s">
        <v>43</v>
      </c>
      <c r="F31" s="14" t="s">
        <v>237</v>
      </c>
      <c r="G31" s="14" t="s">
        <v>62</v>
      </c>
      <c r="H31" s="14" t="s">
        <v>157</v>
      </c>
      <c r="I31" s="14" t="s">
        <v>47</v>
      </c>
      <c r="J31" s="14" t="s">
        <v>145</v>
      </c>
      <c r="K31" s="15">
        <v>18</v>
      </c>
      <c r="L31" s="16">
        <v>130611</v>
      </c>
      <c r="M31" s="17">
        <v>46129</v>
      </c>
      <c r="N31" s="18">
        <v>38051</v>
      </c>
      <c r="O31" s="14" t="s">
        <v>248</v>
      </c>
      <c r="P31" s="14" t="s">
        <v>249</v>
      </c>
      <c r="Q31" s="14" t="s">
        <v>250</v>
      </c>
      <c r="R31" s="14">
        <v>1.57</v>
      </c>
      <c r="S31" s="14">
        <v>94.2</v>
      </c>
      <c r="T31" s="14">
        <v>25</v>
      </c>
      <c r="U31" s="14">
        <v>46677</v>
      </c>
      <c r="V31" s="14">
        <v>10111071</v>
      </c>
      <c r="W31" s="14">
        <v>79</v>
      </c>
      <c r="X31" s="14">
        <v>29</v>
      </c>
      <c r="Y31" s="14" t="s">
        <v>100</v>
      </c>
      <c r="Z31" s="14" t="s">
        <v>101</v>
      </c>
      <c r="AA31" s="14">
        <v>26</v>
      </c>
      <c r="AB31" s="14">
        <v>6</v>
      </c>
      <c r="AC31" s="14">
        <v>1.6</v>
      </c>
      <c r="AD31" s="14" t="s">
        <v>85</v>
      </c>
      <c r="AE31" s="14">
        <v>82</v>
      </c>
      <c r="AF31" s="14">
        <v>118390</v>
      </c>
      <c r="AG31" s="14">
        <v>70391.199999999997</v>
      </c>
      <c r="AH31" s="14">
        <v>47998.8</v>
      </c>
      <c r="AI31" s="14" t="s">
        <v>162</v>
      </c>
      <c r="AJ31" s="14" t="s">
        <v>122</v>
      </c>
      <c r="AK31" s="14" t="s">
        <v>74</v>
      </c>
      <c r="AL31" s="14">
        <v>2.5</v>
      </c>
      <c r="AM31" s="14">
        <v>22.6</v>
      </c>
      <c r="AN31" s="18">
        <v>45860</v>
      </c>
    </row>
    <row r="32" spans="1:40" thickTop="1" thickBot="1" x14ac:dyDescent="0.3">
      <c r="A32" s="13" t="s">
        <v>251</v>
      </c>
      <c r="B32" s="14" t="s">
        <v>171</v>
      </c>
      <c r="C32" s="14" t="s">
        <v>42</v>
      </c>
      <c r="D32" s="14">
        <v>24</v>
      </c>
      <c r="E32" s="14" t="s">
        <v>91</v>
      </c>
      <c r="F32" s="14" t="s">
        <v>92</v>
      </c>
      <c r="G32" s="14" t="s">
        <v>185</v>
      </c>
      <c r="H32" s="14" t="s">
        <v>135</v>
      </c>
      <c r="I32" s="14" t="s">
        <v>95</v>
      </c>
      <c r="J32" s="14" t="s">
        <v>65</v>
      </c>
      <c r="K32" s="15">
        <v>12</v>
      </c>
      <c r="L32" s="16">
        <v>196147</v>
      </c>
      <c r="M32" s="17">
        <v>45858</v>
      </c>
      <c r="N32" s="18">
        <v>34777</v>
      </c>
      <c r="O32" s="14" t="s">
        <v>252</v>
      </c>
      <c r="P32" s="14" t="s">
        <v>253</v>
      </c>
      <c r="Q32" s="14" t="s">
        <v>254</v>
      </c>
      <c r="R32" s="14">
        <v>4.75</v>
      </c>
      <c r="S32" s="14">
        <v>74.7</v>
      </c>
      <c r="T32" s="14">
        <v>22</v>
      </c>
      <c r="U32" s="14">
        <v>64517</v>
      </c>
      <c r="V32" s="14">
        <v>3007642</v>
      </c>
      <c r="W32" s="14">
        <v>31</v>
      </c>
      <c r="X32" s="14">
        <v>23</v>
      </c>
      <c r="Y32" s="14" t="s">
        <v>121</v>
      </c>
      <c r="Z32" s="14" t="s">
        <v>111</v>
      </c>
      <c r="AA32" s="14">
        <v>31</v>
      </c>
      <c r="AB32" s="14">
        <v>20</v>
      </c>
      <c r="AC32" s="14">
        <v>4.5</v>
      </c>
      <c r="AD32" s="14" t="s">
        <v>140</v>
      </c>
      <c r="AE32" s="14">
        <v>341</v>
      </c>
      <c r="AF32" s="14">
        <v>37805</v>
      </c>
      <c r="AG32" s="14">
        <v>30658.05</v>
      </c>
      <c r="AH32" s="14">
        <v>7146.95</v>
      </c>
      <c r="AI32" s="14" t="s">
        <v>14</v>
      </c>
      <c r="AJ32" s="14" t="s">
        <v>122</v>
      </c>
      <c r="AK32" s="14" t="s">
        <v>87</v>
      </c>
      <c r="AL32" s="14">
        <v>3.4</v>
      </c>
      <c r="AM32" s="14">
        <v>16.5</v>
      </c>
      <c r="AN32" s="18">
        <v>46300</v>
      </c>
    </row>
    <row r="33" spans="1:40" thickTop="1" thickBot="1" x14ac:dyDescent="0.3">
      <c r="A33" s="13" t="s">
        <v>255</v>
      </c>
      <c r="B33" s="14" t="s">
        <v>171</v>
      </c>
      <c r="C33" s="14" t="s">
        <v>106</v>
      </c>
      <c r="D33" s="14">
        <v>45</v>
      </c>
      <c r="E33" s="14" t="s">
        <v>91</v>
      </c>
      <c r="F33" s="14" t="s">
        <v>133</v>
      </c>
      <c r="G33" s="14" t="s">
        <v>197</v>
      </c>
      <c r="H33" s="14" t="s">
        <v>81</v>
      </c>
      <c r="I33" s="14" t="s">
        <v>95</v>
      </c>
      <c r="J33" s="14" t="s">
        <v>48</v>
      </c>
      <c r="K33" s="15">
        <v>0</v>
      </c>
      <c r="L33" s="16">
        <v>197238</v>
      </c>
      <c r="M33" s="17">
        <v>46159</v>
      </c>
      <c r="N33" s="18">
        <v>34439</v>
      </c>
      <c r="O33" s="14" t="s">
        <v>256</v>
      </c>
      <c r="P33" s="14" t="s">
        <v>257</v>
      </c>
      <c r="Q33" s="14" t="s">
        <v>209</v>
      </c>
      <c r="R33" s="14">
        <v>4.24</v>
      </c>
      <c r="S33" s="14">
        <v>82</v>
      </c>
      <c r="T33" s="14">
        <v>4</v>
      </c>
      <c r="U33" s="14">
        <v>67347</v>
      </c>
      <c r="V33" s="14">
        <v>6515891</v>
      </c>
      <c r="W33" s="14">
        <v>55</v>
      </c>
      <c r="X33" s="14">
        <v>11</v>
      </c>
      <c r="Y33" s="14" t="s">
        <v>69</v>
      </c>
      <c r="Z33" s="14" t="s">
        <v>70</v>
      </c>
      <c r="AA33" s="14">
        <v>16</v>
      </c>
      <c r="AB33" s="14">
        <v>13</v>
      </c>
      <c r="AC33" s="14">
        <v>3</v>
      </c>
      <c r="AD33" s="14" t="s">
        <v>140</v>
      </c>
      <c r="AE33" s="14">
        <v>20</v>
      </c>
      <c r="AF33" s="14">
        <v>235238</v>
      </c>
      <c r="AG33" s="14">
        <v>132683.24</v>
      </c>
      <c r="AH33" s="14">
        <v>102554.76</v>
      </c>
      <c r="AI33" s="14" t="s">
        <v>162</v>
      </c>
      <c r="AJ33" s="14" t="s">
        <v>122</v>
      </c>
      <c r="AK33" s="14" t="s">
        <v>123</v>
      </c>
      <c r="AL33" s="14">
        <v>4.0999999999999996</v>
      </c>
      <c r="AM33" s="14">
        <v>15.3</v>
      </c>
      <c r="AN33" s="18">
        <v>45713</v>
      </c>
    </row>
    <row r="34" spans="1:40" thickTop="1" thickBot="1" x14ac:dyDescent="0.3">
      <c r="A34" s="13" t="s">
        <v>258</v>
      </c>
      <c r="B34" s="14" t="s">
        <v>259</v>
      </c>
      <c r="C34" s="14" t="s">
        <v>90</v>
      </c>
      <c r="D34" s="14">
        <v>25</v>
      </c>
      <c r="E34" s="14" t="s">
        <v>91</v>
      </c>
      <c r="F34" s="14" t="s">
        <v>79</v>
      </c>
      <c r="G34" s="14" t="s">
        <v>126</v>
      </c>
      <c r="H34" s="14" t="s">
        <v>135</v>
      </c>
      <c r="I34" s="14" t="s">
        <v>64</v>
      </c>
      <c r="J34" s="14" t="s">
        <v>117</v>
      </c>
      <c r="K34" s="15">
        <v>30</v>
      </c>
      <c r="L34" s="16">
        <v>247597</v>
      </c>
      <c r="M34" s="17">
        <v>45827</v>
      </c>
      <c r="N34" s="18">
        <v>37233</v>
      </c>
      <c r="O34" s="14" t="s">
        <v>260</v>
      </c>
      <c r="P34" s="14" t="s">
        <v>261</v>
      </c>
      <c r="Q34" s="14" t="s">
        <v>262</v>
      </c>
      <c r="R34" s="14">
        <v>4.0199999999999996</v>
      </c>
      <c r="S34" s="14">
        <v>74.8</v>
      </c>
      <c r="T34" s="14">
        <v>17</v>
      </c>
      <c r="U34" s="14">
        <v>239286</v>
      </c>
      <c r="V34" s="14">
        <v>2908743</v>
      </c>
      <c r="W34" s="14">
        <v>32</v>
      </c>
      <c r="X34" s="14">
        <v>16</v>
      </c>
      <c r="Y34" s="14" t="s">
        <v>263</v>
      </c>
      <c r="Z34" s="14" t="s">
        <v>101</v>
      </c>
      <c r="AA34" s="14">
        <v>9</v>
      </c>
      <c r="AB34" s="14">
        <v>0</v>
      </c>
      <c r="AC34" s="14">
        <v>3.4</v>
      </c>
      <c r="AD34" s="14" t="s">
        <v>232</v>
      </c>
      <c r="AE34" s="14">
        <v>259</v>
      </c>
      <c r="AF34" s="14">
        <v>357226</v>
      </c>
      <c r="AG34" s="14">
        <v>286431.35999999999</v>
      </c>
      <c r="AH34" s="14">
        <v>70794.64</v>
      </c>
      <c r="AI34" s="14" t="s">
        <v>86</v>
      </c>
      <c r="AJ34" s="14" t="s">
        <v>113</v>
      </c>
      <c r="AK34" s="14" t="s">
        <v>123</v>
      </c>
      <c r="AL34" s="14">
        <v>1.1000000000000001</v>
      </c>
      <c r="AM34" s="14">
        <v>5.5</v>
      </c>
      <c r="AN34" s="18">
        <v>45823</v>
      </c>
    </row>
    <row r="35" spans="1:40" thickTop="1" thickBot="1" x14ac:dyDescent="0.3">
      <c r="A35" s="13" t="s">
        <v>168</v>
      </c>
      <c r="B35" s="14" t="s">
        <v>181</v>
      </c>
      <c r="C35" s="14" t="s">
        <v>106</v>
      </c>
      <c r="D35" s="14">
        <v>28</v>
      </c>
      <c r="E35" s="14" t="s">
        <v>91</v>
      </c>
      <c r="F35" s="14" t="s">
        <v>144</v>
      </c>
      <c r="G35" s="14" t="s">
        <v>93</v>
      </c>
      <c r="H35" s="14" t="s">
        <v>81</v>
      </c>
      <c r="I35" s="14" t="s">
        <v>47</v>
      </c>
      <c r="J35" s="14" t="s">
        <v>117</v>
      </c>
      <c r="K35" s="15">
        <v>17</v>
      </c>
      <c r="L35" s="16">
        <v>200092</v>
      </c>
      <c r="M35" s="17">
        <v>46061</v>
      </c>
      <c r="N35" s="18">
        <v>37781</v>
      </c>
      <c r="O35" s="14" t="s">
        <v>264</v>
      </c>
      <c r="P35" s="14" t="s">
        <v>265</v>
      </c>
      <c r="Q35" s="14" t="s">
        <v>266</v>
      </c>
      <c r="R35" s="14">
        <v>1.58</v>
      </c>
      <c r="S35" s="14">
        <v>79.900000000000006</v>
      </c>
      <c r="T35" s="14">
        <v>5</v>
      </c>
      <c r="U35" s="14">
        <v>231882</v>
      </c>
      <c r="V35" s="14">
        <v>4359553</v>
      </c>
      <c r="W35" s="14">
        <v>22</v>
      </c>
      <c r="X35" s="14">
        <v>19</v>
      </c>
      <c r="Y35" s="14" t="s">
        <v>149</v>
      </c>
      <c r="Z35" s="14" t="s">
        <v>53</v>
      </c>
      <c r="AA35" s="14">
        <v>11</v>
      </c>
      <c r="AB35" s="14">
        <v>4</v>
      </c>
      <c r="AC35" s="14">
        <v>4.3</v>
      </c>
      <c r="AD35" s="14" t="s">
        <v>85</v>
      </c>
      <c r="AE35" s="14">
        <v>158</v>
      </c>
      <c r="AF35" s="14">
        <v>186874</v>
      </c>
      <c r="AG35" s="14">
        <v>146005.19</v>
      </c>
      <c r="AH35" s="14">
        <v>40868.81</v>
      </c>
      <c r="AI35" s="14" t="s">
        <v>14</v>
      </c>
      <c r="AJ35" s="14" t="s">
        <v>122</v>
      </c>
      <c r="AK35" s="14" t="s">
        <v>74</v>
      </c>
      <c r="AL35" s="14">
        <v>1.9</v>
      </c>
      <c r="AM35" s="14">
        <v>8.6999999999999993</v>
      </c>
      <c r="AN35" s="18">
        <v>46298</v>
      </c>
    </row>
    <row r="36" spans="1:40" thickTop="1" thickBot="1" x14ac:dyDescent="0.3">
      <c r="A36" s="13" t="s">
        <v>240</v>
      </c>
      <c r="B36" s="14" t="s">
        <v>267</v>
      </c>
      <c r="C36" s="14" t="s">
        <v>90</v>
      </c>
      <c r="D36" s="14">
        <v>52</v>
      </c>
      <c r="E36" s="14" t="s">
        <v>78</v>
      </c>
      <c r="F36" s="14" t="s">
        <v>44</v>
      </c>
      <c r="G36" s="14" t="s">
        <v>45</v>
      </c>
      <c r="H36" s="14" t="s">
        <v>107</v>
      </c>
      <c r="I36" s="14" t="s">
        <v>47</v>
      </c>
      <c r="J36" s="14" t="s">
        <v>48</v>
      </c>
      <c r="K36" s="15">
        <v>18</v>
      </c>
      <c r="L36" s="16">
        <v>128051</v>
      </c>
      <c r="M36" s="17">
        <v>45969</v>
      </c>
      <c r="N36" s="18">
        <v>30571</v>
      </c>
      <c r="O36" s="14" t="s">
        <v>268</v>
      </c>
      <c r="P36" s="14" t="s">
        <v>269</v>
      </c>
      <c r="Q36" s="14" t="s">
        <v>270</v>
      </c>
      <c r="R36" s="14">
        <v>3.33</v>
      </c>
      <c r="S36" s="14">
        <v>87.7</v>
      </c>
      <c r="T36" s="14">
        <v>13</v>
      </c>
      <c r="U36" s="14">
        <v>192012</v>
      </c>
      <c r="V36" s="14">
        <v>10967800</v>
      </c>
      <c r="W36" s="14">
        <v>60</v>
      </c>
      <c r="X36" s="14">
        <v>5</v>
      </c>
      <c r="Y36" s="14" t="s">
        <v>52</v>
      </c>
      <c r="Z36" s="14" t="s">
        <v>111</v>
      </c>
      <c r="AA36" s="14">
        <v>4</v>
      </c>
      <c r="AB36" s="14">
        <v>1</v>
      </c>
      <c r="AC36" s="14">
        <v>4.7</v>
      </c>
      <c r="AD36" s="14" t="s">
        <v>155</v>
      </c>
      <c r="AE36" s="14">
        <v>362</v>
      </c>
      <c r="AF36" s="14">
        <v>283790</v>
      </c>
      <c r="AG36" s="14">
        <v>165936.73000000001</v>
      </c>
      <c r="AH36" s="14">
        <v>117853.27</v>
      </c>
      <c r="AI36" s="14" t="s">
        <v>162</v>
      </c>
      <c r="AJ36" s="14" t="s">
        <v>73</v>
      </c>
      <c r="AK36" s="14" t="s">
        <v>74</v>
      </c>
      <c r="AL36" s="14">
        <v>1.3</v>
      </c>
      <c r="AM36" s="14">
        <v>4.3</v>
      </c>
      <c r="AN36" s="18">
        <v>45934</v>
      </c>
    </row>
    <row r="37" spans="1:40" thickTop="1" thickBot="1" x14ac:dyDescent="0.3">
      <c r="A37" s="13" t="s">
        <v>271</v>
      </c>
      <c r="B37" s="14" t="s">
        <v>164</v>
      </c>
      <c r="C37" s="14" t="s">
        <v>191</v>
      </c>
      <c r="D37" s="14">
        <v>49</v>
      </c>
      <c r="E37" s="14" t="s">
        <v>91</v>
      </c>
      <c r="F37" s="14" t="s">
        <v>61</v>
      </c>
      <c r="G37" s="14" t="s">
        <v>197</v>
      </c>
      <c r="H37" s="14" t="s">
        <v>46</v>
      </c>
      <c r="I37" s="14" t="s">
        <v>95</v>
      </c>
      <c r="J37" s="14" t="s">
        <v>48</v>
      </c>
      <c r="K37" s="15">
        <v>1</v>
      </c>
      <c r="L37" s="16">
        <v>51129</v>
      </c>
      <c r="M37" s="17">
        <v>46202</v>
      </c>
      <c r="N37" s="18">
        <v>29408</v>
      </c>
      <c r="O37" s="14" t="s">
        <v>272</v>
      </c>
      <c r="P37" s="14" t="s">
        <v>273</v>
      </c>
      <c r="Q37" s="14" t="s">
        <v>132</v>
      </c>
      <c r="R37" s="14">
        <v>4.6500000000000004</v>
      </c>
      <c r="S37" s="14">
        <v>73.099999999999994</v>
      </c>
      <c r="T37" s="14">
        <v>35</v>
      </c>
      <c r="U37" s="14">
        <v>103420</v>
      </c>
      <c r="V37" s="14">
        <v>2886836</v>
      </c>
      <c r="W37" s="14">
        <v>52</v>
      </c>
      <c r="X37" s="14">
        <v>6</v>
      </c>
      <c r="Y37" s="14" t="s">
        <v>274</v>
      </c>
      <c r="Z37" s="14" t="s">
        <v>101</v>
      </c>
      <c r="AA37" s="14">
        <v>36</v>
      </c>
      <c r="AB37" s="14">
        <v>22</v>
      </c>
      <c r="AC37" s="14">
        <v>3</v>
      </c>
      <c r="AD37" s="14" t="s">
        <v>179</v>
      </c>
      <c r="AE37" s="14">
        <v>153</v>
      </c>
      <c r="AF37" s="14">
        <v>21027</v>
      </c>
      <c r="AG37" s="14">
        <v>9898.85</v>
      </c>
      <c r="AH37" s="14">
        <v>11128.15</v>
      </c>
      <c r="AI37" s="14" t="s">
        <v>102</v>
      </c>
      <c r="AJ37" s="14" t="s">
        <v>73</v>
      </c>
      <c r="AK37" s="14" t="s">
        <v>103</v>
      </c>
      <c r="AL37" s="14">
        <v>1</v>
      </c>
      <c r="AM37" s="14">
        <v>25.3</v>
      </c>
      <c r="AN37" s="18">
        <v>46134</v>
      </c>
    </row>
    <row r="38" spans="1:40" thickTop="1" thickBot="1" x14ac:dyDescent="0.3">
      <c r="A38" s="13" t="s">
        <v>275</v>
      </c>
      <c r="B38" s="14" t="s">
        <v>176</v>
      </c>
      <c r="C38" s="14" t="s">
        <v>115</v>
      </c>
      <c r="D38" s="14">
        <v>37</v>
      </c>
      <c r="E38" s="14" t="s">
        <v>78</v>
      </c>
      <c r="F38" s="14" t="s">
        <v>144</v>
      </c>
      <c r="G38" s="14" t="s">
        <v>185</v>
      </c>
      <c r="H38" s="14" t="s">
        <v>63</v>
      </c>
      <c r="I38" s="14" t="s">
        <v>158</v>
      </c>
      <c r="J38" s="14" t="s">
        <v>48</v>
      </c>
      <c r="K38" s="15">
        <v>8</v>
      </c>
      <c r="L38" s="16">
        <v>201688</v>
      </c>
      <c r="M38" s="17">
        <v>46225</v>
      </c>
      <c r="N38" s="18">
        <v>37094</v>
      </c>
      <c r="O38" s="14" t="s">
        <v>276</v>
      </c>
      <c r="P38" s="14" t="s">
        <v>277</v>
      </c>
      <c r="Q38" s="14" t="s">
        <v>194</v>
      </c>
      <c r="R38" s="14">
        <v>3.57</v>
      </c>
      <c r="S38" s="14">
        <v>99</v>
      </c>
      <c r="T38" s="14">
        <v>13</v>
      </c>
      <c r="U38" s="14">
        <v>44785</v>
      </c>
      <c r="V38" s="14">
        <v>9013238</v>
      </c>
      <c r="W38" s="14">
        <v>1</v>
      </c>
      <c r="X38" s="14">
        <v>5</v>
      </c>
      <c r="Y38" s="14" t="s">
        <v>139</v>
      </c>
      <c r="Z38" s="14" t="s">
        <v>101</v>
      </c>
      <c r="AA38" s="14">
        <v>15</v>
      </c>
      <c r="AB38" s="14">
        <v>3</v>
      </c>
      <c r="AC38" s="14">
        <v>4.4000000000000004</v>
      </c>
      <c r="AD38" s="14" t="s">
        <v>155</v>
      </c>
      <c r="AE38" s="14">
        <v>483</v>
      </c>
      <c r="AF38" s="14">
        <v>358687</v>
      </c>
      <c r="AG38" s="14">
        <v>221460.63</v>
      </c>
      <c r="AH38" s="14">
        <v>137226.37</v>
      </c>
      <c r="AI38" s="14" t="s">
        <v>162</v>
      </c>
      <c r="AJ38" s="14" t="s">
        <v>113</v>
      </c>
      <c r="AK38" s="14" t="s">
        <v>57</v>
      </c>
      <c r="AL38" s="14">
        <v>4.5</v>
      </c>
      <c r="AM38" s="14">
        <v>9.9</v>
      </c>
      <c r="AN38" s="18">
        <v>45902</v>
      </c>
    </row>
    <row r="39" spans="1:40" thickTop="1" thickBot="1" x14ac:dyDescent="0.3">
      <c r="A39" s="13" t="s">
        <v>194</v>
      </c>
      <c r="B39" s="14" t="s">
        <v>164</v>
      </c>
      <c r="C39" s="14" t="s">
        <v>106</v>
      </c>
      <c r="D39" s="14">
        <v>51</v>
      </c>
      <c r="E39" s="14" t="s">
        <v>91</v>
      </c>
      <c r="F39" s="14" t="s">
        <v>144</v>
      </c>
      <c r="G39" s="14" t="s">
        <v>45</v>
      </c>
      <c r="H39" s="14" t="s">
        <v>94</v>
      </c>
      <c r="I39" s="14" t="s">
        <v>95</v>
      </c>
      <c r="J39" s="14" t="s">
        <v>65</v>
      </c>
      <c r="K39" s="15">
        <v>28</v>
      </c>
      <c r="L39" s="16">
        <v>115675</v>
      </c>
      <c r="M39" s="17">
        <v>45875</v>
      </c>
      <c r="N39" s="18">
        <v>33896</v>
      </c>
      <c r="O39" s="14" t="s">
        <v>278</v>
      </c>
      <c r="P39" s="14" t="s">
        <v>279</v>
      </c>
      <c r="Q39" s="14" t="s">
        <v>215</v>
      </c>
      <c r="R39" s="14">
        <v>1.58</v>
      </c>
      <c r="S39" s="14">
        <v>70.8</v>
      </c>
      <c r="T39" s="14">
        <v>6</v>
      </c>
      <c r="U39" s="14">
        <v>84835</v>
      </c>
      <c r="V39" s="14">
        <v>6285852</v>
      </c>
      <c r="W39" s="14">
        <v>18</v>
      </c>
      <c r="X39" s="14">
        <v>22</v>
      </c>
      <c r="Y39" s="14" t="s">
        <v>149</v>
      </c>
      <c r="Z39" s="14" t="s">
        <v>111</v>
      </c>
      <c r="AA39" s="14">
        <v>35</v>
      </c>
      <c r="AB39" s="14">
        <v>30</v>
      </c>
      <c r="AC39" s="14">
        <v>1.2</v>
      </c>
      <c r="AD39" s="14" t="s">
        <v>140</v>
      </c>
      <c r="AE39" s="14">
        <v>356</v>
      </c>
      <c r="AF39" s="14">
        <v>378249</v>
      </c>
      <c r="AG39" s="14">
        <v>307597.55</v>
      </c>
      <c r="AH39" s="14">
        <v>70651.45</v>
      </c>
      <c r="AI39" s="14" t="s">
        <v>150</v>
      </c>
      <c r="AJ39" s="14" t="s">
        <v>122</v>
      </c>
      <c r="AK39" s="14" t="s">
        <v>74</v>
      </c>
      <c r="AL39" s="14">
        <v>4.4000000000000004</v>
      </c>
      <c r="AM39" s="14">
        <v>22.9</v>
      </c>
      <c r="AN39" s="18">
        <v>45862</v>
      </c>
    </row>
    <row r="40" spans="1:40" thickTop="1" thickBot="1" x14ac:dyDescent="0.3">
      <c r="A40" s="13" t="s">
        <v>280</v>
      </c>
      <c r="B40" s="14" t="s">
        <v>206</v>
      </c>
      <c r="C40" s="14" t="s">
        <v>106</v>
      </c>
      <c r="D40" s="14">
        <v>45</v>
      </c>
      <c r="E40" s="14" t="s">
        <v>78</v>
      </c>
      <c r="F40" s="14" t="s">
        <v>211</v>
      </c>
      <c r="G40" s="14" t="s">
        <v>126</v>
      </c>
      <c r="H40" s="14" t="s">
        <v>46</v>
      </c>
      <c r="I40" s="14" t="s">
        <v>47</v>
      </c>
      <c r="J40" s="14" t="s">
        <v>48</v>
      </c>
      <c r="K40" s="15">
        <v>1</v>
      </c>
      <c r="L40" s="16">
        <v>247865</v>
      </c>
      <c r="M40" s="17">
        <v>45747</v>
      </c>
      <c r="N40" s="18">
        <v>38312</v>
      </c>
      <c r="O40" s="14" t="s">
        <v>281</v>
      </c>
      <c r="P40" s="14" t="s">
        <v>282</v>
      </c>
      <c r="Q40" s="14" t="s">
        <v>170</v>
      </c>
      <c r="R40" s="14">
        <v>1.53</v>
      </c>
      <c r="S40" s="14">
        <v>93.8</v>
      </c>
      <c r="T40" s="14">
        <v>13</v>
      </c>
      <c r="U40" s="14">
        <v>154381</v>
      </c>
      <c r="V40" s="14">
        <v>5854261</v>
      </c>
      <c r="W40" s="14">
        <v>43</v>
      </c>
      <c r="X40" s="14">
        <v>13</v>
      </c>
      <c r="Y40" s="14" t="s">
        <v>139</v>
      </c>
      <c r="Z40" s="14" t="s">
        <v>111</v>
      </c>
      <c r="AA40" s="14">
        <v>49</v>
      </c>
      <c r="AB40" s="14">
        <v>45</v>
      </c>
      <c r="AC40" s="14">
        <v>2.4</v>
      </c>
      <c r="AD40" s="14" t="s">
        <v>85</v>
      </c>
      <c r="AE40" s="14">
        <v>24</v>
      </c>
      <c r="AF40" s="14">
        <v>49575</v>
      </c>
      <c r="AG40" s="14">
        <v>38445.14</v>
      </c>
      <c r="AH40" s="14">
        <v>11129.86</v>
      </c>
      <c r="AI40" s="14" t="s">
        <v>14</v>
      </c>
      <c r="AJ40" s="14" t="s">
        <v>113</v>
      </c>
      <c r="AK40" s="14" t="s">
        <v>103</v>
      </c>
      <c r="AL40" s="14">
        <v>3</v>
      </c>
      <c r="AM40" s="14">
        <v>25.5</v>
      </c>
      <c r="AN40" s="18">
        <v>46291</v>
      </c>
    </row>
    <row r="41" spans="1:40" thickTop="1" thickBot="1" x14ac:dyDescent="0.3">
      <c r="A41" s="13" t="s">
        <v>283</v>
      </c>
      <c r="B41" s="14" t="s">
        <v>42</v>
      </c>
      <c r="C41" s="14" t="s">
        <v>90</v>
      </c>
      <c r="D41" s="14">
        <v>43</v>
      </c>
      <c r="E41" s="14" t="s">
        <v>43</v>
      </c>
      <c r="F41" s="14" t="s">
        <v>144</v>
      </c>
      <c r="G41" s="14" t="s">
        <v>126</v>
      </c>
      <c r="H41" s="14" t="s">
        <v>157</v>
      </c>
      <c r="I41" s="14" t="s">
        <v>158</v>
      </c>
      <c r="J41" s="14" t="s">
        <v>96</v>
      </c>
      <c r="K41" s="15">
        <v>13</v>
      </c>
      <c r="L41" s="16">
        <v>35340</v>
      </c>
      <c r="M41" s="17">
        <v>46194</v>
      </c>
      <c r="N41" s="18">
        <v>31557</v>
      </c>
      <c r="O41" s="14" t="s">
        <v>284</v>
      </c>
      <c r="P41" s="14" t="s">
        <v>285</v>
      </c>
      <c r="Q41" s="14" t="s">
        <v>286</v>
      </c>
      <c r="R41" s="14">
        <v>2.96</v>
      </c>
      <c r="S41" s="14">
        <v>84.7</v>
      </c>
      <c r="T41" s="14">
        <v>11</v>
      </c>
      <c r="U41" s="14">
        <v>259303</v>
      </c>
      <c r="V41" s="14">
        <v>10441420</v>
      </c>
      <c r="W41" s="14">
        <v>44</v>
      </c>
      <c r="X41" s="14">
        <v>30</v>
      </c>
      <c r="Y41" s="14" t="s">
        <v>139</v>
      </c>
      <c r="Z41" s="14" t="s">
        <v>101</v>
      </c>
      <c r="AA41" s="14">
        <v>50</v>
      </c>
      <c r="AB41" s="14">
        <v>6</v>
      </c>
      <c r="AC41" s="14">
        <v>2.1</v>
      </c>
      <c r="AD41" s="14" t="s">
        <v>155</v>
      </c>
      <c r="AE41" s="14">
        <v>480</v>
      </c>
      <c r="AF41" s="14">
        <v>31383</v>
      </c>
      <c r="AG41" s="14">
        <v>19190.28</v>
      </c>
      <c r="AH41" s="14">
        <v>12192.72</v>
      </c>
      <c r="AI41" s="14" t="s">
        <v>86</v>
      </c>
      <c r="AJ41" s="14" t="s">
        <v>73</v>
      </c>
      <c r="AK41" s="14" t="s">
        <v>57</v>
      </c>
      <c r="AL41" s="14">
        <v>1.4</v>
      </c>
      <c r="AM41" s="14">
        <v>19.100000000000001</v>
      </c>
      <c r="AN41" s="18">
        <v>45740</v>
      </c>
    </row>
    <row r="42" spans="1:40" thickTop="1" thickBot="1" x14ac:dyDescent="0.3">
      <c r="A42" s="13" t="s">
        <v>235</v>
      </c>
      <c r="B42" s="14" t="s">
        <v>105</v>
      </c>
      <c r="C42" s="14" t="s">
        <v>115</v>
      </c>
      <c r="D42" s="14">
        <v>43</v>
      </c>
      <c r="E42" s="14" t="s">
        <v>78</v>
      </c>
      <c r="F42" s="14" t="s">
        <v>92</v>
      </c>
      <c r="G42" s="14" t="s">
        <v>62</v>
      </c>
      <c r="H42" s="14" t="s">
        <v>157</v>
      </c>
      <c r="I42" s="14" t="s">
        <v>64</v>
      </c>
      <c r="J42" s="14" t="s">
        <v>48</v>
      </c>
      <c r="K42" s="15">
        <v>11</v>
      </c>
      <c r="L42" s="16">
        <v>89032</v>
      </c>
      <c r="M42" s="17">
        <v>45968</v>
      </c>
      <c r="N42" s="18">
        <v>32342</v>
      </c>
      <c r="O42" s="14" t="s">
        <v>287</v>
      </c>
      <c r="P42" s="14" t="s">
        <v>288</v>
      </c>
      <c r="Q42" s="14" t="s">
        <v>231</v>
      </c>
      <c r="R42" s="14">
        <v>4.93</v>
      </c>
      <c r="S42" s="14">
        <v>88.9</v>
      </c>
      <c r="T42" s="14">
        <v>29</v>
      </c>
      <c r="U42" s="14">
        <v>66521</v>
      </c>
      <c r="V42" s="14">
        <v>9417838</v>
      </c>
      <c r="W42" s="14">
        <v>76</v>
      </c>
      <c r="X42" s="14">
        <v>24</v>
      </c>
      <c r="Y42" s="14" t="s">
        <v>149</v>
      </c>
      <c r="Z42" s="14" t="s">
        <v>53</v>
      </c>
      <c r="AA42" s="14">
        <v>41</v>
      </c>
      <c r="AB42" s="14">
        <v>20</v>
      </c>
      <c r="AC42" s="14">
        <v>3.3</v>
      </c>
      <c r="AD42" s="14" t="s">
        <v>54</v>
      </c>
      <c r="AE42" s="14">
        <v>79</v>
      </c>
      <c r="AF42" s="14">
        <v>309259</v>
      </c>
      <c r="AG42" s="14">
        <v>229212.03</v>
      </c>
      <c r="AH42" s="14">
        <v>80046.97</v>
      </c>
      <c r="AI42" s="14" t="s">
        <v>72</v>
      </c>
      <c r="AJ42" s="14" t="s">
        <v>56</v>
      </c>
      <c r="AK42" s="14" t="s">
        <v>123</v>
      </c>
      <c r="AL42" s="14">
        <v>1.7</v>
      </c>
      <c r="AM42" s="14">
        <v>13.2</v>
      </c>
      <c r="AN42" s="18">
        <v>45921</v>
      </c>
    </row>
    <row r="43" spans="1:40" thickTop="1" thickBot="1" x14ac:dyDescent="0.3">
      <c r="A43" s="13" t="s">
        <v>289</v>
      </c>
      <c r="B43" s="14" t="s">
        <v>76</v>
      </c>
      <c r="C43" s="14" t="s">
        <v>290</v>
      </c>
      <c r="D43" s="14">
        <v>53</v>
      </c>
      <c r="E43" s="14" t="s">
        <v>78</v>
      </c>
      <c r="F43" s="14" t="s">
        <v>165</v>
      </c>
      <c r="G43" s="14" t="s">
        <v>80</v>
      </c>
      <c r="H43" s="14" t="s">
        <v>135</v>
      </c>
      <c r="I43" s="14" t="s">
        <v>95</v>
      </c>
      <c r="J43" s="14" t="s">
        <v>96</v>
      </c>
      <c r="K43" s="15">
        <v>23</v>
      </c>
      <c r="L43" s="16">
        <v>120606</v>
      </c>
      <c r="M43" s="17">
        <v>46192</v>
      </c>
      <c r="N43" s="18">
        <v>33305</v>
      </c>
      <c r="O43" s="14" t="s">
        <v>291</v>
      </c>
      <c r="P43" s="14" t="s">
        <v>292</v>
      </c>
      <c r="Q43" s="14" t="s">
        <v>168</v>
      </c>
      <c r="R43" s="14">
        <v>4.9000000000000004</v>
      </c>
      <c r="S43" s="14">
        <v>91.9</v>
      </c>
      <c r="T43" s="14">
        <v>6</v>
      </c>
      <c r="U43" s="14">
        <v>86298</v>
      </c>
      <c r="V43" s="14">
        <v>11537727</v>
      </c>
      <c r="W43" s="14">
        <v>13</v>
      </c>
      <c r="X43" s="14">
        <v>6</v>
      </c>
      <c r="Y43" s="14" t="s">
        <v>274</v>
      </c>
      <c r="Z43" s="14" t="s">
        <v>101</v>
      </c>
      <c r="AA43" s="14">
        <v>42</v>
      </c>
      <c r="AB43" s="14">
        <v>15</v>
      </c>
      <c r="AC43" s="14">
        <v>4.9000000000000004</v>
      </c>
      <c r="AD43" s="14" t="s">
        <v>85</v>
      </c>
      <c r="AE43" s="14">
        <v>375</v>
      </c>
      <c r="AF43" s="14">
        <v>81090</v>
      </c>
      <c r="AG43" s="14">
        <v>46513.21</v>
      </c>
      <c r="AH43" s="14">
        <v>34576.79</v>
      </c>
      <c r="AI43" s="14" t="s">
        <v>55</v>
      </c>
      <c r="AJ43" s="14" t="s">
        <v>73</v>
      </c>
      <c r="AK43" s="14" t="s">
        <v>123</v>
      </c>
      <c r="AL43" s="14">
        <v>1.8</v>
      </c>
      <c r="AM43" s="14">
        <v>19.100000000000001</v>
      </c>
      <c r="AN43" s="18">
        <v>45767</v>
      </c>
    </row>
    <row r="44" spans="1:40" thickTop="1" thickBot="1" x14ac:dyDescent="0.3">
      <c r="A44" s="13" t="s">
        <v>120</v>
      </c>
      <c r="B44" s="14" t="s">
        <v>181</v>
      </c>
      <c r="C44" s="14" t="s">
        <v>290</v>
      </c>
      <c r="D44" s="14">
        <v>48</v>
      </c>
      <c r="E44" s="14" t="s">
        <v>91</v>
      </c>
      <c r="F44" s="14" t="s">
        <v>211</v>
      </c>
      <c r="G44" s="14" t="s">
        <v>80</v>
      </c>
      <c r="H44" s="14" t="s">
        <v>81</v>
      </c>
      <c r="I44" s="14" t="s">
        <v>47</v>
      </c>
      <c r="J44" s="14" t="s">
        <v>96</v>
      </c>
      <c r="K44" s="15">
        <v>8</v>
      </c>
      <c r="L44" s="16">
        <v>193258</v>
      </c>
      <c r="M44" s="17">
        <v>46072</v>
      </c>
      <c r="N44" s="18">
        <v>29563</v>
      </c>
      <c r="O44" s="14" t="s">
        <v>293</v>
      </c>
      <c r="P44" s="14" t="s">
        <v>294</v>
      </c>
      <c r="Q44" s="14" t="s">
        <v>99</v>
      </c>
      <c r="R44" s="14">
        <v>4</v>
      </c>
      <c r="S44" s="14">
        <v>82.6</v>
      </c>
      <c r="T44" s="14">
        <v>14</v>
      </c>
      <c r="U44" s="14">
        <v>119855</v>
      </c>
      <c r="V44" s="14">
        <v>11901737</v>
      </c>
      <c r="W44" s="14">
        <v>23</v>
      </c>
      <c r="X44" s="14">
        <v>20</v>
      </c>
      <c r="Y44" s="14" t="s">
        <v>69</v>
      </c>
      <c r="Z44" s="14" t="s">
        <v>70</v>
      </c>
      <c r="AA44" s="14">
        <v>1</v>
      </c>
      <c r="AB44" s="14">
        <v>1</v>
      </c>
      <c r="AC44" s="14">
        <v>2.7</v>
      </c>
      <c r="AD44" s="14" t="s">
        <v>85</v>
      </c>
      <c r="AE44" s="14">
        <v>321</v>
      </c>
      <c r="AF44" s="14">
        <v>218602</v>
      </c>
      <c r="AG44" s="14">
        <v>135893.73000000001</v>
      </c>
      <c r="AH44" s="14">
        <v>82708.27</v>
      </c>
      <c r="AI44" s="14" t="s">
        <v>150</v>
      </c>
      <c r="AJ44" s="14" t="s">
        <v>73</v>
      </c>
      <c r="AK44" s="14" t="s">
        <v>57</v>
      </c>
      <c r="AL44" s="14">
        <v>4.0999999999999996</v>
      </c>
      <c r="AM44" s="14">
        <v>21.4</v>
      </c>
      <c r="AN44" s="18">
        <v>46302</v>
      </c>
    </row>
    <row r="45" spans="1:40" thickTop="1" thickBot="1" x14ac:dyDescent="0.3">
      <c r="A45" s="13" t="s">
        <v>295</v>
      </c>
      <c r="B45" s="14" t="s">
        <v>156</v>
      </c>
      <c r="C45" s="14" t="s">
        <v>191</v>
      </c>
      <c r="D45" s="14">
        <v>47</v>
      </c>
      <c r="E45" s="14" t="s">
        <v>91</v>
      </c>
      <c r="F45" s="14" t="s">
        <v>237</v>
      </c>
      <c r="G45" s="14" t="s">
        <v>93</v>
      </c>
      <c r="H45" s="14" t="s">
        <v>107</v>
      </c>
      <c r="I45" s="14" t="s">
        <v>64</v>
      </c>
      <c r="J45" s="14" t="s">
        <v>145</v>
      </c>
      <c r="K45" s="15">
        <v>29</v>
      </c>
      <c r="L45" s="16">
        <v>62886</v>
      </c>
      <c r="M45" s="17">
        <v>45697</v>
      </c>
      <c r="N45" s="18">
        <v>32393</v>
      </c>
      <c r="O45" s="14" t="s">
        <v>296</v>
      </c>
      <c r="P45" s="14" t="s">
        <v>297</v>
      </c>
      <c r="Q45" s="14" t="s">
        <v>161</v>
      </c>
      <c r="R45" s="14">
        <v>2.39</v>
      </c>
      <c r="S45" s="14">
        <v>95.4</v>
      </c>
      <c r="T45" s="14">
        <v>29</v>
      </c>
      <c r="U45" s="14">
        <v>283658</v>
      </c>
      <c r="V45" s="14">
        <v>3939025</v>
      </c>
      <c r="W45" s="14">
        <v>60</v>
      </c>
      <c r="X45" s="14">
        <v>16</v>
      </c>
      <c r="Y45" s="14" t="s">
        <v>149</v>
      </c>
      <c r="Z45" s="14" t="s">
        <v>53</v>
      </c>
      <c r="AA45" s="14">
        <v>2</v>
      </c>
      <c r="AB45" s="14">
        <v>2</v>
      </c>
      <c r="AC45" s="14">
        <v>3.1</v>
      </c>
      <c r="AD45" s="14" t="s">
        <v>130</v>
      </c>
      <c r="AE45" s="14">
        <v>379</v>
      </c>
      <c r="AF45" s="14">
        <v>237077</v>
      </c>
      <c r="AG45" s="14">
        <v>149030.19</v>
      </c>
      <c r="AH45" s="14">
        <v>88046.81</v>
      </c>
      <c r="AI45" s="14" t="s">
        <v>72</v>
      </c>
      <c r="AJ45" s="14" t="s">
        <v>169</v>
      </c>
      <c r="AK45" s="14" t="s">
        <v>57</v>
      </c>
      <c r="AL45" s="14">
        <v>2.6</v>
      </c>
      <c r="AM45" s="14">
        <v>22.9</v>
      </c>
      <c r="AN45" s="18">
        <v>45783</v>
      </c>
    </row>
    <row r="46" spans="1:40" thickTop="1" thickBot="1" x14ac:dyDescent="0.3">
      <c r="A46" s="13" t="s">
        <v>286</v>
      </c>
      <c r="B46" s="14" t="s">
        <v>236</v>
      </c>
      <c r="C46" s="14" t="s">
        <v>77</v>
      </c>
      <c r="D46" s="14">
        <v>46</v>
      </c>
      <c r="E46" s="14" t="s">
        <v>78</v>
      </c>
      <c r="F46" s="14" t="s">
        <v>144</v>
      </c>
      <c r="G46" s="14" t="s">
        <v>185</v>
      </c>
      <c r="H46" s="14" t="s">
        <v>94</v>
      </c>
      <c r="I46" s="14" t="s">
        <v>64</v>
      </c>
      <c r="J46" s="14" t="s">
        <v>117</v>
      </c>
      <c r="K46" s="15">
        <v>18</v>
      </c>
      <c r="L46" s="16">
        <v>104509</v>
      </c>
      <c r="M46" s="17">
        <v>45769</v>
      </c>
      <c r="N46" s="18">
        <v>31921</v>
      </c>
      <c r="O46" s="14" t="s">
        <v>298</v>
      </c>
      <c r="P46" s="14" t="s">
        <v>299</v>
      </c>
      <c r="Q46" s="14" t="s">
        <v>243</v>
      </c>
      <c r="R46" s="14">
        <v>4.9800000000000004</v>
      </c>
      <c r="S46" s="14">
        <v>98.8</v>
      </c>
      <c r="T46" s="14">
        <v>29</v>
      </c>
      <c r="U46" s="14">
        <v>111155</v>
      </c>
      <c r="V46" s="14">
        <v>3260411</v>
      </c>
      <c r="W46" s="14">
        <v>16</v>
      </c>
      <c r="X46" s="14">
        <v>29</v>
      </c>
      <c r="Y46" s="14" t="s">
        <v>69</v>
      </c>
      <c r="Z46" s="14" t="s">
        <v>101</v>
      </c>
      <c r="AA46" s="14">
        <v>18</v>
      </c>
      <c r="AB46" s="14">
        <v>12</v>
      </c>
      <c r="AC46" s="14">
        <v>2.9</v>
      </c>
      <c r="AD46" s="14" t="s">
        <v>54</v>
      </c>
      <c r="AE46" s="14">
        <v>369</v>
      </c>
      <c r="AF46" s="14">
        <v>349269</v>
      </c>
      <c r="AG46" s="14">
        <v>164487.81</v>
      </c>
      <c r="AH46" s="14">
        <v>184781.19</v>
      </c>
      <c r="AI46" s="14" t="s">
        <v>86</v>
      </c>
      <c r="AJ46" s="14" t="s">
        <v>169</v>
      </c>
      <c r="AK46" s="14" t="s">
        <v>123</v>
      </c>
      <c r="AL46" s="14">
        <v>3.7</v>
      </c>
      <c r="AM46" s="14">
        <v>24.9</v>
      </c>
      <c r="AN46" s="18">
        <v>46081</v>
      </c>
    </row>
    <row r="47" spans="1:40" thickTop="1" thickBot="1" x14ac:dyDescent="0.3">
      <c r="A47" s="13" t="s">
        <v>300</v>
      </c>
      <c r="B47" s="14" t="s">
        <v>89</v>
      </c>
      <c r="C47" s="14" t="s">
        <v>191</v>
      </c>
      <c r="D47" s="14">
        <v>43</v>
      </c>
      <c r="E47" s="14" t="s">
        <v>78</v>
      </c>
      <c r="F47" s="14" t="s">
        <v>165</v>
      </c>
      <c r="G47" s="14" t="s">
        <v>62</v>
      </c>
      <c r="H47" s="14" t="s">
        <v>116</v>
      </c>
      <c r="I47" s="14" t="s">
        <v>64</v>
      </c>
      <c r="J47" s="14" t="s">
        <v>96</v>
      </c>
      <c r="K47" s="15">
        <v>15</v>
      </c>
      <c r="L47" s="16">
        <v>35706</v>
      </c>
      <c r="M47" s="17">
        <v>45945</v>
      </c>
      <c r="N47" s="18">
        <v>33349</v>
      </c>
      <c r="O47" s="14" t="s">
        <v>301</v>
      </c>
      <c r="P47" s="14" t="s">
        <v>302</v>
      </c>
      <c r="Q47" s="14" t="s">
        <v>303</v>
      </c>
      <c r="R47" s="14">
        <v>2.94</v>
      </c>
      <c r="S47" s="14">
        <v>88.7</v>
      </c>
      <c r="T47" s="14">
        <v>5</v>
      </c>
      <c r="U47" s="14">
        <v>190018</v>
      </c>
      <c r="V47" s="14">
        <v>3062772</v>
      </c>
      <c r="W47" s="14">
        <v>38</v>
      </c>
      <c r="X47" s="14">
        <v>27</v>
      </c>
      <c r="Y47" s="14" t="s">
        <v>274</v>
      </c>
      <c r="Z47" s="14" t="s">
        <v>111</v>
      </c>
      <c r="AA47" s="14">
        <v>9</v>
      </c>
      <c r="AB47" s="14">
        <v>7</v>
      </c>
      <c r="AC47" s="14">
        <v>1.3</v>
      </c>
      <c r="AD47" s="14" t="s">
        <v>232</v>
      </c>
      <c r="AE47" s="14">
        <v>463</v>
      </c>
      <c r="AF47" s="14">
        <v>413400</v>
      </c>
      <c r="AG47" s="14">
        <v>269891.93</v>
      </c>
      <c r="AH47" s="14">
        <v>143508.07</v>
      </c>
      <c r="AI47" s="14" t="s">
        <v>14</v>
      </c>
      <c r="AJ47" s="14" t="s">
        <v>169</v>
      </c>
      <c r="AK47" s="14" t="s">
        <v>103</v>
      </c>
      <c r="AL47" s="14">
        <v>4.3</v>
      </c>
      <c r="AM47" s="14">
        <v>19</v>
      </c>
      <c r="AN47" s="18">
        <v>45673</v>
      </c>
    </row>
    <row r="48" spans="1:40" thickTop="1" thickBot="1" x14ac:dyDescent="0.3">
      <c r="A48" s="13" t="s">
        <v>304</v>
      </c>
      <c r="B48" s="14" t="s">
        <v>42</v>
      </c>
      <c r="C48" s="14" t="s">
        <v>290</v>
      </c>
      <c r="D48" s="14">
        <v>30</v>
      </c>
      <c r="E48" s="14" t="s">
        <v>78</v>
      </c>
      <c r="F48" s="14" t="s">
        <v>237</v>
      </c>
      <c r="G48" s="14" t="s">
        <v>197</v>
      </c>
      <c r="H48" s="14" t="s">
        <v>63</v>
      </c>
      <c r="I48" s="14" t="s">
        <v>95</v>
      </c>
      <c r="J48" s="14" t="s">
        <v>96</v>
      </c>
      <c r="K48" s="15">
        <v>28</v>
      </c>
      <c r="L48" s="16">
        <v>140508</v>
      </c>
      <c r="M48" s="17">
        <v>46205</v>
      </c>
      <c r="N48" s="18">
        <v>31343</v>
      </c>
      <c r="O48" s="14" t="s">
        <v>305</v>
      </c>
      <c r="P48" s="14" t="s">
        <v>306</v>
      </c>
      <c r="Q48" s="14" t="s">
        <v>307</v>
      </c>
      <c r="R48" s="14">
        <v>4.6100000000000003</v>
      </c>
      <c r="S48" s="14">
        <v>86.5</v>
      </c>
      <c r="T48" s="14">
        <v>19</v>
      </c>
      <c r="U48" s="14">
        <v>103478</v>
      </c>
      <c r="V48" s="14">
        <v>8795688</v>
      </c>
      <c r="W48" s="14">
        <v>27</v>
      </c>
      <c r="X48" s="14">
        <v>16</v>
      </c>
      <c r="Y48" s="14" t="s">
        <v>69</v>
      </c>
      <c r="Z48" s="14" t="s">
        <v>70</v>
      </c>
      <c r="AA48" s="14">
        <v>17</v>
      </c>
      <c r="AB48" s="14">
        <v>3</v>
      </c>
      <c r="AC48" s="14">
        <v>3.7</v>
      </c>
      <c r="AD48" s="14" t="s">
        <v>179</v>
      </c>
      <c r="AE48" s="14">
        <v>284</v>
      </c>
      <c r="AF48" s="14">
        <v>52748</v>
      </c>
      <c r="AG48" s="14">
        <v>36538.75</v>
      </c>
      <c r="AH48" s="14">
        <v>16209.25</v>
      </c>
      <c r="AI48" s="14" t="s">
        <v>150</v>
      </c>
      <c r="AJ48" s="14" t="s">
        <v>113</v>
      </c>
      <c r="AK48" s="14" t="s">
        <v>87</v>
      </c>
      <c r="AL48" s="14">
        <v>1.9</v>
      </c>
      <c r="AM48" s="14">
        <v>4.2</v>
      </c>
      <c r="AN48" s="18">
        <v>46162</v>
      </c>
    </row>
    <row r="49" spans="1:40" thickTop="1" thickBot="1" x14ac:dyDescent="0.3">
      <c r="A49" s="13" t="s">
        <v>308</v>
      </c>
      <c r="B49" s="14" t="s">
        <v>206</v>
      </c>
      <c r="C49" s="14" t="s">
        <v>201</v>
      </c>
      <c r="D49" s="14">
        <v>36</v>
      </c>
      <c r="E49" s="14" t="s">
        <v>43</v>
      </c>
      <c r="F49" s="14" t="s">
        <v>237</v>
      </c>
      <c r="G49" s="14" t="s">
        <v>45</v>
      </c>
      <c r="H49" s="14" t="s">
        <v>135</v>
      </c>
      <c r="I49" s="14" t="s">
        <v>158</v>
      </c>
      <c r="J49" s="14" t="s">
        <v>145</v>
      </c>
      <c r="K49" s="15">
        <v>22</v>
      </c>
      <c r="L49" s="16">
        <v>182474</v>
      </c>
      <c r="M49" s="17">
        <v>46167</v>
      </c>
      <c r="N49" s="18">
        <v>37038</v>
      </c>
      <c r="O49" s="14" t="s">
        <v>309</v>
      </c>
      <c r="P49" s="14" t="s">
        <v>310</v>
      </c>
      <c r="Q49" s="14" t="s">
        <v>311</v>
      </c>
      <c r="R49" s="14">
        <v>2.68</v>
      </c>
      <c r="S49" s="14">
        <v>98.8</v>
      </c>
      <c r="T49" s="14">
        <v>4</v>
      </c>
      <c r="U49" s="14">
        <v>94643</v>
      </c>
      <c r="V49" s="14">
        <v>11187773</v>
      </c>
      <c r="W49" s="14">
        <v>46</v>
      </c>
      <c r="X49" s="14">
        <v>20</v>
      </c>
      <c r="Y49" s="14" t="s">
        <v>149</v>
      </c>
      <c r="Z49" s="14" t="s">
        <v>111</v>
      </c>
      <c r="AA49" s="14">
        <v>10</v>
      </c>
      <c r="AB49" s="14">
        <v>7</v>
      </c>
      <c r="AC49" s="14">
        <v>3.4</v>
      </c>
      <c r="AD49" s="14" t="s">
        <v>71</v>
      </c>
      <c r="AE49" s="14">
        <v>414</v>
      </c>
      <c r="AF49" s="14">
        <v>268949</v>
      </c>
      <c r="AG49" s="14">
        <v>167508.12</v>
      </c>
      <c r="AH49" s="14">
        <v>101440.88</v>
      </c>
      <c r="AI49" s="14" t="s">
        <v>150</v>
      </c>
      <c r="AJ49" s="14" t="s">
        <v>56</v>
      </c>
      <c r="AK49" s="14" t="s">
        <v>87</v>
      </c>
      <c r="AL49" s="14">
        <v>2.9</v>
      </c>
      <c r="AM49" s="14">
        <v>26.9</v>
      </c>
      <c r="AN49" s="18">
        <v>45692</v>
      </c>
    </row>
    <row r="50" spans="1:40" thickTop="1" thickBot="1" x14ac:dyDescent="0.3">
      <c r="A50" s="13" t="s">
        <v>231</v>
      </c>
      <c r="B50" s="14" t="s">
        <v>152</v>
      </c>
      <c r="C50" s="14" t="s">
        <v>115</v>
      </c>
      <c r="D50" s="14">
        <v>44</v>
      </c>
      <c r="E50" s="14" t="s">
        <v>43</v>
      </c>
      <c r="F50" s="14" t="s">
        <v>228</v>
      </c>
      <c r="G50" s="14" t="s">
        <v>126</v>
      </c>
      <c r="H50" s="14" t="s">
        <v>116</v>
      </c>
      <c r="I50" s="14" t="s">
        <v>64</v>
      </c>
      <c r="J50" s="14" t="s">
        <v>117</v>
      </c>
      <c r="K50" s="15">
        <v>13</v>
      </c>
      <c r="L50" s="16">
        <v>100948</v>
      </c>
      <c r="M50" s="17">
        <v>46225</v>
      </c>
      <c r="N50" s="18">
        <v>29716</v>
      </c>
      <c r="O50" s="14" t="s">
        <v>312</v>
      </c>
      <c r="P50" s="14" t="s">
        <v>313</v>
      </c>
      <c r="Q50" s="14" t="s">
        <v>254</v>
      </c>
      <c r="R50" s="14">
        <v>2.33</v>
      </c>
      <c r="S50" s="14">
        <v>99.5</v>
      </c>
      <c r="T50" s="14">
        <v>32</v>
      </c>
      <c r="U50" s="14">
        <v>180779</v>
      </c>
      <c r="V50" s="14">
        <v>3914691</v>
      </c>
      <c r="W50" s="14">
        <v>63</v>
      </c>
      <c r="X50" s="14">
        <v>25</v>
      </c>
      <c r="Y50" s="14" t="s">
        <v>69</v>
      </c>
      <c r="Z50" s="14" t="s">
        <v>53</v>
      </c>
      <c r="AA50" s="14">
        <v>22</v>
      </c>
      <c r="AB50" s="14">
        <v>3</v>
      </c>
      <c r="AC50" s="14">
        <v>1.8</v>
      </c>
      <c r="AD50" s="14" t="s">
        <v>85</v>
      </c>
      <c r="AE50" s="14">
        <v>65</v>
      </c>
      <c r="AF50" s="14">
        <v>232889</v>
      </c>
      <c r="AG50" s="14">
        <v>158679.57</v>
      </c>
      <c r="AH50" s="14">
        <v>74209.429999999993</v>
      </c>
      <c r="AI50" s="14" t="s">
        <v>150</v>
      </c>
      <c r="AJ50" s="14" t="s">
        <v>122</v>
      </c>
      <c r="AK50" s="14" t="s">
        <v>87</v>
      </c>
      <c r="AL50" s="14">
        <v>3.9</v>
      </c>
      <c r="AM50" s="14">
        <v>26.6</v>
      </c>
      <c r="AN50" s="18">
        <v>46216</v>
      </c>
    </row>
    <row r="51" spans="1:40" thickTop="1" thickBot="1" x14ac:dyDescent="0.3">
      <c r="A51" s="13" t="s">
        <v>314</v>
      </c>
      <c r="B51" s="14" t="s">
        <v>76</v>
      </c>
      <c r="C51" s="14" t="s">
        <v>201</v>
      </c>
      <c r="D51" s="14">
        <v>33</v>
      </c>
      <c r="E51" s="14" t="s">
        <v>43</v>
      </c>
      <c r="F51" s="14" t="s">
        <v>44</v>
      </c>
      <c r="G51" s="14" t="s">
        <v>45</v>
      </c>
      <c r="H51" s="14" t="s">
        <v>94</v>
      </c>
      <c r="I51" s="14" t="s">
        <v>95</v>
      </c>
      <c r="J51" s="14" t="s">
        <v>65</v>
      </c>
      <c r="K51" s="15">
        <v>28</v>
      </c>
      <c r="L51" s="16">
        <v>213514</v>
      </c>
      <c r="M51" s="17">
        <v>45742</v>
      </c>
      <c r="N51" s="18">
        <v>31434</v>
      </c>
      <c r="O51" s="14" t="s">
        <v>315</v>
      </c>
      <c r="P51" s="14" t="s">
        <v>316</v>
      </c>
      <c r="Q51" s="14" t="s">
        <v>317</v>
      </c>
      <c r="R51" s="14">
        <v>1.7</v>
      </c>
      <c r="S51" s="14">
        <v>89.9</v>
      </c>
      <c r="T51" s="14">
        <v>2</v>
      </c>
      <c r="U51" s="14">
        <v>221024</v>
      </c>
      <c r="V51" s="14">
        <v>13494539</v>
      </c>
      <c r="W51" s="14">
        <v>12</v>
      </c>
      <c r="X51" s="14">
        <v>29</v>
      </c>
      <c r="Y51" s="14" t="s">
        <v>149</v>
      </c>
      <c r="Z51" s="14" t="s">
        <v>53</v>
      </c>
      <c r="AA51" s="14">
        <v>1</v>
      </c>
      <c r="AB51" s="14">
        <v>0</v>
      </c>
      <c r="AC51" s="14">
        <v>4.5</v>
      </c>
      <c r="AD51" s="14" t="s">
        <v>189</v>
      </c>
      <c r="AE51" s="14">
        <v>402</v>
      </c>
      <c r="AF51" s="14">
        <v>223919</v>
      </c>
      <c r="AG51" s="14">
        <v>125652.23</v>
      </c>
      <c r="AH51" s="14">
        <v>98266.77</v>
      </c>
      <c r="AI51" s="14" t="s">
        <v>55</v>
      </c>
      <c r="AJ51" s="14" t="s">
        <v>56</v>
      </c>
      <c r="AK51" s="14" t="s">
        <v>123</v>
      </c>
      <c r="AL51" s="14">
        <v>4.4000000000000004</v>
      </c>
      <c r="AM51" s="14">
        <v>5.5</v>
      </c>
      <c r="AN51" s="18">
        <v>45693</v>
      </c>
    </row>
    <row r="52" spans="1:40" thickTop="1" thickBot="1" x14ac:dyDescent="0.3">
      <c r="A52" s="13" t="s">
        <v>246</v>
      </c>
      <c r="B52" s="14" t="s">
        <v>41</v>
      </c>
      <c r="C52" s="14" t="s">
        <v>201</v>
      </c>
      <c r="D52" s="14">
        <v>52</v>
      </c>
      <c r="E52" s="14" t="s">
        <v>91</v>
      </c>
      <c r="F52" s="14" t="s">
        <v>61</v>
      </c>
      <c r="G52" s="14" t="s">
        <v>45</v>
      </c>
      <c r="H52" s="14" t="s">
        <v>157</v>
      </c>
      <c r="I52" s="14" t="s">
        <v>64</v>
      </c>
      <c r="J52" s="14" t="s">
        <v>65</v>
      </c>
      <c r="K52" s="15">
        <v>22</v>
      </c>
      <c r="L52" s="16">
        <v>141076</v>
      </c>
      <c r="M52" s="17">
        <v>46115</v>
      </c>
      <c r="N52" s="18">
        <v>29973</v>
      </c>
      <c r="O52" s="14" t="s">
        <v>318</v>
      </c>
      <c r="P52" s="14" t="s">
        <v>319</v>
      </c>
      <c r="Q52" s="14" t="s">
        <v>99</v>
      </c>
      <c r="R52" s="14">
        <v>4.97</v>
      </c>
      <c r="S52" s="14">
        <v>89.8</v>
      </c>
      <c r="T52" s="14">
        <v>9</v>
      </c>
      <c r="U52" s="14">
        <v>249271</v>
      </c>
      <c r="V52" s="14">
        <v>13416554</v>
      </c>
      <c r="W52" s="14">
        <v>52</v>
      </c>
      <c r="X52" s="14">
        <v>17</v>
      </c>
      <c r="Y52" s="14" t="s">
        <v>69</v>
      </c>
      <c r="Z52" s="14" t="s">
        <v>111</v>
      </c>
      <c r="AA52" s="14">
        <v>38</v>
      </c>
      <c r="AB52" s="14">
        <v>3</v>
      </c>
      <c r="AC52" s="14">
        <v>3.6</v>
      </c>
      <c r="AD52" s="14" t="s">
        <v>155</v>
      </c>
      <c r="AE52" s="14">
        <v>458</v>
      </c>
      <c r="AF52" s="14">
        <v>240797</v>
      </c>
      <c r="AG52" s="14">
        <v>158816</v>
      </c>
      <c r="AH52" s="14">
        <v>81981</v>
      </c>
      <c r="AI52" s="14" t="s">
        <v>162</v>
      </c>
      <c r="AJ52" s="14" t="s">
        <v>122</v>
      </c>
      <c r="AK52" s="14" t="s">
        <v>87</v>
      </c>
      <c r="AL52" s="14">
        <v>1</v>
      </c>
      <c r="AM52" s="14">
        <v>20.5</v>
      </c>
      <c r="AN52" s="18">
        <v>45782</v>
      </c>
    </row>
    <row r="53" spans="1:40" thickTop="1" thickBot="1" x14ac:dyDescent="0.3">
      <c r="A53" s="13" t="s">
        <v>254</v>
      </c>
      <c r="B53" s="14" t="s">
        <v>176</v>
      </c>
      <c r="C53" s="14" t="s">
        <v>290</v>
      </c>
      <c r="D53" s="14">
        <v>36</v>
      </c>
      <c r="E53" s="14" t="s">
        <v>43</v>
      </c>
      <c r="F53" s="14" t="s">
        <v>237</v>
      </c>
      <c r="G53" s="14" t="s">
        <v>45</v>
      </c>
      <c r="H53" s="14" t="s">
        <v>63</v>
      </c>
      <c r="I53" s="14" t="s">
        <v>95</v>
      </c>
      <c r="J53" s="14" t="s">
        <v>48</v>
      </c>
      <c r="K53" s="15">
        <v>9</v>
      </c>
      <c r="L53" s="16">
        <v>199789</v>
      </c>
      <c r="M53" s="17">
        <v>46228</v>
      </c>
      <c r="N53" s="18">
        <v>37483</v>
      </c>
      <c r="O53" s="14" t="s">
        <v>320</v>
      </c>
      <c r="P53" s="14" t="s">
        <v>321</v>
      </c>
      <c r="Q53" s="14" t="s">
        <v>84</v>
      </c>
      <c r="R53" s="14">
        <v>1.1299999999999999</v>
      </c>
      <c r="S53" s="14">
        <v>71.8</v>
      </c>
      <c r="T53" s="14">
        <v>5</v>
      </c>
      <c r="U53" s="14">
        <v>203921</v>
      </c>
      <c r="V53" s="14">
        <v>5718764</v>
      </c>
      <c r="W53" s="14">
        <v>39</v>
      </c>
      <c r="X53" s="14">
        <v>23</v>
      </c>
      <c r="Y53" s="14" t="s">
        <v>52</v>
      </c>
      <c r="Z53" s="14" t="s">
        <v>70</v>
      </c>
      <c r="AA53" s="14">
        <v>2</v>
      </c>
      <c r="AB53" s="14">
        <v>1</v>
      </c>
      <c r="AC53" s="14">
        <v>3.4</v>
      </c>
      <c r="AD53" s="14" t="s">
        <v>71</v>
      </c>
      <c r="AE53" s="14">
        <v>188</v>
      </c>
      <c r="AF53" s="14">
        <v>78621</v>
      </c>
      <c r="AG53" s="14">
        <v>39131.11</v>
      </c>
      <c r="AH53" s="14">
        <v>39489.89</v>
      </c>
      <c r="AI53" s="14" t="s">
        <v>72</v>
      </c>
      <c r="AJ53" s="14" t="s">
        <v>73</v>
      </c>
      <c r="AK53" s="14" t="s">
        <v>57</v>
      </c>
      <c r="AL53" s="14">
        <v>1.6</v>
      </c>
      <c r="AM53" s="14">
        <v>23.9</v>
      </c>
      <c r="AN53" s="18">
        <v>46029</v>
      </c>
    </row>
    <row r="54" spans="1:40" thickTop="1" thickBot="1" x14ac:dyDescent="0.3">
      <c r="A54" s="13" t="s">
        <v>270</v>
      </c>
      <c r="B54" s="14" t="s">
        <v>156</v>
      </c>
      <c r="C54" s="14" t="s">
        <v>106</v>
      </c>
      <c r="D54" s="14">
        <v>49</v>
      </c>
      <c r="E54" s="14" t="s">
        <v>43</v>
      </c>
      <c r="F54" s="14" t="s">
        <v>44</v>
      </c>
      <c r="G54" s="14" t="s">
        <v>93</v>
      </c>
      <c r="H54" s="14" t="s">
        <v>116</v>
      </c>
      <c r="I54" s="14" t="s">
        <v>158</v>
      </c>
      <c r="J54" s="14" t="s">
        <v>48</v>
      </c>
      <c r="K54" s="15">
        <v>19</v>
      </c>
      <c r="L54" s="16">
        <v>205641</v>
      </c>
      <c r="M54" s="17">
        <v>45998</v>
      </c>
      <c r="N54" s="18">
        <v>36495</v>
      </c>
      <c r="O54" s="14" t="s">
        <v>322</v>
      </c>
      <c r="P54" s="14" t="s">
        <v>323</v>
      </c>
      <c r="Q54" s="14" t="s">
        <v>283</v>
      </c>
      <c r="R54" s="14">
        <v>3.34</v>
      </c>
      <c r="S54" s="14">
        <v>99.3</v>
      </c>
      <c r="T54" s="14">
        <v>15</v>
      </c>
      <c r="U54" s="14">
        <v>197487</v>
      </c>
      <c r="V54" s="14">
        <v>6998767</v>
      </c>
      <c r="W54" s="14">
        <v>48</v>
      </c>
      <c r="X54" s="14">
        <v>19</v>
      </c>
      <c r="Y54" s="14" t="s">
        <v>121</v>
      </c>
      <c r="Z54" s="14" t="s">
        <v>70</v>
      </c>
      <c r="AA54" s="14">
        <v>25</v>
      </c>
      <c r="AB54" s="14">
        <v>24</v>
      </c>
      <c r="AC54" s="14">
        <v>2.1</v>
      </c>
      <c r="AD54" s="14" t="s">
        <v>140</v>
      </c>
      <c r="AE54" s="14">
        <v>164</v>
      </c>
      <c r="AF54" s="14">
        <v>435399</v>
      </c>
      <c r="AG54" s="14">
        <v>263262.68</v>
      </c>
      <c r="AH54" s="14">
        <v>172136.32000000001</v>
      </c>
      <c r="AI54" s="14" t="s">
        <v>55</v>
      </c>
      <c r="AJ54" s="14" t="s">
        <v>113</v>
      </c>
      <c r="AK54" s="14" t="s">
        <v>87</v>
      </c>
      <c r="AL54" s="14">
        <v>1.6</v>
      </c>
      <c r="AM54" s="14">
        <v>27.6</v>
      </c>
      <c r="AN54" s="18">
        <v>45701</v>
      </c>
    </row>
    <row r="55" spans="1:40" thickTop="1" thickBot="1" x14ac:dyDescent="0.3">
      <c r="A55" s="13" t="s">
        <v>324</v>
      </c>
      <c r="B55" s="14" t="s">
        <v>171</v>
      </c>
      <c r="C55" s="14" t="s">
        <v>42</v>
      </c>
      <c r="D55" s="14">
        <v>38</v>
      </c>
      <c r="E55" s="14" t="s">
        <v>91</v>
      </c>
      <c r="F55" s="14" t="s">
        <v>228</v>
      </c>
      <c r="G55" s="14" t="s">
        <v>93</v>
      </c>
      <c r="H55" s="14" t="s">
        <v>157</v>
      </c>
      <c r="I55" s="14" t="s">
        <v>64</v>
      </c>
      <c r="J55" s="14" t="s">
        <v>145</v>
      </c>
      <c r="K55" s="15">
        <v>6</v>
      </c>
      <c r="L55" s="16">
        <v>241488</v>
      </c>
      <c r="M55" s="17">
        <v>45897</v>
      </c>
      <c r="N55" s="18">
        <v>32783</v>
      </c>
      <c r="O55" s="14" t="s">
        <v>325</v>
      </c>
      <c r="P55" s="14" t="s">
        <v>326</v>
      </c>
      <c r="Q55" s="14" t="s">
        <v>327</v>
      </c>
      <c r="R55" s="14">
        <v>1.83</v>
      </c>
      <c r="S55" s="14">
        <v>77.599999999999994</v>
      </c>
      <c r="T55" s="14">
        <v>0</v>
      </c>
      <c r="U55" s="14">
        <v>201837</v>
      </c>
      <c r="V55" s="14">
        <v>8212779</v>
      </c>
      <c r="W55" s="14">
        <v>69</v>
      </c>
      <c r="X55" s="14">
        <v>2</v>
      </c>
      <c r="Y55" s="14" t="s">
        <v>100</v>
      </c>
      <c r="Z55" s="14" t="s">
        <v>111</v>
      </c>
      <c r="AA55" s="14">
        <v>37</v>
      </c>
      <c r="AB55" s="14">
        <v>9</v>
      </c>
      <c r="AC55" s="14">
        <v>1.9</v>
      </c>
      <c r="AD55" s="14" t="s">
        <v>232</v>
      </c>
      <c r="AE55" s="14">
        <v>266</v>
      </c>
      <c r="AF55" s="14">
        <v>440592</v>
      </c>
      <c r="AG55" s="14">
        <v>343453.19</v>
      </c>
      <c r="AH55" s="14">
        <v>97138.81</v>
      </c>
      <c r="AI55" s="14" t="s">
        <v>55</v>
      </c>
      <c r="AJ55" s="14" t="s">
        <v>56</v>
      </c>
      <c r="AK55" s="14" t="s">
        <v>123</v>
      </c>
      <c r="AL55" s="14">
        <v>2.9</v>
      </c>
      <c r="AM55" s="14">
        <v>17.7</v>
      </c>
      <c r="AN55" s="18">
        <v>45851</v>
      </c>
    </row>
    <row r="56" spans="1:40" thickTop="1" thickBot="1" x14ac:dyDescent="0.3">
      <c r="A56" s="13" t="s">
        <v>311</v>
      </c>
      <c r="B56" s="14" t="s">
        <v>152</v>
      </c>
      <c r="C56" s="14" t="s">
        <v>290</v>
      </c>
      <c r="D56" s="14">
        <v>44</v>
      </c>
      <c r="E56" s="14" t="s">
        <v>91</v>
      </c>
      <c r="F56" s="14" t="s">
        <v>44</v>
      </c>
      <c r="G56" s="14" t="s">
        <v>93</v>
      </c>
      <c r="H56" s="14" t="s">
        <v>94</v>
      </c>
      <c r="I56" s="14" t="s">
        <v>95</v>
      </c>
      <c r="J56" s="14" t="s">
        <v>96</v>
      </c>
      <c r="K56" s="15">
        <v>1</v>
      </c>
      <c r="L56" s="16">
        <v>164307</v>
      </c>
      <c r="M56" s="17">
        <v>46041</v>
      </c>
      <c r="N56" s="18">
        <v>30488</v>
      </c>
      <c r="O56" s="14" t="s">
        <v>328</v>
      </c>
      <c r="P56" s="14" t="s">
        <v>329</v>
      </c>
      <c r="Q56" s="14" t="s">
        <v>205</v>
      </c>
      <c r="R56" s="14">
        <v>2.2599999999999998</v>
      </c>
      <c r="S56" s="14">
        <v>70.900000000000006</v>
      </c>
      <c r="T56" s="14">
        <v>17</v>
      </c>
      <c r="U56" s="14">
        <v>272344</v>
      </c>
      <c r="V56" s="14">
        <v>10686062</v>
      </c>
      <c r="W56" s="14">
        <v>2</v>
      </c>
      <c r="X56" s="14">
        <v>3</v>
      </c>
      <c r="Y56" s="14" t="s">
        <v>149</v>
      </c>
      <c r="Z56" s="14" t="s">
        <v>101</v>
      </c>
      <c r="AA56" s="14">
        <v>45</v>
      </c>
      <c r="AB56" s="14">
        <v>18</v>
      </c>
      <c r="AC56" s="14">
        <v>5</v>
      </c>
      <c r="AD56" s="14" t="s">
        <v>232</v>
      </c>
      <c r="AE56" s="14">
        <v>248</v>
      </c>
      <c r="AF56" s="14">
        <v>63333</v>
      </c>
      <c r="AG56" s="14">
        <v>32734.07</v>
      </c>
      <c r="AH56" s="14">
        <v>30598.93</v>
      </c>
      <c r="AI56" s="14" t="s">
        <v>86</v>
      </c>
      <c r="AJ56" s="14" t="s">
        <v>113</v>
      </c>
      <c r="AK56" s="14" t="s">
        <v>123</v>
      </c>
      <c r="AL56" s="14">
        <v>2.7</v>
      </c>
      <c r="AM56" s="14">
        <v>28.4</v>
      </c>
      <c r="AN56" s="18">
        <v>46265</v>
      </c>
    </row>
    <row r="57" spans="1:40" thickTop="1" thickBot="1" x14ac:dyDescent="0.3">
      <c r="A57" s="13" t="s">
        <v>330</v>
      </c>
      <c r="B57" s="14" t="s">
        <v>236</v>
      </c>
      <c r="C57" s="14" t="s">
        <v>42</v>
      </c>
      <c r="D57" s="14">
        <v>32</v>
      </c>
      <c r="E57" s="14" t="s">
        <v>43</v>
      </c>
      <c r="F57" s="14" t="s">
        <v>79</v>
      </c>
      <c r="G57" s="14" t="s">
        <v>45</v>
      </c>
      <c r="H57" s="14" t="s">
        <v>107</v>
      </c>
      <c r="I57" s="14" t="s">
        <v>47</v>
      </c>
      <c r="J57" s="14" t="s">
        <v>65</v>
      </c>
      <c r="K57" s="15">
        <v>11</v>
      </c>
      <c r="L57" s="16">
        <v>219961</v>
      </c>
      <c r="M57" s="17">
        <v>46127</v>
      </c>
      <c r="N57" s="18">
        <v>34758</v>
      </c>
      <c r="O57" s="14" t="s">
        <v>331</v>
      </c>
      <c r="P57" s="14" t="s">
        <v>332</v>
      </c>
      <c r="Q57" s="14" t="s">
        <v>246</v>
      </c>
      <c r="R57" s="14">
        <v>4.6900000000000004</v>
      </c>
      <c r="S57" s="14">
        <v>91.2</v>
      </c>
      <c r="T57" s="14">
        <v>5</v>
      </c>
      <c r="U57" s="14">
        <v>134843</v>
      </c>
      <c r="V57" s="14">
        <v>5847076</v>
      </c>
      <c r="W57" s="14">
        <v>72</v>
      </c>
      <c r="X57" s="14">
        <v>7</v>
      </c>
      <c r="Y57" s="14" t="s">
        <v>69</v>
      </c>
      <c r="Z57" s="14" t="s">
        <v>70</v>
      </c>
      <c r="AA57" s="14">
        <v>22</v>
      </c>
      <c r="AB57" s="14">
        <v>6</v>
      </c>
      <c r="AC57" s="14">
        <v>1.7</v>
      </c>
      <c r="AD57" s="14" t="s">
        <v>189</v>
      </c>
      <c r="AE57" s="14">
        <v>189</v>
      </c>
      <c r="AF57" s="14">
        <v>148166</v>
      </c>
      <c r="AG57" s="14">
        <v>112930.09</v>
      </c>
      <c r="AH57" s="14">
        <v>35235.910000000003</v>
      </c>
      <c r="AI57" s="14" t="s">
        <v>86</v>
      </c>
      <c r="AJ57" s="14" t="s">
        <v>169</v>
      </c>
      <c r="AK57" s="14" t="s">
        <v>57</v>
      </c>
      <c r="AL57" s="14">
        <v>1.2</v>
      </c>
      <c r="AM57" s="14">
        <v>7.7</v>
      </c>
      <c r="AN57" s="18">
        <v>46018</v>
      </c>
    </row>
    <row r="58" spans="1:40" thickTop="1" thickBot="1" x14ac:dyDescent="0.3">
      <c r="A58" s="13" t="s">
        <v>333</v>
      </c>
      <c r="B58" s="14" t="s">
        <v>60</v>
      </c>
      <c r="C58" s="14" t="s">
        <v>143</v>
      </c>
      <c r="D58" s="14">
        <v>53</v>
      </c>
      <c r="E58" s="14" t="s">
        <v>91</v>
      </c>
      <c r="F58" s="14" t="s">
        <v>228</v>
      </c>
      <c r="G58" s="14" t="s">
        <v>45</v>
      </c>
      <c r="H58" s="14" t="s">
        <v>157</v>
      </c>
      <c r="I58" s="14" t="s">
        <v>95</v>
      </c>
      <c r="J58" s="14" t="s">
        <v>117</v>
      </c>
      <c r="K58" s="15">
        <v>24</v>
      </c>
      <c r="L58" s="16">
        <v>36514</v>
      </c>
      <c r="M58" s="17">
        <v>45861</v>
      </c>
      <c r="N58" s="18">
        <v>37235</v>
      </c>
      <c r="O58" s="14" t="s">
        <v>334</v>
      </c>
      <c r="P58" s="14" t="s">
        <v>335</v>
      </c>
      <c r="Q58" s="14" t="s">
        <v>333</v>
      </c>
      <c r="R58" s="14">
        <v>4.03</v>
      </c>
      <c r="S58" s="14">
        <v>73.2</v>
      </c>
      <c r="T58" s="14">
        <v>20</v>
      </c>
      <c r="U58" s="14">
        <v>194871</v>
      </c>
      <c r="V58" s="14">
        <v>4811921</v>
      </c>
      <c r="W58" s="14">
        <v>49</v>
      </c>
      <c r="X58" s="14">
        <v>3</v>
      </c>
      <c r="Y58" s="14" t="s">
        <v>100</v>
      </c>
      <c r="Z58" s="14" t="s">
        <v>70</v>
      </c>
      <c r="AA58" s="14">
        <v>4</v>
      </c>
      <c r="AB58" s="14">
        <v>2</v>
      </c>
      <c r="AC58" s="14">
        <v>2.5</v>
      </c>
      <c r="AD58" s="14" t="s">
        <v>112</v>
      </c>
      <c r="AE58" s="14">
        <v>122</v>
      </c>
      <c r="AF58" s="14">
        <v>29567</v>
      </c>
      <c r="AG58" s="14">
        <v>22464.14</v>
      </c>
      <c r="AH58" s="14">
        <v>7102.86</v>
      </c>
      <c r="AI58" s="14" t="s">
        <v>162</v>
      </c>
      <c r="AJ58" s="14" t="s">
        <v>122</v>
      </c>
      <c r="AK58" s="14" t="s">
        <v>87</v>
      </c>
      <c r="AL58" s="14">
        <v>3.9</v>
      </c>
      <c r="AM58" s="14">
        <v>5.9</v>
      </c>
      <c r="AN58" s="18">
        <v>45694</v>
      </c>
    </row>
    <row r="59" spans="1:40" thickTop="1" thickBot="1" x14ac:dyDescent="0.3">
      <c r="A59" s="13" t="s">
        <v>174</v>
      </c>
      <c r="B59" s="14" t="s">
        <v>156</v>
      </c>
      <c r="C59" s="14" t="s">
        <v>290</v>
      </c>
      <c r="D59" s="14">
        <v>29</v>
      </c>
      <c r="E59" s="14" t="s">
        <v>43</v>
      </c>
      <c r="F59" s="14" t="s">
        <v>79</v>
      </c>
      <c r="G59" s="14" t="s">
        <v>62</v>
      </c>
      <c r="H59" s="14" t="s">
        <v>107</v>
      </c>
      <c r="I59" s="14" t="s">
        <v>47</v>
      </c>
      <c r="J59" s="14" t="s">
        <v>145</v>
      </c>
      <c r="K59" s="15">
        <v>10</v>
      </c>
      <c r="L59" s="16">
        <v>119558</v>
      </c>
      <c r="M59" s="17">
        <v>45897</v>
      </c>
      <c r="N59" s="18">
        <v>34751</v>
      </c>
      <c r="O59" s="14" t="s">
        <v>336</v>
      </c>
      <c r="P59" s="14" t="s">
        <v>337</v>
      </c>
      <c r="Q59" s="14" t="s">
        <v>120</v>
      </c>
      <c r="R59" s="14">
        <v>1.89</v>
      </c>
      <c r="S59" s="14">
        <v>71.7</v>
      </c>
      <c r="T59" s="14">
        <v>28</v>
      </c>
      <c r="U59" s="14">
        <v>290127</v>
      </c>
      <c r="V59" s="14">
        <v>2927846</v>
      </c>
      <c r="W59" s="14">
        <v>56</v>
      </c>
      <c r="X59" s="14">
        <v>27</v>
      </c>
      <c r="Y59" s="14" t="s">
        <v>52</v>
      </c>
      <c r="Z59" s="14" t="s">
        <v>53</v>
      </c>
      <c r="AA59" s="14">
        <v>24</v>
      </c>
      <c r="AB59" s="14">
        <v>23</v>
      </c>
      <c r="AC59" s="14">
        <v>2.7</v>
      </c>
      <c r="AD59" s="14" t="s">
        <v>155</v>
      </c>
      <c r="AE59" s="14">
        <v>79</v>
      </c>
      <c r="AF59" s="14">
        <v>55782</v>
      </c>
      <c r="AG59" s="14">
        <v>44378.559999999998</v>
      </c>
      <c r="AH59" s="14">
        <v>11403.44</v>
      </c>
      <c r="AI59" s="14" t="s">
        <v>102</v>
      </c>
      <c r="AJ59" s="14" t="s">
        <v>113</v>
      </c>
      <c r="AK59" s="14" t="s">
        <v>103</v>
      </c>
      <c r="AL59" s="14">
        <v>4.4000000000000004</v>
      </c>
      <c r="AM59" s="14">
        <v>10</v>
      </c>
      <c r="AN59" s="18">
        <v>45829</v>
      </c>
    </row>
    <row r="60" spans="1:40" thickTop="1" thickBot="1" x14ac:dyDescent="0.3">
      <c r="A60" s="13" t="s">
        <v>338</v>
      </c>
      <c r="B60" s="14" t="s">
        <v>181</v>
      </c>
      <c r="C60" s="14" t="s">
        <v>125</v>
      </c>
      <c r="D60" s="14">
        <v>30</v>
      </c>
      <c r="E60" s="14" t="s">
        <v>91</v>
      </c>
      <c r="F60" s="14" t="s">
        <v>144</v>
      </c>
      <c r="G60" s="14" t="s">
        <v>126</v>
      </c>
      <c r="H60" s="14" t="s">
        <v>81</v>
      </c>
      <c r="I60" s="14" t="s">
        <v>158</v>
      </c>
      <c r="J60" s="14" t="s">
        <v>48</v>
      </c>
      <c r="K60" s="15">
        <v>8</v>
      </c>
      <c r="L60" s="16">
        <v>232879</v>
      </c>
      <c r="M60" s="17">
        <v>45864</v>
      </c>
      <c r="N60" s="18">
        <v>33428</v>
      </c>
      <c r="O60" s="14" t="s">
        <v>339</v>
      </c>
      <c r="P60" s="14" t="s">
        <v>340</v>
      </c>
      <c r="Q60" s="14" t="s">
        <v>170</v>
      </c>
      <c r="R60" s="14">
        <v>2.56</v>
      </c>
      <c r="S60" s="14">
        <v>82.5</v>
      </c>
      <c r="T60" s="14">
        <v>10</v>
      </c>
      <c r="U60" s="14">
        <v>30137</v>
      </c>
      <c r="V60" s="14">
        <v>14464065</v>
      </c>
      <c r="W60" s="14">
        <v>37</v>
      </c>
      <c r="X60" s="14">
        <v>4</v>
      </c>
      <c r="Y60" s="14" t="s">
        <v>149</v>
      </c>
      <c r="Z60" s="14" t="s">
        <v>70</v>
      </c>
      <c r="AA60" s="14">
        <v>31</v>
      </c>
      <c r="AB60" s="14">
        <v>7</v>
      </c>
      <c r="AC60" s="14">
        <v>4.2</v>
      </c>
      <c r="AD60" s="14" t="s">
        <v>71</v>
      </c>
      <c r="AE60" s="14">
        <v>261</v>
      </c>
      <c r="AF60" s="14">
        <v>72272</v>
      </c>
      <c r="AG60" s="14">
        <v>41027.71</v>
      </c>
      <c r="AH60" s="14">
        <v>31244.29</v>
      </c>
      <c r="AI60" s="14" t="s">
        <v>162</v>
      </c>
      <c r="AJ60" s="14" t="s">
        <v>73</v>
      </c>
      <c r="AK60" s="14" t="s">
        <v>74</v>
      </c>
      <c r="AL60" s="14">
        <v>4.2</v>
      </c>
      <c r="AM60" s="14">
        <v>28.3</v>
      </c>
      <c r="AN60" s="18">
        <v>45951</v>
      </c>
    </row>
    <row r="61" spans="1:40" thickTop="1" thickBot="1" x14ac:dyDescent="0.3">
      <c r="A61" s="13" t="s">
        <v>341</v>
      </c>
      <c r="B61" s="14" t="s">
        <v>156</v>
      </c>
      <c r="C61" s="14" t="s">
        <v>77</v>
      </c>
      <c r="D61" s="14">
        <v>38</v>
      </c>
      <c r="E61" s="14" t="s">
        <v>91</v>
      </c>
      <c r="F61" s="14" t="s">
        <v>237</v>
      </c>
      <c r="G61" s="14" t="s">
        <v>134</v>
      </c>
      <c r="H61" s="14" t="s">
        <v>135</v>
      </c>
      <c r="I61" s="14" t="s">
        <v>95</v>
      </c>
      <c r="J61" s="14" t="s">
        <v>96</v>
      </c>
      <c r="K61" s="15">
        <v>6</v>
      </c>
      <c r="L61" s="16">
        <v>192457</v>
      </c>
      <c r="M61" s="17">
        <v>45739</v>
      </c>
      <c r="N61" s="18">
        <v>30248</v>
      </c>
      <c r="O61" s="14" t="s">
        <v>342</v>
      </c>
      <c r="P61" s="14" t="s">
        <v>343</v>
      </c>
      <c r="Q61" s="14" t="s">
        <v>209</v>
      </c>
      <c r="R61" s="14">
        <v>1.82</v>
      </c>
      <c r="S61" s="14">
        <v>88.4</v>
      </c>
      <c r="T61" s="14">
        <v>12</v>
      </c>
      <c r="U61" s="14">
        <v>161503</v>
      </c>
      <c r="V61" s="14">
        <v>3893877</v>
      </c>
      <c r="W61" s="14">
        <v>1</v>
      </c>
      <c r="X61" s="14">
        <v>2</v>
      </c>
      <c r="Y61" s="14" t="s">
        <v>274</v>
      </c>
      <c r="Z61" s="14" t="s">
        <v>111</v>
      </c>
      <c r="AA61" s="14">
        <v>27</v>
      </c>
      <c r="AB61" s="14">
        <v>6</v>
      </c>
      <c r="AC61" s="14">
        <v>3.1</v>
      </c>
      <c r="AD61" s="14" t="s">
        <v>71</v>
      </c>
      <c r="AE61" s="14">
        <v>171</v>
      </c>
      <c r="AF61" s="14">
        <v>243196</v>
      </c>
      <c r="AG61" s="14">
        <v>113086.8</v>
      </c>
      <c r="AH61" s="14">
        <v>130109.2</v>
      </c>
      <c r="AI61" s="14" t="s">
        <v>55</v>
      </c>
      <c r="AJ61" s="14" t="s">
        <v>73</v>
      </c>
      <c r="AK61" s="14" t="s">
        <v>74</v>
      </c>
      <c r="AL61" s="14">
        <v>1.1000000000000001</v>
      </c>
      <c r="AM61" s="14">
        <v>27.3</v>
      </c>
      <c r="AN61" s="18">
        <v>46146</v>
      </c>
    </row>
    <row r="62" spans="1:40" thickTop="1" thickBot="1" x14ac:dyDescent="0.3">
      <c r="A62" s="13" t="s">
        <v>344</v>
      </c>
      <c r="B62" s="14" t="s">
        <v>142</v>
      </c>
      <c r="C62" s="14" t="s">
        <v>106</v>
      </c>
      <c r="D62" s="14">
        <v>23</v>
      </c>
      <c r="E62" s="14" t="s">
        <v>78</v>
      </c>
      <c r="F62" s="14" t="s">
        <v>133</v>
      </c>
      <c r="G62" s="14" t="s">
        <v>45</v>
      </c>
      <c r="H62" s="14" t="s">
        <v>63</v>
      </c>
      <c r="I62" s="14" t="s">
        <v>64</v>
      </c>
      <c r="J62" s="14" t="s">
        <v>65</v>
      </c>
      <c r="K62" s="15">
        <v>2</v>
      </c>
      <c r="L62" s="16">
        <v>66659</v>
      </c>
      <c r="M62" s="17">
        <v>46023</v>
      </c>
      <c r="N62" s="18">
        <v>37373</v>
      </c>
      <c r="O62" s="14" t="s">
        <v>345</v>
      </c>
      <c r="P62" s="14" t="s">
        <v>346</v>
      </c>
      <c r="Q62" s="14" t="s">
        <v>266</v>
      </c>
      <c r="R62" s="14">
        <v>4.01</v>
      </c>
      <c r="S62" s="14">
        <v>71.8</v>
      </c>
      <c r="T62" s="14">
        <v>6</v>
      </c>
      <c r="U62" s="14">
        <v>259419</v>
      </c>
      <c r="V62" s="14">
        <v>7990001</v>
      </c>
      <c r="W62" s="14">
        <v>65</v>
      </c>
      <c r="X62" s="14">
        <v>0</v>
      </c>
      <c r="Y62" s="14" t="s">
        <v>52</v>
      </c>
      <c r="Z62" s="14" t="s">
        <v>111</v>
      </c>
      <c r="AA62" s="14">
        <v>37</v>
      </c>
      <c r="AB62" s="14">
        <v>23</v>
      </c>
      <c r="AC62" s="14">
        <v>2</v>
      </c>
      <c r="AD62" s="14" t="s">
        <v>179</v>
      </c>
      <c r="AE62" s="14">
        <v>114</v>
      </c>
      <c r="AF62" s="14">
        <v>154596</v>
      </c>
      <c r="AG62" s="14">
        <v>83773.38</v>
      </c>
      <c r="AH62" s="14">
        <v>70822.62</v>
      </c>
      <c r="AI62" s="14" t="s">
        <v>162</v>
      </c>
      <c r="AJ62" s="14" t="s">
        <v>169</v>
      </c>
      <c r="AK62" s="14" t="s">
        <v>74</v>
      </c>
      <c r="AL62" s="14">
        <v>2.2000000000000002</v>
      </c>
      <c r="AM62" s="14">
        <v>16.7</v>
      </c>
      <c r="AN62" s="18">
        <v>45688</v>
      </c>
    </row>
    <row r="63" spans="1:40" thickTop="1" thickBot="1" x14ac:dyDescent="0.3">
      <c r="A63" s="13" t="s">
        <v>303</v>
      </c>
      <c r="B63" s="14" t="s">
        <v>42</v>
      </c>
      <c r="C63" s="14" t="s">
        <v>60</v>
      </c>
      <c r="D63" s="14">
        <v>50</v>
      </c>
      <c r="E63" s="14" t="s">
        <v>91</v>
      </c>
      <c r="F63" s="14" t="s">
        <v>211</v>
      </c>
      <c r="G63" s="14" t="s">
        <v>197</v>
      </c>
      <c r="H63" s="14" t="s">
        <v>157</v>
      </c>
      <c r="I63" s="14" t="s">
        <v>158</v>
      </c>
      <c r="J63" s="14" t="s">
        <v>48</v>
      </c>
      <c r="K63" s="15">
        <v>22</v>
      </c>
      <c r="L63" s="16">
        <v>81916</v>
      </c>
      <c r="M63" s="17">
        <v>45704</v>
      </c>
      <c r="N63" s="18">
        <v>32188</v>
      </c>
      <c r="O63" s="14" t="s">
        <v>347</v>
      </c>
      <c r="P63" s="14" t="s">
        <v>348</v>
      </c>
      <c r="Q63" s="14" t="s">
        <v>349</v>
      </c>
      <c r="R63" s="14">
        <v>4.05</v>
      </c>
      <c r="S63" s="14">
        <v>73.3</v>
      </c>
      <c r="T63" s="14">
        <v>7</v>
      </c>
      <c r="U63" s="14">
        <v>212677</v>
      </c>
      <c r="V63" s="14">
        <v>2797717</v>
      </c>
      <c r="W63" s="14">
        <v>69</v>
      </c>
      <c r="X63" s="14">
        <v>18</v>
      </c>
      <c r="Y63" s="14" t="s">
        <v>121</v>
      </c>
      <c r="Z63" s="14" t="s">
        <v>101</v>
      </c>
      <c r="AA63" s="14">
        <v>17</v>
      </c>
      <c r="AB63" s="14">
        <v>0</v>
      </c>
      <c r="AC63" s="14">
        <v>1.6</v>
      </c>
      <c r="AD63" s="14" t="s">
        <v>232</v>
      </c>
      <c r="AE63" s="14">
        <v>236</v>
      </c>
      <c r="AF63" s="14">
        <v>381460</v>
      </c>
      <c r="AG63" s="14">
        <v>275924.13</v>
      </c>
      <c r="AH63" s="14">
        <v>105535.87</v>
      </c>
      <c r="AI63" s="14" t="s">
        <v>131</v>
      </c>
      <c r="AJ63" s="14" t="s">
        <v>169</v>
      </c>
      <c r="AK63" s="14" t="s">
        <v>74</v>
      </c>
      <c r="AL63" s="14">
        <v>4.8</v>
      </c>
      <c r="AM63" s="14">
        <v>11.7</v>
      </c>
      <c r="AN63" s="18">
        <v>46088</v>
      </c>
    </row>
    <row r="64" spans="1:40" thickTop="1" thickBot="1" x14ac:dyDescent="0.3">
      <c r="A64" s="13" t="s">
        <v>214</v>
      </c>
      <c r="B64" s="14" t="s">
        <v>236</v>
      </c>
      <c r="C64" s="14" t="s">
        <v>217</v>
      </c>
      <c r="D64" s="14">
        <v>42</v>
      </c>
      <c r="E64" s="14" t="s">
        <v>43</v>
      </c>
      <c r="F64" s="14" t="s">
        <v>211</v>
      </c>
      <c r="G64" s="14" t="s">
        <v>93</v>
      </c>
      <c r="H64" s="14" t="s">
        <v>94</v>
      </c>
      <c r="I64" s="14" t="s">
        <v>158</v>
      </c>
      <c r="J64" s="14" t="s">
        <v>145</v>
      </c>
      <c r="K64" s="15">
        <v>27</v>
      </c>
      <c r="L64" s="16">
        <v>182083</v>
      </c>
      <c r="M64" s="17">
        <v>45712</v>
      </c>
      <c r="N64" s="18">
        <v>33121</v>
      </c>
      <c r="O64" s="14" t="s">
        <v>350</v>
      </c>
      <c r="P64" s="14" t="s">
        <v>351</v>
      </c>
      <c r="Q64" s="14" t="s">
        <v>311</v>
      </c>
      <c r="R64" s="14">
        <v>3.65</v>
      </c>
      <c r="S64" s="14">
        <v>70.3</v>
      </c>
      <c r="T64" s="14">
        <v>6</v>
      </c>
      <c r="U64" s="14">
        <v>278291</v>
      </c>
      <c r="V64" s="14">
        <v>3645657</v>
      </c>
      <c r="W64" s="14">
        <v>8</v>
      </c>
      <c r="X64" s="14">
        <v>10</v>
      </c>
      <c r="Y64" s="14" t="s">
        <v>274</v>
      </c>
      <c r="Z64" s="14" t="s">
        <v>101</v>
      </c>
      <c r="AA64" s="14">
        <v>4</v>
      </c>
      <c r="AB64" s="14">
        <v>2</v>
      </c>
      <c r="AC64" s="14">
        <v>3</v>
      </c>
      <c r="AD64" s="14" t="s">
        <v>140</v>
      </c>
      <c r="AE64" s="14">
        <v>115</v>
      </c>
      <c r="AF64" s="14">
        <v>290573</v>
      </c>
      <c r="AG64" s="14">
        <v>134650.57</v>
      </c>
      <c r="AH64" s="14">
        <v>155922.43</v>
      </c>
      <c r="AI64" s="14" t="s">
        <v>162</v>
      </c>
      <c r="AJ64" s="14" t="s">
        <v>73</v>
      </c>
      <c r="AK64" s="14" t="s">
        <v>87</v>
      </c>
      <c r="AL64" s="14">
        <v>4.0999999999999996</v>
      </c>
      <c r="AM64" s="14">
        <v>28.1</v>
      </c>
      <c r="AN64" s="18">
        <v>46306</v>
      </c>
    </row>
    <row r="65" spans="1:40" thickTop="1" thickBot="1" x14ac:dyDescent="0.3">
      <c r="A65" s="13" t="s">
        <v>352</v>
      </c>
      <c r="B65" s="14" t="s">
        <v>60</v>
      </c>
      <c r="C65" s="14" t="s">
        <v>201</v>
      </c>
      <c r="D65" s="14">
        <v>38</v>
      </c>
      <c r="E65" s="14" t="s">
        <v>91</v>
      </c>
      <c r="F65" s="14" t="s">
        <v>61</v>
      </c>
      <c r="G65" s="14" t="s">
        <v>45</v>
      </c>
      <c r="H65" s="14" t="s">
        <v>157</v>
      </c>
      <c r="I65" s="14" t="s">
        <v>158</v>
      </c>
      <c r="J65" s="14" t="s">
        <v>48</v>
      </c>
      <c r="K65" s="15">
        <v>16</v>
      </c>
      <c r="L65" s="16">
        <v>38582</v>
      </c>
      <c r="M65" s="17">
        <v>46102</v>
      </c>
      <c r="N65" s="18">
        <v>31787</v>
      </c>
      <c r="O65" s="14" t="s">
        <v>353</v>
      </c>
      <c r="P65" s="14" t="s">
        <v>354</v>
      </c>
      <c r="Q65" s="14" t="s">
        <v>286</v>
      </c>
      <c r="R65" s="14">
        <v>3.59</v>
      </c>
      <c r="S65" s="14">
        <v>73.599999999999994</v>
      </c>
      <c r="T65" s="14">
        <v>32</v>
      </c>
      <c r="U65" s="14">
        <v>140724</v>
      </c>
      <c r="V65" s="14">
        <v>1917239</v>
      </c>
      <c r="W65" s="14">
        <v>59</v>
      </c>
      <c r="X65" s="14">
        <v>18</v>
      </c>
      <c r="Y65" s="14" t="s">
        <v>52</v>
      </c>
      <c r="Z65" s="14" t="s">
        <v>70</v>
      </c>
      <c r="AA65" s="14">
        <v>40</v>
      </c>
      <c r="AB65" s="14">
        <v>17</v>
      </c>
      <c r="AC65" s="14">
        <v>1.5</v>
      </c>
      <c r="AD65" s="14" t="s">
        <v>189</v>
      </c>
      <c r="AE65" s="14">
        <v>453</v>
      </c>
      <c r="AF65" s="14">
        <v>33021</v>
      </c>
      <c r="AG65" s="14">
        <v>25435.23</v>
      </c>
      <c r="AH65" s="14">
        <v>7585.77</v>
      </c>
      <c r="AI65" s="14" t="s">
        <v>55</v>
      </c>
      <c r="AJ65" s="14" t="s">
        <v>73</v>
      </c>
      <c r="AK65" s="14" t="s">
        <v>103</v>
      </c>
      <c r="AL65" s="14">
        <v>2.2000000000000002</v>
      </c>
      <c r="AM65" s="14">
        <v>7.3</v>
      </c>
      <c r="AN65" s="18">
        <v>45747</v>
      </c>
    </row>
    <row r="66" spans="1:40" thickTop="1" thickBot="1" x14ac:dyDescent="0.3">
      <c r="A66" s="13" t="s">
        <v>349</v>
      </c>
      <c r="B66" s="14" t="s">
        <v>206</v>
      </c>
      <c r="C66" s="14" t="s">
        <v>191</v>
      </c>
      <c r="D66" s="14">
        <v>45</v>
      </c>
      <c r="E66" s="14" t="s">
        <v>78</v>
      </c>
      <c r="F66" s="14" t="s">
        <v>61</v>
      </c>
      <c r="G66" s="14" t="s">
        <v>93</v>
      </c>
      <c r="H66" s="14" t="s">
        <v>81</v>
      </c>
      <c r="I66" s="14" t="s">
        <v>158</v>
      </c>
      <c r="J66" s="14" t="s">
        <v>65</v>
      </c>
      <c r="K66" s="15">
        <v>15</v>
      </c>
      <c r="L66" s="16">
        <v>157936</v>
      </c>
      <c r="M66" s="17">
        <v>45975</v>
      </c>
      <c r="N66" s="18">
        <v>29322</v>
      </c>
      <c r="O66" s="14" t="s">
        <v>355</v>
      </c>
      <c r="P66" s="14" t="s">
        <v>356</v>
      </c>
      <c r="Q66" s="14" t="s">
        <v>357</v>
      </c>
      <c r="R66" s="14">
        <v>3.18</v>
      </c>
      <c r="S66" s="14">
        <v>99.1</v>
      </c>
      <c r="T66" s="14">
        <v>25</v>
      </c>
      <c r="U66" s="14">
        <v>6227</v>
      </c>
      <c r="V66" s="14">
        <v>6416533</v>
      </c>
      <c r="W66" s="14">
        <v>20</v>
      </c>
      <c r="X66" s="14">
        <v>27</v>
      </c>
      <c r="Y66" s="14" t="s">
        <v>121</v>
      </c>
      <c r="Z66" s="14" t="s">
        <v>53</v>
      </c>
      <c r="AA66" s="14">
        <v>37</v>
      </c>
      <c r="AB66" s="14">
        <v>14</v>
      </c>
      <c r="AC66" s="14">
        <v>3.2</v>
      </c>
      <c r="AD66" s="14" t="s">
        <v>112</v>
      </c>
      <c r="AE66" s="14">
        <v>138</v>
      </c>
      <c r="AF66" s="14">
        <v>253100</v>
      </c>
      <c r="AG66" s="14">
        <v>171015.23</v>
      </c>
      <c r="AH66" s="14">
        <v>82084.77</v>
      </c>
      <c r="AI66" s="14" t="s">
        <v>55</v>
      </c>
      <c r="AJ66" s="14" t="s">
        <v>169</v>
      </c>
      <c r="AK66" s="14" t="s">
        <v>123</v>
      </c>
      <c r="AL66" s="14">
        <v>1.2</v>
      </c>
      <c r="AM66" s="14">
        <v>0.7</v>
      </c>
      <c r="AN66" s="18">
        <v>46222</v>
      </c>
    </row>
    <row r="67" spans="1:40" thickTop="1" thickBot="1" x14ac:dyDescent="0.3">
      <c r="A67" s="13" t="s">
        <v>357</v>
      </c>
      <c r="B67" s="14" t="s">
        <v>176</v>
      </c>
      <c r="C67" s="14" t="s">
        <v>217</v>
      </c>
      <c r="D67" s="14">
        <v>45</v>
      </c>
      <c r="E67" s="14" t="s">
        <v>43</v>
      </c>
      <c r="F67" s="14" t="s">
        <v>133</v>
      </c>
      <c r="G67" s="14" t="s">
        <v>185</v>
      </c>
      <c r="H67" s="14" t="s">
        <v>46</v>
      </c>
      <c r="I67" s="14" t="s">
        <v>95</v>
      </c>
      <c r="J67" s="14" t="s">
        <v>145</v>
      </c>
      <c r="K67" s="15">
        <v>10</v>
      </c>
      <c r="L67" s="16">
        <v>210175</v>
      </c>
      <c r="M67" s="17">
        <v>46018</v>
      </c>
      <c r="N67" s="18">
        <v>30993</v>
      </c>
      <c r="O67" s="14" t="s">
        <v>358</v>
      </c>
      <c r="P67" s="14" t="s">
        <v>359</v>
      </c>
      <c r="Q67" s="14" t="s">
        <v>271</v>
      </c>
      <c r="R67" s="14">
        <v>4.28</v>
      </c>
      <c r="S67" s="14">
        <v>85.5</v>
      </c>
      <c r="T67" s="14">
        <v>30</v>
      </c>
      <c r="U67" s="14">
        <v>140867</v>
      </c>
      <c r="V67" s="14">
        <v>13669145</v>
      </c>
      <c r="W67" s="14">
        <v>80</v>
      </c>
      <c r="X67" s="14">
        <v>22</v>
      </c>
      <c r="Y67" s="14" t="s">
        <v>52</v>
      </c>
      <c r="Z67" s="14" t="s">
        <v>70</v>
      </c>
      <c r="AA67" s="14">
        <v>4</v>
      </c>
      <c r="AB67" s="14">
        <v>4</v>
      </c>
      <c r="AC67" s="14">
        <v>4.5</v>
      </c>
      <c r="AD67" s="14" t="s">
        <v>140</v>
      </c>
      <c r="AE67" s="14">
        <v>210</v>
      </c>
      <c r="AF67" s="14">
        <v>197449</v>
      </c>
      <c r="AG67" s="14">
        <v>120995.73</v>
      </c>
      <c r="AH67" s="14">
        <v>76453.27</v>
      </c>
      <c r="AI67" s="14" t="s">
        <v>150</v>
      </c>
      <c r="AJ67" s="14" t="s">
        <v>73</v>
      </c>
      <c r="AK67" s="14" t="s">
        <v>87</v>
      </c>
      <c r="AL67" s="14">
        <v>4.9000000000000004</v>
      </c>
      <c r="AM67" s="14">
        <v>17.2</v>
      </c>
      <c r="AN67" s="18">
        <v>46085</v>
      </c>
    </row>
    <row r="68" spans="1:40" thickTop="1" thickBot="1" x14ac:dyDescent="0.3">
      <c r="A68" s="13" t="s">
        <v>161</v>
      </c>
      <c r="B68" s="14" t="s">
        <v>181</v>
      </c>
      <c r="C68" s="14" t="s">
        <v>217</v>
      </c>
      <c r="D68" s="14">
        <v>50</v>
      </c>
      <c r="E68" s="14" t="s">
        <v>43</v>
      </c>
      <c r="F68" s="14" t="s">
        <v>133</v>
      </c>
      <c r="G68" s="14" t="s">
        <v>80</v>
      </c>
      <c r="H68" s="14" t="s">
        <v>63</v>
      </c>
      <c r="I68" s="14" t="s">
        <v>64</v>
      </c>
      <c r="J68" s="14" t="s">
        <v>65</v>
      </c>
      <c r="K68" s="15">
        <v>17</v>
      </c>
      <c r="L68" s="16">
        <v>191085</v>
      </c>
      <c r="M68" s="17">
        <v>46051</v>
      </c>
      <c r="N68" s="18">
        <v>36678</v>
      </c>
      <c r="O68" s="14" t="s">
        <v>360</v>
      </c>
      <c r="P68" s="14" t="s">
        <v>361</v>
      </c>
      <c r="Q68" s="14" t="s">
        <v>333</v>
      </c>
      <c r="R68" s="14">
        <v>2.2000000000000002</v>
      </c>
      <c r="S68" s="14">
        <v>86.1</v>
      </c>
      <c r="T68" s="14">
        <v>9</v>
      </c>
      <c r="U68" s="14">
        <v>228403</v>
      </c>
      <c r="V68" s="14">
        <v>10154160</v>
      </c>
      <c r="W68" s="14">
        <v>48</v>
      </c>
      <c r="X68" s="14">
        <v>18</v>
      </c>
      <c r="Y68" s="14" t="s">
        <v>121</v>
      </c>
      <c r="Z68" s="14" t="s">
        <v>111</v>
      </c>
      <c r="AA68" s="14">
        <v>29</v>
      </c>
      <c r="AB68" s="14">
        <v>22</v>
      </c>
      <c r="AC68" s="14">
        <v>4.3</v>
      </c>
      <c r="AD68" s="14" t="s">
        <v>71</v>
      </c>
      <c r="AE68" s="14">
        <v>165</v>
      </c>
      <c r="AF68" s="14">
        <v>333417</v>
      </c>
      <c r="AG68" s="14">
        <v>163734.29999999999</v>
      </c>
      <c r="AH68" s="14">
        <v>169682.7</v>
      </c>
      <c r="AI68" s="14" t="s">
        <v>86</v>
      </c>
      <c r="AJ68" s="14" t="s">
        <v>113</v>
      </c>
      <c r="AK68" s="14" t="s">
        <v>57</v>
      </c>
      <c r="AL68" s="14">
        <v>4.9000000000000004</v>
      </c>
      <c r="AM68" s="14">
        <v>26.7</v>
      </c>
      <c r="AN68" s="18">
        <v>45668</v>
      </c>
    </row>
    <row r="69" spans="1:40" thickTop="1" thickBot="1" x14ac:dyDescent="0.3">
      <c r="A69" s="13" t="s">
        <v>226</v>
      </c>
      <c r="B69" s="14" t="s">
        <v>42</v>
      </c>
      <c r="C69" s="14" t="s">
        <v>201</v>
      </c>
      <c r="D69" s="14">
        <v>55</v>
      </c>
      <c r="E69" s="14" t="s">
        <v>43</v>
      </c>
      <c r="F69" s="14" t="s">
        <v>61</v>
      </c>
      <c r="G69" s="14" t="s">
        <v>62</v>
      </c>
      <c r="H69" s="14" t="s">
        <v>94</v>
      </c>
      <c r="I69" s="14" t="s">
        <v>64</v>
      </c>
      <c r="J69" s="14" t="s">
        <v>145</v>
      </c>
      <c r="K69" s="15">
        <v>11</v>
      </c>
      <c r="L69" s="16">
        <v>45672</v>
      </c>
      <c r="M69" s="17">
        <v>46017</v>
      </c>
      <c r="N69" s="18">
        <v>34356</v>
      </c>
      <c r="O69" s="14" t="s">
        <v>362</v>
      </c>
      <c r="P69" s="14" t="s">
        <v>363</v>
      </c>
      <c r="Q69" s="14" t="s">
        <v>247</v>
      </c>
      <c r="R69" s="14">
        <v>1.4</v>
      </c>
      <c r="S69" s="14">
        <v>81.2</v>
      </c>
      <c r="T69" s="14">
        <v>25</v>
      </c>
      <c r="U69" s="14">
        <v>294303</v>
      </c>
      <c r="V69" s="14">
        <v>10131041</v>
      </c>
      <c r="W69" s="14">
        <v>19</v>
      </c>
      <c r="X69" s="14">
        <v>28</v>
      </c>
      <c r="Y69" s="14" t="s">
        <v>121</v>
      </c>
      <c r="Z69" s="14" t="s">
        <v>70</v>
      </c>
      <c r="AA69" s="14">
        <v>32</v>
      </c>
      <c r="AB69" s="14">
        <v>19</v>
      </c>
      <c r="AC69" s="14">
        <v>2.9</v>
      </c>
      <c r="AD69" s="14" t="s">
        <v>112</v>
      </c>
      <c r="AE69" s="14">
        <v>392</v>
      </c>
      <c r="AF69" s="14">
        <v>149505</v>
      </c>
      <c r="AG69" s="14">
        <v>98527.66</v>
      </c>
      <c r="AH69" s="14">
        <v>50977.34</v>
      </c>
      <c r="AI69" s="14" t="s">
        <v>14</v>
      </c>
      <c r="AJ69" s="14" t="s">
        <v>56</v>
      </c>
      <c r="AK69" s="14" t="s">
        <v>74</v>
      </c>
      <c r="AL69" s="14">
        <v>1.7</v>
      </c>
      <c r="AM69" s="14">
        <v>9.5</v>
      </c>
      <c r="AN69" s="18">
        <v>45734</v>
      </c>
    </row>
    <row r="70" spans="1:40" thickTop="1" thickBot="1" x14ac:dyDescent="0.3">
      <c r="A70" s="13" t="s">
        <v>364</v>
      </c>
      <c r="B70" s="14" t="s">
        <v>171</v>
      </c>
      <c r="C70" s="14" t="s">
        <v>143</v>
      </c>
      <c r="D70" s="14">
        <v>53</v>
      </c>
      <c r="E70" s="14" t="s">
        <v>43</v>
      </c>
      <c r="F70" s="14" t="s">
        <v>237</v>
      </c>
      <c r="G70" s="14" t="s">
        <v>80</v>
      </c>
      <c r="H70" s="14" t="s">
        <v>46</v>
      </c>
      <c r="I70" s="14" t="s">
        <v>95</v>
      </c>
      <c r="J70" s="14" t="s">
        <v>145</v>
      </c>
      <c r="K70" s="15">
        <v>5</v>
      </c>
      <c r="L70" s="16">
        <v>50773</v>
      </c>
      <c r="M70" s="17">
        <v>46236</v>
      </c>
      <c r="N70" s="18">
        <v>36203</v>
      </c>
      <c r="O70" s="14" t="s">
        <v>365</v>
      </c>
      <c r="P70" s="14" t="s">
        <v>366</v>
      </c>
      <c r="Q70" s="14" t="s">
        <v>367</v>
      </c>
      <c r="R70" s="14">
        <v>3.89</v>
      </c>
      <c r="S70" s="14">
        <v>90.8</v>
      </c>
      <c r="T70" s="14">
        <v>0</v>
      </c>
      <c r="U70" s="14">
        <v>1457</v>
      </c>
      <c r="V70" s="14">
        <v>5646250</v>
      </c>
      <c r="W70" s="14">
        <v>70</v>
      </c>
      <c r="X70" s="14">
        <v>0</v>
      </c>
      <c r="Y70" s="14" t="s">
        <v>139</v>
      </c>
      <c r="Z70" s="14" t="s">
        <v>70</v>
      </c>
      <c r="AA70" s="14">
        <v>19</v>
      </c>
      <c r="AB70" s="14">
        <v>10</v>
      </c>
      <c r="AC70" s="14">
        <v>4.4000000000000004</v>
      </c>
      <c r="AD70" s="14" t="s">
        <v>232</v>
      </c>
      <c r="AE70" s="14">
        <v>7</v>
      </c>
      <c r="AF70" s="14">
        <v>107057</v>
      </c>
      <c r="AG70" s="14">
        <v>52553.14</v>
      </c>
      <c r="AH70" s="14">
        <v>54503.86</v>
      </c>
      <c r="AI70" s="14" t="s">
        <v>102</v>
      </c>
      <c r="AJ70" s="14" t="s">
        <v>169</v>
      </c>
      <c r="AK70" s="14" t="s">
        <v>57</v>
      </c>
      <c r="AL70" s="14">
        <v>3</v>
      </c>
      <c r="AM70" s="14">
        <v>16.600000000000001</v>
      </c>
      <c r="AN70" s="18">
        <v>45930</v>
      </c>
    </row>
    <row r="71" spans="1:40" thickTop="1" thickBot="1" x14ac:dyDescent="0.3">
      <c r="A71" s="13" t="s">
        <v>368</v>
      </c>
      <c r="B71" s="14" t="s">
        <v>206</v>
      </c>
      <c r="C71" s="14" t="s">
        <v>143</v>
      </c>
      <c r="D71" s="14">
        <v>28</v>
      </c>
      <c r="E71" s="14" t="s">
        <v>78</v>
      </c>
      <c r="F71" s="14" t="s">
        <v>237</v>
      </c>
      <c r="G71" s="14" t="s">
        <v>185</v>
      </c>
      <c r="H71" s="14" t="s">
        <v>107</v>
      </c>
      <c r="I71" s="14" t="s">
        <v>47</v>
      </c>
      <c r="J71" s="14" t="s">
        <v>48</v>
      </c>
      <c r="K71" s="15">
        <v>5</v>
      </c>
      <c r="L71" s="16">
        <v>171968</v>
      </c>
      <c r="M71" s="17">
        <v>46160</v>
      </c>
      <c r="N71" s="18">
        <v>34621</v>
      </c>
      <c r="O71" s="14" t="s">
        <v>369</v>
      </c>
      <c r="P71" s="14" t="s">
        <v>370</v>
      </c>
      <c r="Q71" s="14" t="s">
        <v>58</v>
      </c>
      <c r="R71" s="14">
        <v>3.74</v>
      </c>
      <c r="S71" s="14">
        <v>87.4</v>
      </c>
      <c r="T71" s="14">
        <v>9</v>
      </c>
      <c r="U71" s="14">
        <v>124918</v>
      </c>
      <c r="V71" s="14">
        <v>6436530</v>
      </c>
      <c r="W71" s="14">
        <v>35</v>
      </c>
      <c r="X71" s="14">
        <v>5</v>
      </c>
      <c r="Y71" s="14" t="s">
        <v>149</v>
      </c>
      <c r="Z71" s="14" t="s">
        <v>53</v>
      </c>
      <c r="AA71" s="14">
        <v>27</v>
      </c>
      <c r="AB71" s="14">
        <v>19</v>
      </c>
      <c r="AC71" s="14">
        <v>3.5</v>
      </c>
      <c r="AD71" s="14" t="s">
        <v>232</v>
      </c>
      <c r="AE71" s="14">
        <v>32</v>
      </c>
      <c r="AF71" s="14">
        <v>90349</v>
      </c>
      <c r="AG71" s="14">
        <v>59861.01</v>
      </c>
      <c r="AH71" s="14">
        <v>30487.99</v>
      </c>
      <c r="AI71" s="14" t="s">
        <v>14</v>
      </c>
      <c r="AJ71" s="14" t="s">
        <v>169</v>
      </c>
      <c r="AK71" s="14" t="s">
        <v>87</v>
      </c>
      <c r="AL71" s="14">
        <v>3.5</v>
      </c>
      <c r="AM71" s="14">
        <v>0.6</v>
      </c>
      <c r="AN71" s="18">
        <v>45883</v>
      </c>
    </row>
    <row r="72" spans="1:40" thickTop="1" thickBot="1" x14ac:dyDescent="0.3">
      <c r="A72" s="13" t="s">
        <v>250</v>
      </c>
      <c r="B72" s="14" t="s">
        <v>164</v>
      </c>
      <c r="C72" s="14" t="s">
        <v>217</v>
      </c>
      <c r="D72" s="14">
        <v>36</v>
      </c>
      <c r="E72" s="14" t="s">
        <v>78</v>
      </c>
      <c r="F72" s="14" t="s">
        <v>211</v>
      </c>
      <c r="G72" s="14" t="s">
        <v>45</v>
      </c>
      <c r="H72" s="14" t="s">
        <v>135</v>
      </c>
      <c r="I72" s="14" t="s">
        <v>95</v>
      </c>
      <c r="J72" s="14" t="s">
        <v>117</v>
      </c>
      <c r="K72" s="15">
        <v>0</v>
      </c>
      <c r="L72" s="16">
        <v>248882</v>
      </c>
      <c r="M72" s="17">
        <v>46124</v>
      </c>
      <c r="N72" s="18">
        <v>32709</v>
      </c>
      <c r="O72" s="14" t="s">
        <v>371</v>
      </c>
      <c r="P72" s="14" t="s">
        <v>372</v>
      </c>
      <c r="Q72" s="14" t="s">
        <v>141</v>
      </c>
      <c r="R72" s="14">
        <v>1.97</v>
      </c>
      <c r="S72" s="14">
        <v>81.7</v>
      </c>
      <c r="T72" s="14">
        <v>14</v>
      </c>
      <c r="U72" s="14">
        <v>216790</v>
      </c>
      <c r="V72" s="14">
        <v>5686808</v>
      </c>
      <c r="W72" s="14">
        <v>51</v>
      </c>
      <c r="X72" s="14">
        <v>28</v>
      </c>
      <c r="Y72" s="14" t="s">
        <v>263</v>
      </c>
      <c r="Z72" s="14" t="s">
        <v>111</v>
      </c>
      <c r="AA72" s="14">
        <v>29</v>
      </c>
      <c r="AB72" s="14">
        <v>1</v>
      </c>
      <c r="AC72" s="14">
        <v>4.2</v>
      </c>
      <c r="AD72" s="14" t="s">
        <v>155</v>
      </c>
      <c r="AE72" s="14">
        <v>44</v>
      </c>
      <c r="AF72" s="14">
        <v>415585</v>
      </c>
      <c r="AG72" s="14">
        <v>334569.51</v>
      </c>
      <c r="AH72" s="14">
        <v>81015.490000000005</v>
      </c>
      <c r="AI72" s="14" t="s">
        <v>162</v>
      </c>
      <c r="AJ72" s="14" t="s">
        <v>169</v>
      </c>
      <c r="AK72" s="14" t="s">
        <v>123</v>
      </c>
      <c r="AL72" s="14">
        <v>2.5</v>
      </c>
      <c r="AM72" s="14">
        <v>0.2</v>
      </c>
      <c r="AN72" s="18">
        <v>45955</v>
      </c>
    </row>
    <row r="73" spans="1:40" thickTop="1" thickBot="1" x14ac:dyDescent="0.3">
      <c r="A73" s="13" t="s">
        <v>148</v>
      </c>
      <c r="B73" s="14" t="s">
        <v>164</v>
      </c>
      <c r="C73" s="14" t="s">
        <v>143</v>
      </c>
      <c r="D73" s="14">
        <v>42</v>
      </c>
      <c r="E73" s="14" t="s">
        <v>43</v>
      </c>
      <c r="F73" s="14" t="s">
        <v>79</v>
      </c>
      <c r="G73" s="14" t="s">
        <v>185</v>
      </c>
      <c r="H73" s="14" t="s">
        <v>94</v>
      </c>
      <c r="I73" s="14" t="s">
        <v>158</v>
      </c>
      <c r="J73" s="14" t="s">
        <v>65</v>
      </c>
      <c r="K73" s="15">
        <v>7</v>
      </c>
      <c r="L73" s="16">
        <v>136545</v>
      </c>
      <c r="M73" s="17">
        <v>45853</v>
      </c>
      <c r="N73" s="18">
        <v>34466</v>
      </c>
      <c r="O73" s="14" t="s">
        <v>373</v>
      </c>
      <c r="P73" s="14" t="s">
        <v>374</v>
      </c>
      <c r="Q73" s="14" t="s">
        <v>104</v>
      </c>
      <c r="R73" s="14">
        <v>2.12</v>
      </c>
      <c r="S73" s="14">
        <v>70.8</v>
      </c>
      <c r="T73" s="14">
        <v>9</v>
      </c>
      <c r="U73" s="14">
        <v>126772</v>
      </c>
      <c r="V73" s="14">
        <v>12342552</v>
      </c>
      <c r="W73" s="14">
        <v>16</v>
      </c>
      <c r="X73" s="14">
        <v>2</v>
      </c>
      <c r="Y73" s="14" t="s">
        <v>121</v>
      </c>
      <c r="Z73" s="14" t="s">
        <v>53</v>
      </c>
      <c r="AA73" s="14">
        <v>35</v>
      </c>
      <c r="AB73" s="14">
        <v>24</v>
      </c>
      <c r="AC73" s="14">
        <v>3.2</v>
      </c>
      <c r="AD73" s="14" t="s">
        <v>189</v>
      </c>
      <c r="AE73" s="14">
        <v>284</v>
      </c>
      <c r="AF73" s="14">
        <v>205283</v>
      </c>
      <c r="AG73" s="14">
        <v>101103.51</v>
      </c>
      <c r="AH73" s="14">
        <v>104179.49</v>
      </c>
      <c r="AI73" s="14" t="s">
        <v>72</v>
      </c>
      <c r="AJ73" s="14" t="s">
        <v>73</v>
      </c>
      <c r="AK73" s="14" t="s">
        <v>57</v>
      </c>
      <c r="AL73" s="14">
        <v>1.6</v>
      </c>
      <c r="AM73" s="14">
        <v>10.6</v>
      </c>
      <c r="AN73" s="18">
        <v>46072</v>
      </c>
    </row>
    <row r="74" spans="1:40" thickTop="1" thickBot="1" x14ac:dyDescent="0.3">
      <c r="A74" s="13" t="s">
        <v>51</v>
      </c>
      <c r="B74" s="14" t="s">
        <v>164</v>
      </c>
      <c r="C74" s="14" t="s">
        <v>106</v>
      </c>
      <c r="D74" s="14">
        <v>35</v>
      </c>
      <c r="E74" s="14" t="s">
        <v>43</v>
      </c>
      <c r="F74" s="14" t="s">
        <v>237</v>
      </c>
      <c r="G74" s="14" t="s">
        <v>80</v>
      </c>
      <c r="H74" s="14" t="s">
        <v>81</v>
      </c>
      <c r="I74" s="14" t="s">
        <v>158</v>
      </c>
      <c r="J74" s="14" t="s">
        <v>65</v>
      </c>
      <c r="K74" s="15">
        <v>7</v>
      </c>
      <c r="L74" s="16">
        <v>140945</v>
      </c>
      <c r="M74" s="17">
        <v>46180</v>
      </c>
      <c r="N74" s="18">
        <v>31499</v>
      </c>
      <c r="O74" s="14" t="s">
        <v>375</v>
      </c>
      <c r="P74" s="14" t="s">
        <v>376</v>
      </c>
      <c r="Q74" s="14" t="s">
        <v>163</v>
      </c>
      <c r="R74" s="14">
        <v>3.17</v>
      </c>
      <c r="S74" s="14">
        <v>78.099999999999994</v>
      </c>
      <c r="T74" s="14">
        <v>24</v>
      </c>
      <c r="U74" s="14">
        <v>15055</v>
      </c>
      <c r="V74" s="14">
        <v>11531379</v>
      </c>
      <c r="W74" s="14">
        <v>72</v>
      </c>
      <c r="X74" s="14">
        <v>4</v>
      </c>
      <c r="Y74" s="14" t="s">
        <v>139</v>
      </c>
      <c r="Z74" s="14" t="s">
        <v>111</v>
      </c>
      <c r="AA74" s="14">
        <v>31</v>
      </c>
      <c r="AB74" s="14">
        <v>13</v>
      </c>
      <c r="AC74" s="14">
        <v>2.6</v>
      </c>
      <c r="AD74" s="14" t="s">
        <v>179</v>
      </c>
      <c r="AE74" s="14">
        <v>355</v>
      </c>
      <c r="AF74" s="14">
        <v>319476</v>
      </c>
      <c r="AG74" s="14">
        <v>168358.04</v>
      </c>
      <c r="AH74" s="14">
        <v>151117.96</v>
      </c>
      <c r="AI74" s="14" t="s">
        <v>162</v>
      </c>
      <c r="AJ74" s="14" t="s">
        <v>169</v>
      </c>
      <c r="AK74" s="14" t="s">
        <v>123</v>
      </c>
      <c r="AL74" s="14">
        <v>1.8</v>
      </c>
      <c r="AM74" s="14">
        <v>26.7</v>
      </c>
      <c r="AN74" s="18">
        <v>45727</v>
      </c>
    </row>
    <row r="75" spans="1:40" thickTop="1" thickBot="1" x14ac:dyDescent="0.3">
      <c r="A75" s="13" t="s">
        <v>266</v>
      </c>
      <c r="B75" s="14" t="s">
        <v>206</v>
      </c>
      <c r="C75" s="14" t="s">
        <v>77</v>
      </c>
      <c r="D75" s="14">
        <v>25</v>
      </c>
      <c r="E75" s="14" t="s">
        <v>91</v>
      </c>
      <c r="F75" s="14" t="s">
        <v>165</v>
      </c>
      <c r="G75" s="14" t="s">
        <v>185</v>
      </c>
      <c r="H75" s="14" t="s">
        <v>46</v>
      </c>
      <c r="I75" s="14" t="s">
        <v>158</v>
      </c>
      <c r="J75" s="14" t="s">
        <v>96</v>
      </c>
      <c r="K75" s="15">
        <v>26</v>
      </c>
      <c r="L75" s="16">
        <v>222876</v>
      </c>
      <c r="M75" s="17">
        <v>46066</v>
      </c>
      <c r="N75" s="18">
        <v>32672</v>
      </c>
      <c r="O75" s="14" t="s">
        <v>377</v>
      </c>
      <c r="P75" s="14" t="s">
        <v>378</v>
      </c>
      <c r="Q75" s="14" t="s">
        <v>379</v>
      </c>
      <c r="R75" s="14">
        <v>4.45</v>
      </c>
      <c r="S75" s="14">
        <v>74</v>
      </c>
      <c r="T75" s="14">
        <v>17</v>
      </c>
      <c r="U75" s="14">
        <v>92480</v>
      </c>
      <c r="V75" s="14">
        <v>996170</v>
      </c>
      <c r="W75" s="14">
        <v>46</v>
      </c>
      <c r="X75" s="14">
        <v>21</v>
      </c>
      <c r="Y75" s="14" t="s">
        <v>100</v>
      </c>
      <c r="Z75" s="14" t="s">
        <v>70</v>
      </c>
      <c r="AA75" s="14">
        <v>20</v>
      </c>
      <c r="AB75" s="14">
        <v>6</v>
      </c>
      <c r="AC75" s="14">
        <v>1.1000000000000001</v>
      </c>
      <c r="AD75" s="14" t="s">
        <v>112</v>
      </c>
      <c r="AE75" s="14">
        <v>127</v>
      </c>
      <c r="AF75" s="14">
        <v>437146</v>
      </c>
      <c r="AG75" s="14">
        <v>277646.84000000003</v>
      </c>
      <c r="AH75" s="14">
        <v>159499.16</v>
      </c>
      <c r="AI75" s="14" t="s">
        <v>131</v>
      </c>
      <c r="AJ75" s="14" t="s">
        <v>113</v>
      </c>
      <c r="AK75" s="14" t="s">
        <v>74</v>
      </c>
      <c r="AL75" s="14">
        <v>1.7</v>
      </c>
      <c r="AM75" s="14">
        <v>3.5</v>
      </c>
      <c r="AN75" s="18">
        <v>46281</v>
      </c>
    </row>
    <row r="76" spans="1:40" thickTop="1" thickBot="1" x14ac:dyDescent="0.3">
      <c r="A76" s="13" t="s">
        <v>380</v>
      </c>
      <c r="B76" s="14" t="s">
        <v>216</v>
      </c>
      <c r="C76" s="14" t="s">
        <v>115</v>
      </c>
      <c r="D76" s="14">
        <v>48</v>
      </c>
      <c r="E76" s="14" t="s">
        <v>78</v>
      </c>
      <c r="F76" s="14" t="s">
        <v>165</v>
      </c>
      <c r="G76" s="14" t="s">
        <v>134</v>
      </c>
      <c r="H76" s="14" t="s">
        <v>94</v>
      </c>
      <c r="I76" s="14" t="s">
        <v>47</v>
      </c>
      <c r="J76" s="14" t="s">
        <v>65</v>
      </c>
      <c r="K76" s="15">
        <v>9</v>
      </c>
      <c r="L76" s="16">
        <v>200008</v>
      </c>
      <c r="M76" s="17">
        <v>45841</v>
      </c>
      <c r="N76" s="18">
        <v>35904</v>
      </c>
      <c r="O76" s="14" t="s">
        <v>381</v>
      </c>
      <c r="P76" s="14" t="s">
        <v>382</v>
      </c>
      <c r="Q76" s="14" t="s">
        <v>258</v>
      </c>
      <c r="R76" s="14">
        <v>4.7</v>
      </c>
      <c r="S76" s="14">
        <v>90.1</v>
      </c>
      <c r="T76" s="14">
        <v>22</v>
      </c>
      <c r="U76" s="14">
        <v>509</v>
      </c>
      <c r="V76" s="14">
        <v>2376902</v>
      </c>
      <c r="W76" s="14">
        <v>36</v>
      </c>
      <c r="X76" s="14">
        <v>28</v>
      </c>
      <c r="Y76" s="14" t="s">
        <v>149</v>
      </c>
      <c r="Z76" s="14" t="s">
        <v>111</v>
      </c>
      <c r="AA76" s="14">
        <v>3</v>
      </c>
      <c r="AB76" s="14">
        <v>1</v>
      </c>
      <c r="AC76" s="14">
        <v>4.9000000000000004</v>
      </c>
      <c r="AD76" s="14" t="s">
        <v>179</v>
      </c>
      <c r="AE76" s="14">
        <v>19</v>
      </c>
      <c r="AF76" s="14">
        <v>370162</v>
      </c>
      <c r="AG76" s="14">
        <v>172113.18</v>
      </c>
      <c r="AH76" s="14">
        <v>198048.82</v>
      </c>
      <c r="AI76" s="14" t="s">
        <v>14</v>
      </c>
      <c r="AJ76" s="14" t="s">
        <v>169</v>
      </c>
      <c r="AK76" s="14" t="s">
        <v>123</v>
      </c>
      <c r="AL76" s="14">
        <v>4</v>
      </c>
      <c r="AM76" s="14">
        <v>2.6</v>
      </c>
      <c r="AN76" s="18">
        <v>46061</v>
      </c>
    </row>
    <row r="77" spans="1:40" thickTop="1" thickBot="1" x14ac:dyDescent="0.3">
      <c r="A77" s="13" t="s">
        <v>99</v>
      </c>
      <c r="B77" s="14" t="s">
        <v>236</v>
      </c>
      <c r="C77" s="14" t="s">
        <v>290</v>
      </c>
      <c r="D77" s="14">
        <v>49</v>
      </c>
      <c r="E77" s="14" t="s">
        <v>43</v>
      </c>
      <c r="F77" s="14" t="s">
        <v>61</v>
      </c>
      <c r="G77" s="14" t="s">
        <v>197</v>
      </c>
      <c r="H77" s="14" t="s">
        <v>107</v>
      </c>
      <c r="I77" s="14" t="s">
        <v>95</v>
      </c>
      <c r="J77" s="14" t="s">
        <v>145</v>
      </c>
      <c r="K77" s="15">
        <v>21</v>
      </c>
      <c r="L77" s="16">
        <v>169186</v>
      </c>
      <c r="M77" s="17">
        <v>45788</v>
      </c>
      <c r="N77" s="18">
        <v>34791</v>
      </c>
      <c r="O77" s="14" t="s">
        <v>383</v>
      </c>
      <c r="P77" s="14" t="s">
        <v>384</v>
      </c>
      <c r="Q77" s="14" t="s">
        <v>209</v>
      </c>
      <c r="R77" s="14">
        <v>3.19</v>
      </c>
      <c r="S77" s="14">
        <v>99.1</v>
      </c>
      <c r="T77" s="14">
        <v>15</v>
      </c>
      <c r="U77" s="14">
        <v>285176</v>
      </c>
      <c r="V77" s="14">
        <v>4866720</v>
      </c>
      <c r="W77" s="14">
        <v>31</v>
      </c>
      <c r="X77" s="14">
        <v>30</v>
      </c>
      <c r="Y77" s="14" t="s">
        <v>149</v>
      </c>
      <c r="Z77" s="14" t="s">
        <v>101</v>
      </c>
      <c r="AA77" s="14">
        <v>23</v>
      </c>
      <c r="AB77" s="14">
        <v>13</v>
      </c>
      <c r="AC77" s="14">
        <v>2.4</v>
      </c>
      <c r="AD77" s="14" t="s">
        <v>130</v>
      </c>
      <c r="AE77" s="14">
        <v>47</v>
      </c>
      <c r="AF77" s="14">
        <v>162411</v>
      </c>
      <c r="AG77" s="14">
        <v>104772.98</v>
      </c>
      <c r="AH77" s="14">
        <v>57638.02</v>
      </c>
      <c r="AI77" s="14" t="s">
        <v>86</v>
      </c>
      <c r="AJ77" s="14" t="s">
        <v>113</v>
      </c>
      <c r="AK77" s="14" t="s">
        <v>57</v>
      </c>
      <c r="AL77" s="14">
        <v>1.5</v>
      </c>
      <c r="AM77" s="14">
        <v>21.2</v>
      </c>
      <c r="AN77" s="18">
        <v>46152</v>
      </c>
    </row>
    <row r="78" spans="1:40" thickTop="1" thickBot="1" x14ac:dyDescent="0.3">
      <c r="A78" s="13" t="s">
        <v>385</v>
      </c>
      <c r="B78" s="14" t="s">
        <v>216</v>
      </c>
      <c r="C78" s="14" t="s">
        <v>115</v>
      </c>
      <c r="D78" s="14">
        <v>29</v>
      </c>
      <c r="E78" s="14" t="s">
        <v>91</v>
      </c>
      <c r="F78" s="14" t="s">
        <v>133</v>
      </c>
      <c r="G78" s="14" t="s">
        <v>80</v>
      </c>
      <c r="H78" s="14" t="s">
        <v>135</v>
      </c>
      <c r="I78" s="14" t="s">
        <v>95</v>
      </c>
      <c r="J78" s="14" t="s">
        <v>65</v>
      </c>
      <c r="K78" s="15">
        <v>18</v>
      </c>
      <c r="L78" s="16">
        <v>98116</v>
      </c>
      <c r="M78" s="17">
        <v>45999</v>
      </c>
      <c r="N78" s="18">
        <v>36574</v>
      </c>
      <c r="O78" s="14" t="s">
        <v>386</v>
      </c>
      <c r="P78" s="14" t="s">
        <v>387</v>
      </c>
      <c r="Q78" s="14" t="s">
        <v>388</v>
      </c>
      <c r="R78" s="14">
        <v>3.67</v>
      </c>
      <c r="S78" s="14">
        <v>88</v>
      </c>
      <c r="T78" s="14">
        <v>29</v>
      </c>
      <c r="U78" s="14">
        <v>212912</v>
      </c>
      <c r="V78" s="14">
        <v>14444734</v>
      </c>
      <c r="W78" s="14">
        <v>26</v>
      </c>
      <c r="X78" s="14">
        <v>3</v>
      </c>
      <c r="Y78" s="14" t="s">
        <v>139</v>
      </c>
      <c r="Z78" s="14" t="s">
        <v>111</v>
      </c>
      <c r="AA78" s="14">
        <v>45</v>
      </c>
      <c r="AB78" s="14">
        <v>28</v>
      </c>
      <c r="AC78" s="14">
        <v>2.4</v>
      </c>
      <c r="AD78" s="14" t="s">
        <v>155</v>
      </c>
      <c r="AE78" s="14">
        <v>22</v>
      </c>
      <c r="AF78" s="14">
        <v>141726</v>
      </c>
      <c r="AG78" s="14">
        <v>64085.03</v>
      </c>
      <c r="AH78" s="14">
        <v>77640.97</v>
      </c>
      <c r="AI78" s="14" t="s">
        <v>102</v>
      </c>
      <c r="AJ78" s="14" t="s">
        <v>113</v>
      </c>
      <c r="AK78" s="14" t="s">
        <v>123</v>
      </c>
      <c r="AL78" s="14">
        <v>1.8</v>
      </c>
      <c r="AM78" s="14">
        <v>21</v>
      </c>
      <c r="AN78" s="18">
        <v>46116</v>
      </c>
    </row>
    <row r="79" spans="1:40" thickTop="1" thickBot="1" x14ac:dyDescent="0.3">
      <c r="A79" s="13" t="s">
        <v>389</v>
      </c>
      <c r="B79" s="14" t="s">
        <v>196</v>
      </c>
      <c r="C79" s="14" t="s">
        <v>42</v>
      </c>
      <c r="D79" s="14">
        <v>39</v>
      </c>
      <c r="E79" s="14" t="s">
        <v>78</v>
      </c>
      <c r="F79" s="14" t="s">
        <v>61</v>
      </c>
      <c r="G79" s="14" t="s">
        <v>185</v>
      </c>
      <c r="H79" s="14" t="s">
        <v>107</v>
      </c>
      <c r="I79" s="14" t="s">
        <v>47</v>
      </c>
      <c r="J79" s="14" t="s">
        <v>145</v>
      </c>
      <c r="K79" s="15">
        <v>24</v>
      </c>
      <c r="L79" s="16">
        <v>162277</v>
      </c>
      <c r="M79" s="17">
        <v>45743</v>
      </c>
      <c r="N79" s="18">
        <v>37966</v>
      </c>
      <c r="O79" s="14" t="s">
        <v>390</v>
      </c>
      <c r="P79" s="14" t="s">
        <v>391</v>
      </c>
      <c r="Q79" s="14" t="s">
        <v>175</v>
      </c>
      <c r="R79" s="14">
        <v>3.58</v>
      </c>
      <c r="S79" s="14">
        <v>98.7</v>
      </c>
      <c r="T79" s="14">
        <v>31</v>
      </c>
      <c r="U79" s="14">
        <v>99514</v>
      </c>
      <c r="V79" s="14">
        <v>13651259</v>
      </c>
      <c r="W79" s="14">
        <v>69</v>
      </c>
      <c r="X79" s="14">
        <v>10</v>
      </c>
      <c r="Y79" s="14" t="s">
        <v>149</v>
      </c>
      <c r="Z79" s="14" t="s">
        <v>53</v>
      </c>
      <c r="AA79" s="14">
        <v>37</v>
      </c>
      <c r="AB79" s="14">
        <v>23</v>
      </c>
      <c r="AC79" s="14">
        <v>4.7</v>
      </c>
      <c r="AD79" s="14" t="s">
        <v>85</v>
      </c>
      <c r="AE79" s="14">
        <v>321</v>
      </c>
      <c r="AF79" s="14">
        <v>185116</v>
      </c>
      <c r="AG79" s="14">
        <v>113786.51</v>
      </c>
      <c r="AH79" s="14">
        <v>71329.490000000005</v>
      </c>
      <c r="AI79" s="14" t="s">
        <v>55</v>
      </c>
      <c r="AJ79" s="14" t="s">
        <v>169</v>
      </c>
      <c r="AK79" s="14" t="s">
        <v>74</v>
      </c>
      <c r="AL79" s="14">
        <v>1.6</v>
      </c>
      <c r="AM79" s="14">
        <v>0.8</v>
      </c>
      <c r="AN79" s="18">
        <v>46062</v>
      </c>
    </row>
    <row r="80" spans="1:40" thickTop="1" thickBot="1" x14ac:dyDescent="0.3">
      <c r="A80" s="13" t="s">
        <v>262</v>
      </c>
      <c r="B80" s="14" t="s">
        <v>142</v>
      </c>
      <c r="C80" s="14" t="s">
        <v>191</v>
      </c>
      <c r="D80" s="14">
        <v>31</v>
      </c>
      <c r="E80" s="14" t="s">
        <v>78</v>
      </c>
      <c r="F80" s="14" t="s">
        <v>165</v>
      </c>
      <c r="G80" s="14" t="s">
        <v>93</v>
      </c>
      <c r="H80" s="14" t="s">
        <v>94</v>
      </c>
      <c r="I80" s="14" t="s">
        <v>95</v>
      </c>
      <c r="J80" s="14" t="s">
        <v>117</v>
      </c>
      <c r="K80" s="15">
        <v>10</v>
      </c>
      <c r="L80" s="16">
        <v>95352</v>
      </c>
      <c r="M80" s="17">
        <v>46035</v>
      </c>
      <c r="N80" s="18">
        <v>30937</v>
      </c>
      <c r="O80" s="14" t="s">
        <v>392</v>
      </c>
      <c r="P80" s="14" t="s">
        <v>393</v>
      </c>
      <c r="Q80" s="14" t="s">
        <v>132</v>
      </c>
      <c r="R80" s="14">
        <v>1.17</v>
      </c>
      <c r="S80" s="14">
        <v>87</v>
      </c>
      <c r="T80" s="14">
        <v>25</v>
      </c>
      <c r="U80" s="14">
        <v>26501</v>
      </c>
      <c r="V80" s="14">
        <v>4131292</v>
      </c>
      <c r="W80" s="14">
        <v>63</v>
      </c>
      <c r="X80" s="14">
        <v>13</v>
      </c>
      <c r="Y80" s="14" t="s">
        <v>263</v>
      </c>
      <c r="Z80" s="14" t="s">
        <v>101</v>
      </c>
      <c r="AA80" s="14">
        <v>41</v>
      </c>
      <c r="AB80" s="14">
        <v>33</v>
      </c>
      <c r="AC80" s="14">
        <v>5</v>
      </c>
      <c r="AD80" s="14" t="s">
        <v>232</v>
      </c>
      <c r="AE80" s="14">
        <v>297</v>
      </c>
      <c r="AF80" s="14">
        <v>207879</v>
      </c>
      <c r="AG80" s="14">
        <v>107831.38</v>
      </c>
      <c r="AH80" s="14">
        <v>100047.62</v>
      </c>
      <c r="AI80" s="14" t="s">
        <v>150</v>
      </c>
      <c r="AJ80" s="14" t="s">
        <v>169</v>
      </c>
      <c r="AK80" s="14" t="s">
        <v>57</v>
      </c>
      <c r="AL80" s="14">
        <v>1.7</v>
      </c>
      <c r="AM80" s="14">
        <v>13.3</v>
      </c>
      <c r="AN80" s="18">
        <v>46069</v>
      </c>
    </row>
    <row r="81" spans="1:40" thickTop="1" thickBot="1" x14ac:dyDescent="0.3">
      <c r="A81" s="13" t="s">
        <v>394</v>
      </c>
      <c r="B81" s="14" t="s">
        <v>176</v>
      </c>
      <c r="C81" s="14" t="s">
        <v>201</v>
      </c>
      <c r="D81" s="14">
        <v>44</v>
      </c>
      <c r="E81" s="14" t="s">
        <v>78</v>
      </c>
      <c r="F81" s="14" t="s">
        <v>144</v>
      </c>
      <c r="G81" s="14" t="s">
        <v>62</v>
      </c>
      <c r="H81" s="14" t="s">
        <v>135</v>
      </c>
      <c r="I81" s="14" t="s">
        <v>158</v>
      </c>
      <c r="J81" s="14" t="s">
        <v>48</v>
      </c>
      <c r="K81" s="15">
        <v>21</v>
      </c>
      <c r="L81" s="16">
        <v>49496</v>
      </c>
      <c r="M81" s="17">
        <v>46184</v>
      </c>
      <c r="N81" s="18">
        <v>37448</v>
      </c>
      <c r="O81" s="14" t="s">
        <v>395</v>
      </c>
      <c r="P81" s="14" t="s">
        <v>396</v>
      </c>
      <c r="Q81" s="14" t="s">
        <v>58</v>
      </c>
      <c r="R81" s="14">
        <v>3.66</v>
      </c>
      <c r="S81" s="14">
        <v>94.8</v>
      </c>
      <c r="T81" s="14">
        <v>10</v>
      </c>
      <c r="U81" s="14">
        <v>198612</v>
      </c>
      <c r="V81" s="14">
        <v>5461699</v>
      </c>
      <c r="W81" s="14">
        <v>0</v>
      </c>
      <c r="X81" s="14">
        <v>14</v>
      </c>
      <c r="Y81" s="14" t="s">
        <v>100</v>
      </c>
      <c r="Z81" s="14" t="s">
        <v>101</v>
      </c>
      <c r="AA81" s="14">
        <v>14</v>
      </c>
      <c r="AB81" s="14">
        <v>11</v>
      </c>
      <c r="AC81" s="14">
        <v>2.9</v>
      </c>
      <c r="AD81" s="14" t="s">
        <v>54</v>
      </c>
      <c r="AE81" s="14">
        <v>165</v>
      </c>
      <c r="AF81" s="14">
        <v>245425</v>
      </c>
      <c r="AG81" s="14">
        <v>153974.37</v>
      </c>
      <c r="AH81" s="14">
        <v>91450.63</v>
      </c>
      <c r="AI81" s="14" t="s">
        <v>72</v>
      </c>
      <c r="AJ81" s="14" t="s">
        <v>73</v>
      </c>
      <c r="AK81" s="14" t="s">
        <v>103</v>
      </c>
      <c r="AL81" s="14">
        <v>4.5999999999999996</v>
      </c>
      <c r="AM81" s="14">
        <v>26</v>
      </c>
      <c r="AN81" s="18">
        <v>46068</v>
      </c>
    </row>
    <row r="82" spans="1:40" thickTop="1" thickBot="1" x14ac:dyDescent="0.3">
      <c r="A82" s="13" t="s">
        <v>379</v>
      </c>
      <c r="B82" s="14" t="s">
        <v>236</v>
      </c>
      <c r="C82" s="14" t="s">
        <v>217</v>
      </c>
      <c r="D82" s="14">
        <v>40</v>
      </c>
      <c r="E82" s="14" t="s">
        <v>91</v>
      </c>
      <c r="F82" s="14" t="s">
        <v>44</v>
      </c>
      <c r="G82" s="14" t="s">
        <v>62</v>
      </c>
      <c r="H82" s="14" t="s">
        <v>63</v>
      </c>
      <c r="I82" s="14" t="s">
        <v>64</v>
      </c>
      <c r="J82" s="14" t="s">
        <v>96</v>
      </c>
      <c r="K82" s="15">
        <v>9</v>
      </c>
      <c r="L82" s="16">
        <v>125022</v>
      </c>
      <c r="M82" s="17">
        <v>46201</v>
      </c>
      <c r="N82" s="18">
        <v>36553</v>
      </c>
      <c r="O82" s="14" t="s">
        <v>397</v>
      </c>
      <c r="P82" s="14" t="s">
        <v>398</v>
      </c>
      <c r="Q82" s="14" t="s">
        <v>388</v>
      </c>
      <c r="R82" s="14">
        <v>3.96</v>
      </c>
      <c r="S82" s="14">
        <v>90.7</v>
      </c>
      <c r="T82" s="14">
        <v>9</v>
      </c>
      <c r="U82" s="14">
        <v>195040</v>
      </c>
      <c r="V82" s="14">
        <v>9809295</v>
      </c>
      <c r="W82" s="14">
        <v>74</v>
      </c>
      <c r="X82" s="14">
        <v>30</v>
      </c>
      <c r="Y82" s="14" t="s">
        <v>274</v>
      </c>
      <c r="Z82" s="14" t="s">
        <v>53</v>
      </c>
      <c r="AA82" s="14">
        <v>4</v>
      </c>
      <c r="AB82" s="14">
        <v>2</v>
      </c>
      <c r="AC82" s="14">
        <v>3.1</v>
      </c>
      <c r="AD82" s="14" t="s">
        <v>232</v>
      </c>
      <c r="AE82" s="14">
        <v>225</v>
      </c>
      <c r="AF82" s="14">
        <v>57697</v>
      </c>
      <c r="AG82" s="14">
        <v>43279.95</v>
      </c>
      <c r="AH82" s="14">
        <v>14417.05</v>
      </c>
      <c r="AI82" s="14" t="s">
        <v>131</v>
      </c>
      <c r="AJ82" s="14" t="s">
        <v>113</v>
      </c>
      <c r="AK82" s="14" t="s">
        <v>74</v>
      </c>
      <c r="AL82" s="14">
        <v>1.9</v>
      </c>
      <c r="AM82" s="14">
        <v>29.1</v>
      </c>
      <c r="AN82" s="18">
        <v>45865</v>
      </c>
    </row>
    <row r="83" spans="1:40" thickTop="1" thickBot="1" x14ac:dyDescent="0.3">
      <c r="A83" s="13" t="s">
        <v>367</v>
      </c>
      <c r="B83" s="14" t="s">
        <v>206</v>
      </c>
      <c r="C83" s="14" t="s">
        <v>115</v>
      </c>
      <c r="D83" s="14">
        <v>33</v>
      </c>
      <c r="E83" s="14" t="s">
        <v>91</v>
      </c>
      <c r="F83" s="14" t="s">
        <v>165</v>
      </c>
      <c r="G83" s="14" t="s">
        <v>197</v>
      </c>
      <c r="H83" s="14" t="s">
        <v>46</v>
      </c>
      <c r="I83" s="14" t="s">
        <v>64</v>
      </c>
      <c r="J83" s="14" t="s">
        <v>96</v>
      </c>
      <c r="K83" s="15">
        <v>17</v>
      </c>
      <c r="L83" s="16">
        <v>185131</v>
      </c>
      <c r="M83" s="17">
        <v>45773</v>
      </c>
      <c r="N83" s="18">
        <v>37883</v>
      </c>
      <c r="O83" s="14" t="s">
        <v>399</v>
      </c>
      <c r="P83" s="14" t="s">
        <v>400</v>
      </c>
      <c r="Q83" s="14" t="s">
        <v>270</v>
      </c>
      <c r="R83" s="14">
        <v>3.72</v>
      </c>
      <c r="S83" s="14">
        <v>94</v>
      </c>
      <c r="T83" s="14">
        <v>8</v>
      </c>
      <c r="U83" s="14">
        <v>263785</v>
      </c>
      <c r="V83" s="14">
        <v>9736911</v>
      </c>
      <c r="W83" s="14">
        <v>64</v>
      </c>
      <c r="X83" s="14">
        <v>22</v>
      </c>
      <c r="Y83" s="14" t="s">
        <v>69</v>
      </c>
      <c r="Z83" s="14" t="s">
        <v>111</v>
      </c>
      <c r="AA83" s="14">
        <v>17</v>
      </c>
      <c r="AB83" s="14">
        <v>3</v>
      </c>
      <c r="AC83" s="14">
        <v>2.8</v>
      </c>
      <c r="AD83" s="14" t="s">
        <v>130</v>
      </c>
      <c r="AE83" s="14">
        <v>278</v>
      </c>
      <c r="AF83" s="14">
        <v>73862</v>
      </c>
      <c r="AG83" s="14">
        <v>39284.68</v>
      </c>
      <c r="AH83" s="14">
        <v>34577.32</v>
      </c>
      <c r="AI83" s="14" t="s">
        <v>162</v>
      </c>
      <c r="AJ83" s="14" t="s">
        <v>169</v>
      </c>
      <c r="AK83" s="14" t="s">
        <v>103</v>
      </c>
      <c r="AL83" s="14">
        <v>2.9</v>
      </c>
      <c r="AM83" s="14">
        <v>2.8</v>
      </c>
      <c r="AN83" s="18">
        <v>46040</v>
      </c>
    </row>
    <row r="84" spans="1:40" thickTop="1" thickBot="1" x14ac:dyDescent="0.3">
      <c r="A84" s="13" t="s">
        <v>184</v>
      </c>
      <c r="B84" s="14" t="s">
        <v>236</v>
      </c>
      <c r="C84" s="14" t="s">
        <v>201</v>
      </c>
      <c r="D84" s="14">
        <v>21</v>
      </c>
      <c r="E84" s="14" t="s">
        <v>91</v>
      </c>
      <c r="F84" s="14" t="s">
        <v>44</v>
      </c>
      <c r="G84" s="14" t="s">
        <v>126</v>
      </c>
      <c r="H84" s="14" t="s">
        <v>81</v>
      </c>
      <c r="I84" s="14" t="s">
        <v>158</v>
      </c>
      <c r="J84" s="14" t="s">
        <v>48</v>
      </c>
      <c r="K84" s="15">
        <v>22</v>
      </c>
      <c r="L84" s="16">
        <v>70545</v>
      </c>
      <c r="M84" s="17">
        <v>46094</v>
      </c>
      <c r="N84" s="18">
        <v>30252</v>
      </c>
      <c r="O84" s="14" t="s">
        <v>401</v>
      </c>
      <c r="P84" s="14" t="s">
        <v>402</v>
      </c>
      <c r="Q84" s="14" t="s">
        <v>180</v>
      </c>
      <c r="R84" s="14">
        <v>4.67</v>
      </c>
      <c r="S84" s="14">
        <v>96.1</v>
      </c>
      <c r="T84" s="14">
        <v>10</v>
      </c>
      <c r="U84" s="14">
        <v>192404</v>
      </c>
      <c r="V84" s="14">
        <v>13006309</v>
      </c>
      <c r="W84" s="14">
        <v>43</v>
      </c>
      <c r="X84" s="14">
        <v>25</v>
      </c>
      <c r="Y84" s="14" t="s">
        <v>149</v>
      </c>
      <c r="Z84" s="14" t="s">
        <v>53</v>
      </c>
      <c r="AA84" s="14">
        <v>24</v>
      </c>
      <c r="AB84" s="14">
        <v>1</v>
      </c>
      <c r="AC84" s="14">
        <v>1.5</v>
      </c>
      <c r="AD84" s="14" t="s">
        <v>71</v>
      </c>
      <c r="AE84" s="14">
        <v>262</v>
      </c>
      <c r="AF84" s="14">
        <v>226999</v>
      </c>
      <c r="AG84" s="14">
        <v>122046.88</v>
      </c>
      <c r="AH84" s="14">
        <v>104952.12</v>
      </c>
      <c r="AI84" s="14" t="s">
        <v>14</v>
      </c>
      <c r="AJ84" s="14" t="s">
        <v>73</v>
      </c>
      <c r="AK84" s="14" t="s">
        <v>74</v>
      </c>
      <c r="AL84" s="14">
        <v>4.3</v>
      </c>
      <c r="AM84" s="14">
        <v>10.6</v>
      </c>
      <c r="AN84" s="18">
        <v>46022</v>
      </c>
    </row>
    <row r="85" spans="1:40" thickTop="1" thickBot="1" x14ac:dyDescent="0.3">
      <c r="A85" s="13" t="s">
        <v>403</v>
      </c>
      <c r="B85" s="14" t="s">
        <v>206</v>
      </c>
      <c r="C85" s="14" t="s">
        <v>77</v>
      </c>
      <c r="D85" s="14">
        <v>37</v>
      </c>
      <c r="E85" s="14" t="s">
        <v>43</v>
      </c>
      <c r="F85" s="14" t="s">
        <v>211</v>
      </c>
      <c r="G85" s="14" t="s">
        <v>197</v>
      </c>
      <c r="H85" s="14" t="s">
        <v>107</v>
      </c>
      <c r="I85" s="14" t="s">
        <v>64</v>
      </c>
      <c r="J85" s="14" t="s">
        <v>48</v>
      </c>
      <c r="K85" s="15">
        <v>25</v>
      </c>
      <c r="L85" s="16">
        <v>40493</v>
      </c>
      <c r="M85" s="17">
        <v>46157</v>
      </c>
      <c r="N85" s="18">
        <v>30373</v>
      </c>
      <c r="O85" s="14" t="s">
        <v>404</v>
      </c>
      <c r="P85" s="14" t="s">
        <v>405</v>
      </c>
      <c r="Q85" s="14" t="s">
        <v>205</v>
      </c>
      <c r="R85" s="14">
        <v>3.22</v>
      </c>
      <c r="S85" s="14">
        <v>78.7</v>
      </c>
      <c r="T85" s="14">
        <v>24</v>
      </c>
      <c r="U85" s="14">
        <v>75624</v>
      </c>
      <c r="V85" s="14">
        <v>10370295</v>
      </c>
      <c r="W85" s="14">
        <v>32</v>
      </c>
      <c r="X85" s="14">
        <v>17</v>
      </c>
      <c r="Y85" s="14" t="s">
        <v>139</v>
      </c>
      <c r="Z85" s="14" t="s">
        <v>70</v>
      </c>
      <c r="AA85" s="14">
        <v>3</v>
      </c>
      <c r="AB85" s="14">
        <v>1</v>
      </c>
      <c r="AC85" s="14">
        <v>1.1000000000000001</v>
      </c>
      <c r="AD85" s="14" t="s">
        <v>71</v>
      </c>
      <c r="AE85" s="14">
        <v>77</v>
      </c>
      <c r="AF85" s="14">
        <v>436014</v>
      </c>
      <c r="AG85" s="14">
        <v>293493.78000000003</v>
      </c>
      <c r="AH85" s="14">
        <v>142520.22</v>
      </c>
      <c r="AI85" s="14" t="s">
        <v>72</v>
      </c>
      <c r="AJ85" s="14" t="s">
        <v>56</v>
      </c>
      <c r="AK85" s="14" t="s">
        <v>87</v>
      </c>
      <c r="AL85" s="14">
        <v>4.5</v>
      </c>
      <c r="AM85" s="14">
        <v>24</v>
      </c>
      <c r="AN85" s="18">
        <v>45694</v>
      </c>
    </row>
    <row r="86" spans="1:40" thickTop="1" thickBot="1" x14ac:dyDescent="0.3">
      <c r="A86" s="13" t="s">
        <v>406</v>
      </c>
      <c r="B86" s="14" t="s">
        <v>176</v>
      </c>
      <c r="C86" s="14" t="s">
        <v>42</v>
      </c>
      <c r="D86" s="14">
        <v>46</v>
      </c>
      <c r="E86" s="14" t="s">
        <v>43</v>
      </c>
      <c r="F86" s="14" t="s">
        <v>237</v>
      </c>
      <c r="G86" s="14" t="s">
        <v>197</v>
      </c>
      <c r="H86" s="14" t="s">
        <v>94</v>
      </c>
      <c r="I86" s="14" t="s">
        <v>95</v>
      </c>
      <c r="J86" s="14" t="s">
        <v>65</v>
      </c>
      <c r="K86" s="15">
        <v>16</v>
      </c>
      <c r="L86" s="16">
        <v>54892</v>
      </c>
      <c r="M86" s="17">
        <v>46027</v>
      </c>
      <c r="N86" s="18">
        <v>33123</v>
      </c>
      <c r="O86" s="14" t="s">
        <v>407</v>
      </c>
      <c r="P86" s="14" t="s">
        <v>408</v>
      </c>
      <c r="Q86" s="14" t="s">
        <v>99</v>
      </c>
      <c r="R86" s="14">
        <v>3.5</v>
      </c>
      <c r="S86" s="14">
        <v>76.3</v>
      </c>
      <c r="T86" s="14">
        <v>23</v>
      </c>
      <c r="U86" s="14">
        <v>245240</v>
      </c>
      <c r="V86" s="14">
        <v>6059452</v>
      </c>
      <c r="W86" s="14">
        <v>73</v>
      </c>
      <c r="X86" s="14">
        <v>14</v>
      </c>
      <c r="Y86" s="14" t="s">
        <v>274</v>
      </c>
      <c r="Z86" s="14" t="s">
        <v>53</v>
      </c>
      <c r="AA86" s="14">
        <v>44</v>
      </c>
      <c r="AB86" s="14">
        <v>38</v>
      </c>
      <c r="AC86" s="14">
        <v>2.2999999999999998</v>
      </c>
      <c r="AD86" s="14" t="s">
        <v>71</v>
      </c>
      <c r="AE86" s="14">
        <v>296</v>
      </c>
      <c r="AF86" s="14">
        <v>340279</v>
      </c>
      <c r="AG86" s="14">
        <v>256151.91</v>
      </c>
      <c r="AH86" s="14">
        <v>84127.09</v>
      </c>
      <c r="AI86" s="14" t="s">
        <v>72</v>
      </c>
      <c r="AJ86" s="14" t="s">
        <v>113</v>
      </c>
      <c r="AK86" s="14" t="s">
        <v>57</v>
      </c>
      <c r="AL86" s="14">
        <v>1.1000000000000001</v>
      </c>
      <c r="AM86" s="14">
        <v>13.8</v>
      </c>
      <c r="AN86" s="18">
        <v>46281</v>
      </c>
    </row>
    <row r="87" spans="1:40" thickTop="1" thickBot="1" x14ac:dyDescent="0.3">
      <c r="A87" s="13" t="s">
        <v>307</v>
      </c>
      <c r="B87" s="14" t="s">
        <v>60</v>
      </c>
      <c r="C87" s="14" t="s">
        <v>106</v>
      </c>
      <c r="D87" s="14">
        <v>45</v>
      </c>
      <c r="E87" s="14" t="s">
        <v>43</v>
      </c>
      <c r="F87" s="14" t="s">
        <v>79</v>
      </c>
      <c r="G87" s="14" t="s">
        <v>80</v>
      </c>
      <c r="H87" s="14" t="s">
        <v>63</v>
      </c>
      <c r="I87" s="14" t="s">
        <v>95</v>
      </c>
      <c r="J87" s="14" t="s">
        <v>48</v>
      </c>
      <c r="K87" s="15">
        <v>29</v>
      </c>
      <c r="L87" s="16">
        <v>181965</v>
      </c>
      <c r="M87" s="17">
        <v>45755</v>
      </c>
      <c r="N87" s="18">
        <v>31614</v>
      </c>
      <c r="O87" s="14" t="s">
        <v>409</v>
      </c>
      <c r="P87" s="14" t="s">
        <v>410</v>
      </c>
      <c r="Q87" s="14" t="s">
        <v>170</v>
      </c>
      <c r="R87" s="14">
        <v>2.4500000000000002</v>
      </c>
      <c r="S87" s="14">
        <v>78.400000000000006</v>
      </c>
      <c r="T87" s="14">
        <v>15</v>
      </c>
      <c r="U87" s="14">
        <v>73999</v>
      </c>
      <c r="V87" s="14">
        <v>11930884</v>
      </c>
      <c r="W87" s="14">
        <v>9</v>
      </c>
      <c r="X87" s="14">
        <v>9</v>
      </c>
      <c r="Y87" s="14" t="s">
        <v>100</v>
      </c>
      <c r="Z87" s="14" t="s">
        <v>53</v>
      </c>
      <c r="AA87" s="14">
        <v>10</v>
      </c>
      <c r="AB87" s="14">
        <v>4</v>
      </c>
      <c r="AC87" s="14">
        <v>3</v>
      </c>
      <c r="AD87" s="14" t="s">
        <v>155</v>
      </c>
      <c r="AE87" s="14">
        <v>179</v>
      </c>
      <c r="AF87" s="14">
        <v>91456</v>
      </c>
      <c r="AG87" s="14">
        <v>65754.7</v>
      </c>
      <c r="AH87" s="14">
        <v>25701.3</v>
      </c>
      <c r="AI87" s="14" t="s">
        <v>131</v>
      </c>
      <c r="AJ87" s="14" t="s">
        <v>113</v>
      </c>
      <c r="AK87" s="14" t="s">
        <v>74</v>
      </c>
      <c r="AL87" s="14">
        <v>3.8</v>
      </c>
      <c r="AM87" s="14">
        <v>20.2</v>
      </c>
      <c r="AN87" s="18">
        <v>46151</v>
      </c>
    </row>
    <row r="88" spans="1:40" thickTop="1" thickBot="1" x14ac:dyDescent="0.3">
      <c r="A88" s="13" t="s">
        <v>388</v>
      </c>
      <c r="B88" s="14" t="s">
        <v>259</v>
      </c>
      <c r="C88" s="14" t="s">
        <v>77</v>
      </c>
      <c r="D88" s="14">
        <v>29</v>
      </c>
      <c r="E88" s="14" t="s">
        <v>78</v>
      </c>
      <c r="F88" s="14" t="s">
        <v>144</v>
      </c>
      <c r="G88" s="14" t="s">
        <v>197</v>
      </c>
      <c r="H88" s="14" t="s">
        <v>94</v>
      </c>
      <c r="I88" s="14" t="s">
        <v>64</v>
      </c>
      <c r="J88" s="14" t="s">
        <v>145</v>
      </c>
      <c r="K88" s="15">
        <v>18</v>
      </c>
      <c r="L88" s="16">
        <v>237466</v>
      </c>
      <c r="M88" s="17">
        <v>45967</v>
      </c>
      <c r="N88" s="18">
        <v>31323</v>
      </c>
      <c r="O88" s="14" t="s">
        <v>411</v>
      </c>
      <c r="P88" s="14" t="s">
        <v>412</v>
      </c>
      <c r="Q88" s="14" t="s">
        <v>413</v>
      </c>
      <c r="R88" s="14">
        <v>2.23</v>
      </c>
      <c r="S88" s="14">
        <v>91.8</v>
      </c>
      <c r="T88" s="14">
        <v>35</v>
      </c>
      <c r="U88" s="14">
        <v>178502</v>
      </c>
      <c r="V88" s="14">
        <v>1733134</v>
      </c>
      <c r="W88" s="14">
        <v>24</v>
      </c>
      <c r="X88" s="14">
        <v>18</v>
      </c>
      <c r="Y88" s="14" t="s">
        <v>69</v>
      </c>
      <c r="Z88" s="14" t="s">
        <v>101</v>
      </c>
      <c r="AA88" s="14">
        <v>23</v>
      </c>
      <c r="AB88" s="14">
        <v>4</v>
      </c>
      <c r="AC88" s="14">
        <v>2.2000000000000002</v>
      </c>
      <c r="AD88" s="14" t="s">
        <v>71</v>
      </c>
      <c r="AE88" s="14">
        <v>239</v>
      </c>
      <c r="AF88" s="14">
        <v>142623</v>
      </c>
      <c r="AG88" s="14">
        <v>106883.18</v>
      </c>
      <c r="AH88" s="14">
        <v>35739.82</v>
      </c>
      <c r="AI88" s="14" t="s">
        <v>14</v>
      </c>
      <c r="AJ88" s="14" t="s">
        <v>73</v>
      </c>
      <c r="AK88" s="14" t="s">
        <v>74</v>
      </c>
      <c r="AL88" s="14">
        <v>4.4000000000000004</v>
      </c>
      <c r="AM88" s="14">
        <v>9.6</v>
      </c>
      <c r="AN88" s="18">
        <v>45837</v>
      </c>
    </row>
    <row r="89" spans="1:40" thickTop="1" thickBot="1" x14ac:dyDescent="0.3">
      <c r="A89" s="13" t="s">
        <v>414</v>
      </c>
      <c r="B89" s="14" t="s">
        <v>181</v>
      </c>
      <c r="C89" s="14" t="s">
        <v>191</v>
      </c>
      <c r="D89" s="14">
        <v>38</v>
      </c>
      <c r="E89" s="14" t="s">
        <v>78</v>
      </c>
      <c r="F89" s="14" t="s">
        <v>144</v>
      </c>
      <c r="G89" s="14" t="s">
        <v>126</v>
      </c>
      <c r="H89" s="14" t="s">
        <v>107</v>
      </c>
      <c r="I89" s="14" t="s">
        <v>64</v>
      </c>
      <c r="J89" s="14" t="s">
        <v>145</v>
      </c>
      <c r="K89" s="15">
        <v>6</v>
      </c>
      <c r="L89" s="16">
        <v>193047</v>
      </c>
      <c r="M89" s="17">
        <v>45947</v>
      </c>
      <c r="N89" s="18">
        <v>35373</v>
      </c>
      <c r="O89" s="14" t="s">
        <v>415</v>
      </c>
      <c r="P89" s="14" t="s">
        <v>416</v>
      </c>
      <c r="Q89" s="14" t="s">
        <v>204</v>
      </c>
      <c r="R89" s="14">
        <v>1.23</v>
      </c>
      <c r="S89" s="14">
        <v>73.900000000000006</v>
      </c>
      <c r="T89" s="14">
        <v>3</v>
      </c>
      <c r="U89" s="14">
        <v>41580</v>
      </c>
      <c r="V89" s="14">
        <v>1732198</v>
      </c>
      <c r="W89" s="14">
        <v>73</v>
      </c>
      <c r="X89" s="14">
        <v>10</v>
      </c>
      <c r="Y89" s="14" t="s">
        <v>52</v>
      </c>
      <c r="Z89" s="14" t="s">
        <v>111</v>
      </c>
      <c r="AA89" s="14">
        <v>11</v>
      </c>
      <c r="AB89" s="14">
        <v>10</v>
      </c>
      <c r="AC89" s="14">
        <v>1.8</v>
      </c>
      <c r="AD89" s="14" t="s">
        <v>54</v>
      </c>
      <c r="AE89" s="14">
        <v>328</v>
      </c>
      <c r="AF89" s="14">
        <v>301515</v>
      </c>
      <c r="AG89" s="14">
        <v>138255.67999999999</v>
      </c>
      <c r="AH89" s="14">
        <v>163259.32</v>
      </c>
      <c r="AI89" s="14" t="s">
        <v>102</v>
      </c>
      <c r="AJ89" s="14" t="s">
        <v>113</v>
      </c>
      <c r="AK89" s="14" t="s">
        <v>74</v>
      </c>
      <c r="AL89" s="14">
        <v>1.8</v>
      </c>
      <c r="AM89" s="14">
        <v>9.8000000000000007</v>
      </c>
      <c r="AN89" s="18">
        <v>45685</v>
      </c>
    </row>
    <row r="90" spans="1:40" thickTop="1" thickBot="1" x14ac:dyDescent="0.3">
      <c r="A90" s="13" t="s">
        <v>417</v>
      </c>
      <c r="B90" s="14" t="s">
        <v>105</v>
      </c>
      <c r="C90" s="14" t="s">
        <v>90</v>
      </c>
      <c r="D90" s="14">
        <v>24</v>
      </c>
      <c r="E90" s="14" t="s">
        <v>43</v>
      </c>
      <c r="F90" s="14" t="s">
        <v>144</v>
      </c>
      <c r="G90" s="14" t="s">
        <v>185</v>
      </c>
      <c r="H90" s="14" t="s">
        <v>63</v>
      </c>
      <c r="I90" s="14" t="s">
        <v>64</v>
      </c>
      <c r="J90" s="14" t="s">
        <v>65</v>
      </c>
      <c r="K90" s="15">
        <v>12</v>
      </c>
      <c r="L90" s="16">
        <v>102375</v>
      </c>
      <c r="M90" s="17">
        <v>46132</v>
      </c>
      <c r="N90" s="18">
        <v>29231</v>
      </c>
      <c r="O90" s="14" t="s">
        <v>418</v>
      </c>
      <c r="P90" s="14" t="s">
        <v>419</v>
      </c>
      <c r="Q90" s="14" t="s">
        <v>235</v>
      </c>
      <c r="R90" s="14">
        <v>1.22</v>
      </c>
      <c r="S90" s="14">
        <v>88.4</v>
      </c>
      <c r="T90" s="14">
        <v>21</v>
      </c>
      <c r="U90" s="14">
        <v>82144</v>
      </c>
      <c r="V90" s="14">
        <v>2067809</v>
      </c>
      <c r="W90" s="14">
        <v>2</v>
      </c>
      <c r="X90" s="14">
        <v>4</v>
      </c>
      <c r="Y90" s="14" t="s">
        <v>121</v>
      </c>
      <c r="Z90" s="14" t="s">
        <v>101</v>
      </c>
      <c r="AA90" s="14">
        <v>22</v>
      </c>
      <c r="AB90" s="14">
        <v>5</v>
      </c>
      <c r="AC90" s="14">
        <v>3.1</v>
      </c>
      <c r="AD90" s="14" t="s">
        <v>179</v>
      </c>
      <c r="AE90" s="14">
        <v>183</v>
      </c>
      <c r="AF90" s="14">
        <v>334703</v>
      </c>
      <c r="AG90" s="14">
        <v>234699.28</v>
      </c>
      <c r="AH90" s="14">
        <v>100003.72</v>
      </c>
      <c r="AI90" s="14" t="s">
        <v>14</v>
      </c>
      <c r="AJ90" s="14" t="s">
        <v>73</v>
      </c>
      <c r="AK90" s="14" t="s">
        <v>123</v>
      </c>
      <c r="AL90" s="14">
        <v>3.2</v>
      </c>
      <c r="AM90" s="14">
        <v>17.7</v>
      </c>
      <c r="AN90" s="18">
        <v>46226</v>
      </c>
    </row>
    <row r="91" spans="1:40" thickTop="1" thickBot="1" x14ac:dyDescent="0.3">
      <c r="A91" s="13" t="s">
        <v>420</v>
      </c>
      <c r="B91" s="14" t="s">
        <v>142</v>
      </c>
      <c r="C91" s="14" t="s">
        <v>106</v>
      </c>
      <c r="D91" s="14">
        <v>51</v>
      </c>
      <c r="E91" s="14" t="s">
        <v>78</v>
      </c>
      <c r="F91" s="14" t="s">
        <v>165</v>
      </c>
      <c r="G91" s="14" t="s">
        <v>197</v>
      </c>
      <c r="H91" s="14" t="s">
        <v>116</v>
      </c>
      <c r="I91" s="14" t="s">
        <v>158</v>
      </c>
      <c r="J91" s="14" t="s">
        <v>65</v>
      </c>
      <c r="K91" s="15">
        <v>16</v>
      </c>
      <c r="L91" s="16">
        <v>106808</v>
      </c>
      <c r="M91" s="17">
        <v>45793</v>
      </c>
      <c r="N91" s="18">
        <v>32160</v>
      </c>
      <c r="O91" s="14" t="s">
        <v>421</v>
      </c>
      <c r="P91" s="14" t="s">
        <v>422</v>
      </c>
      <c r="Q91" s="14" t="s">
        <v>403</v>
      </c>
      <c r="R91" s="14">
        <v>4.24</v>
      </c>
      <c r="S91" s="14">
        <v>99.3</v>
      </c>
      <c r="T91" s="14">
        <v>9</v>
      </c>
      <c r="U91" s="14">
        <v>119625</v>
      </c>
      <c r="V91" s="14">
        <v>7225048</v>
      </c>
      <c r="W91" s="14">
        <v>11</v>
      </c>
      <c r="X91" s="14">
        <v>29</v>
      </c>
      <c r="Y91" s="14" t="s">
        <v>149</v>
      </c>
      <c r="Z91" s="14" t="s">
        <v>101</v>
      </c>
      <c r="AA91" s="14">
        <v>15</v>
      </c>
      <c r="AB91" s="14">
        <v>8</v>
      </c>
      <c r="AC91" s="14">
        <v>1.5</v>
      </c>
      <c r="AD91" s="14" t="s">
        <v>54</v>
      </c>
      <c r="AE91" s="14">
        <v>256</v>
      </c>
      <c r="AF91" s="14">
        <v>330395</v>
      </c>
      <c r="AG91" s="14">
        <v>218966.11</v>
      </c>
      <c r="AH91" s="14">
        <v>111428.89</v>
      </c>
      <c r="AI91" s="14" t="s">
        <v>86</v>
      </c>
      <c r="AJ91" s="14" t="s">
        <v>56</v>
      </c>
      <c r="AK91" s="14" t="s">
        <v>57</v>
      </c>
      <c r="AL91" s="14">
        <v>2</v>
      </c>
      <c r="AM91" s="14">
        <v>18.2</v>
      </c>
      <c r="AN91" s="18">
        <v>45810</v>
      </c>
    </row>
    <row r="92" spans="1:40" thickTop="1" thickBot="1" x14ac:dyDescent="0.3">
      <c r="A92" s="13" t="s">
        <v>327</v>
      </c>
      <c r="B92" s="14" t="s">
        <v>156</v>
      </c>
      <c r="C92" s="14" t="s">
        <v>115</v>
      </c>
      <c r="D92" s="14">
        <v>36</v>
      </c>
      <c r="E92" s="14" t="s">
        <v>43</v>
      </c>
      <c r="F92" s="14" t="s">
        <v>228</v>
      </c>
      <c r="G92" s="14" t="s">
        <v>126</v>
      </c>
      <c r="H92" s="14" t="s">
        <v>63</v>
      </c>
      <c r="I92" s="14" t="s">
        <v>64</v>
      </c>
      <c r="J92" s="14" t="s">
        <v>145</v>
      </c>
      <c r="K92" s="15">
        <v>6</v>
      </c>
      <c r="L92" s="16">
        <v>119890</v>
      </c>
      <c r="M92" s="17">
        <v>45685</v>
      </c>
      <c r="N92" s="18">
        <v>30644</v>
      </c>
      <c r="O92" s="14" t="s">
        <v>423</v>
      </c>
      <c r="P92" s="14" t="s">
        <v>424</v>
      </c>
      <c r="Q92" s="14" t="s">
        <v>184</v>
      </c>
      <c r="R92" s="14">
        <v>4.6500000000000004</v>
      </c>
      <c r="S92" s="14">
        <v>90.2</v>
      </c>
      <c r="T92" s="14">
        <v>22</v>
      </c>
      <c r="U92" s="14">
        <v>31449</v>
      </c>
      <c r="V92" s="14">
        <v>4327163</v>
      </c>
      <c r="W92" s="14">
        <v>72</v>
      </c>
      <c r="X92" s="14">
        <v>12</v>
      </c>
      <c r="Y92" s="14" t="s">
        <v>274</v>
      </c>
      <c r="Z92" s="14" t="s">
        <v>70</v>
      </c>
      <c r="AA92" s="14">
        <v>2</v>
      </c>
      <c r="AB92" s="14">
        <v>1</v>
      </c>
      <c r="AC92" s="14">
        <v>4.8</v>
      </c>
      <c r="AD92" s="14" t="s">
        <v>155</v>
      </c>
      <c r="AE92" s="14">
        <v>15</v>
      </c>
      <c r="AF92" s="14">
        <v>423470</v>
      </c>
      <c r="AG92" s="14">
        <v>215956.82</v>
      </c>
      <c r="AH92" s="14">
        <v>207513.18</v>
      </c>
      <c r="AI92" s="14" t="s">
        <v>55</v>
      </c>
      <c r="AJ92" s="14" t="s">
        <v>122</v>
      </c>
      <c r="AK92" s="14" t="s">
        <v>123</v>
      </c>
      <c r="AL92" s="14">
        <v>3.8</v>
      </c>
      <c r="AM92" s="14">
        <v>7.3</v>
      </c>
      <c r="AN92" s="18">
        <v>46020</v>
      </c>
    </row>
    <row r="93" spans="1:40" thickTop="1" thickBot="1" x14ac:dyDescent="0.3">
      <c r="A93" s="13" t="s">
        <v>84</v>
      </c>
      <c r="B93" s="14" t="s">
        <v>152</v>
      </c>
      <c r="C93" s="14" t="s">
        <v>77</v>
      </c>
      <c r="D93" s="14">
        <v>52</v>
      </c>
      <c r="E93" s="14" t="s">
        <v>78</v>
      </c>
      <c r="F93" s="14" t="s">
        <v>44</v>
      </c>
      <c r="G93" s="14" t="s">
        <v>134</v>
      </c>
      <c r="H93" s="14" t="s">
        <v>81</v>
      </c>
      <c r="I93" s="14" t="s">
        <v>158</v>
      </c>
      <c r="J93" s="14" t="s">
        <v>96</v>
      </c>
      <c r="K93" s="15">
        <v>26</v>
      </c>
      <c r="L93" s="16">
        <v>113665</v>
      </c>
      <c r="M93" s="17">
        <v>45947</v>
      </c>
      <c r="N93" s="18">
        <v>30103</v>
      </c>
      <c r="O93" s="14" t="s">
        <v>425</v>
      </c>
      <c r="P93" s="14" t="s">
        <v>426</v>
      </c>
      <c r="Q93" s="14" t="s">
        <v>210</v>
      </c>
      <c r="R93" s="14">
        <v>2.2799999999999998</v>
      </c>
      <c r="S93" s="14">
        <v>88.3</v>
      </c>
      <c r="T93" s="14">
        <v>28</v>
      </c>
      <c r="U93" s="14">
        <v>111184</v>
      </c>
      <c r="V93" s="14">
        <v>10217770</v>
      </c>
      <c r="W93" s="14">
        <v>6</v>
      </c>
      <c r="X93" s="14">
        <v>28</v>
      </c>
      <c r="Y93" s="14" t="s">
        <v>121</v>
      </c>
      <c r="Z93" s="14" t="s">
        <v>53</v>
      </c>
      <c r="AA93" s="14">
        <v>18</v>
      </c>
      <c r="AB93" s="14">
        <v>9</v>
      </c>
      <c r="AC93" s="14">
        <v>1.2</v>
      </c>
      <c r="AD93" s="14" t="s">
        <v>112</v>
      </c>
      <c r="AE93" s="14">
        <v>93</v>
      </c>
      <c r="AF93" s="14">
        <v>413022</v>
      </c>
      <c r="AG93" s="14">
        <v>250900.79</v>
      </c>
      <c r="AH93" s="14">
        <v>162121.21</v>
      </c>
      <c r="AI93" s="14" t="s">
        <v>131</v>
      </c>
      <c r="AJ93" s="14" t="s">
        <v>169</v>
      </c>
      <c r="AK93" s="14" t="s">
        <v>123</v>
      </c>
      <c r="AL93" s="14">
        <v>3.7</v>
      </c>
      <c r="AM93" s="14">
        <v>24.2</v>
      </c>
      <c r="AN93" s="18">
        <v>45813</v>
      </c>
    </row>
    <row r="94" spans="1:40" thickTop="1" thickBot="1" x14ac:dyDescent="0.3">
      <c r="A94" s="13" t="s">
        <v>413</v>
      </c>
      <c r="B94" s="14" t="s">
        <v>42</v>
      </c>
      <c r="C94" s="14" t="s">
        <v>42</v>
      </c>
      <c r="D94" s="14">
        <v>27</v>
      </c>
      <c r="E94" s="14" t="s">
        <v>78</v>
      </c>
      <c r="F94" s="14" t="s">
        <v>228</v>
      </c>
      <c r="G94" s="14" t="s">
        <v>62</v>
      </c>
      <c r="H94" s="14" t="s">
        <v>157</v>
      </c>
      <c r="I94" s="14" t="s">
        <v>64</v>
      </c>
      <c r="J94" s="14" t="s">
        <v>117</v>
      </c>
      <c r="K94" s="15">
        <v>20</v>
      </c>
      <c r="L94" s="16">
        <v>209417</v>
      </c>
      <c r="M94" s="17">
        <v>46064</v>
      </c>
      <c r="N94" s="18">
        <v>32892</v>
      </c>
      <c r="O94" s="14" t="s">
        <v>427</v>
      </c>
      <c r="P94" s="14" t="s">
        <v>428</v>
      </c>
      <c r="Q94" s="14" t="s">
        <v>379</v>
      </c>
      <c r="R94" s="14">
        <v>3.76</v>
      </c>
      <c r="S94" s="14">
        <v>71.099999999999994</v>
      </c>
      <c r="T94" s="14">
        <v>32</v>
      </c>
      <c r="U94" s="14">
        <v>121440</v>
      </c>
      <c r="V94" s="14">
        <v>10144395</v>
      </c>
      <c r="W94" s="14">
        <v>55</v>
      </c>
      <c r="X94" s="14">
        <v>22</v>
      </c>
      <c r="Y94" s="14" t="s">
        <v>69</v>
      </c>
      <c r="Z94" s="14" t="s">
        <v>111</v>
      </c>
      <c r="AA94" s="14">
        <v>48</v>
      </c>
      <c r="AB94" s="14">
        <v>22</v>
      </c>
      <c r="AC94" s="14">
        <v>1.2</v>
      </c>
      <c r="AD94" s="14" t="s">
        <v>71</v>
      </c>
      <c r="AE94" s="14">
        <v>33</v>
      </c>
      <c r="AF94" s="14">
        <v>173706</v>
      </c>
      <c r="AG94" s="14">
        <v>87859.96</v>
      </c>
      <c r="AH94" s="14">
        <v>85846.04</v>
      </c>
      <c r="AI94" s="14" t="s">
        <v>150</v>
      </c>
      <c r="AJ94" s="14" t="s">
        <v>122</v>
      </c>
      <c r="AK94" s="14" t="s">
        <v>87</v>
      </c>
      <c r="AL94" s="14">
        <v>4.9000000000000004</v>
      </c>
      <c r="AM94" s="14">
        <v>15.8</v>
      </c>
      <c r="AN94" s="18">
        <v>45660</v>
      </c>
    </row>
    <row r="95" spans="1:40" thickTop="1" thickBot="1" x14ac:dyDescent="0.3">
      <c r="A95" s="13" t="s">
        <v>204</v>
      </c>
      <c r="B95" s="14" t="s">
        <v>156</v>
      </c>
      <c r="C95" s="14" t="s">
        <v>290</v>
      </c>
      <c r="D95" s="14">
        <v>53</v>
      </c>
      <c r="E95" s="14" t="s">
        <v>78</v>
      </c>
      <c r="F95" s="14" t="s">
        <v>61</v>
      </c>
      <c r="G95" s="14" t="s">
        <v>93</v>
      </c>
      <c r="H95" s="14" t="s">
        <v>81</v>
      </c>
      <c r="I95" s="14" t="s">
        <v>47</v>
      </c>
      <c r="J95" s="14" t="s">
        <v>117</v>
      </c>
      <c r="K95" s="15">
        <v>6</v>
      </c>
      <c r="L95" s="16">
        <v>93709</v>
      </c>
      <c r="M95" s="17">
        <v>45732</v>
      </c>
      <c r="N95" s="18">
        <v>32483</v>
      </c>
      <c r="O95" s="14" t="s">
        <v>429</v>
      </c>
      <c r="P95" s="14" t="s">
        <v>430</v>
      </c>
      <c r="Q95" s="14" t="s">
        <v>240</v>
      </c>
      <c r="R95" s="14">
        <v>1.28</v>
      </c>
      <c r="S95" s="14">
        <v>71.3</v>
      </c>
      <c r="T95" s="14">
        <v>32</v>
      </c>
      <c r="U95" s="14">
        <v>25090</v>
      </c>
      <c r="V95" s="14">
        <v>7347157</v>
      </c>
      <c r="W95" s="14">
        <v>71</v>
      </c>
      <c r="X95" s="14">
        <v>30</v>
      </c>
      <c r="Y95" s="14" t="s">
        <v>100</v>
      </c>
      <c r="Z95" s="14" t="s">
        <v>53</v>
      </c>
      <c r="AA95" s="14">
        <v>41</v>
      </c>
      <c r="AB95" s="14">
        <v>34</v>
      </c>
      <c r="AC95" s="14">
        <v>1</v>
      </c>
      <c r="AD95" s="14" t="s">
        <v>140</v>
      </c>
      <c r="AE95" s="14">
        <v>334</v>
      </c>
      <c r="AF95" s="14">
        <v>374342</v>
      </c>
      <c r="AG95" s="14">
        <v>243308.18</v>
      </c>
      <c r="AH95" s="14">
        <v>131033.82</v>
      </c>
      <c r="AI95" s="14" t="s">
        <v>72</v>
      </c>
      <c r="AJ95" s="14" t="s">
        <v>56</v>
      </c>
      <c r="AK95" s="14" t="s">
        <v>123</v>
      </c>
      <c r="AL95" s="14">
        <v>3.2</v>
      </c>
      <c r="AM95" s="14">
        <v>20.7</v>
      </c>
      <c r="AN95" s="18">
        <v>45933</v>
      </c>
    </row>
    <row r="96" spans="1:40" thickTop="1" thickBot="1" x14ac:dyDescent="0.3">
      <c r="A96" s="13" t="s">
        <v>188</v>
      </c>
      <c r="B96" s="14" t="s">
        <v>164</v>
      </c>
      <c r="C96" s="14" t="s">
        <v>90</v>
      </c>
      <c r="D96" s="14">
        <v>45</v>
      </c>
      <c r="E96" s="14" t="s">
        <v>43</v>
      </c>
      <c r="F96" s="14" t="s">
        <v>92</v>
      </c>
      <c r="G96" s="14" t="s">
        <v>134</v>
      </c>
      <c r="H96" s="14" t="s">
        <v>107</v>
      </c>
      <c r="I96" s="14" t="s">
        <v>95</v>
      </c>
      <c r="J96" s="14" t="s">
        <v>65</v>
      </c>
      <c r="K96" s="15">
        <v>16</v>
      </c>
      <c r="L96" s="16">
        <v>101758</v>
      </c>
      <c r="M96" s="17">
        <v>46044</v>
      </c>
      <c r="N96" s="18">
        <v>31889</v>
      </c>
      <c r="O96" s="14" t="s">
        <v>431</v>
      </c>
      <c r="P96" s="14" t="s">
        <v>432</v>
      </c>
      <c r="Q96" s="14" t="s">
        <v>394</v>
      </c>
      <c r="R96" s="14">
        <v>4.1399999999999997</v>
      </c>
      <c r="S96" s="14">
        <v>97.3</v>
      </c>
      <c r="T96" s="14">
        <v>3</v>
      </c>
      <c r="U96" s="14">
        <v>212766</v>
      </c>
      <c r="V96" s="14">
        <v>12146564</v>
      </c>
      <c r="W96" s="14">
        <v>71</v>
      </c>
      <c r="X96" s="14">
        <v>10</v>
      </c>
      <c r="Y96" s="14" t="s">
        <v>263</v>
      </c>
      <c r="Z96" s="14" t="s">
        <v>53</v>
      </c>
      <c r="AA96" s="14">
        <v>25</v>
      </c>
      <c r="AB96" s="14">
        <v>4</v>
      </c>
      <c r="AC96" s="14">
        <v>2.8</v>
      </c>
      <c r="AD96" s="14" t="s">
        <v>232</v>
      </c>
      <c r="AE96" s="14">
        <v>0</v>
      </c>
      <c r="AF96" s="14">
        <v>181862</v>
      </c>
      <c r="AG96" s="14">
        <v>118173.71</v>
      </c>
      <c r="AH96" s="14">
        <v>63688.29</v>
      </c>
      <c r="AI96" s="14" t="s">
        <v>72</v>
      </c>
      <c r="AJ96" s="14" t="s">
        <v>73</v>
      </c>
      <c r="AK96" s="14" t="s">
        <v>103</v>
      </c>
      <c r="AL96" s="14">
        <v>2.4</v>
      </c>
      <c r="AM96" s="14">
        <v>16.399999999999999</v>
      </c>
      <c r="AN96" s="18">
        <v>46047</v>
      </c>
    </row>
    <row r="97" spans="1:40" thickTop="1" thickBot="1" x14ac:dyDescent="0.3">
      <c r="A97" s="13" t="s">
        <v>433</v>
      </c>
      <c r="B97" s="14" t="s">
        <v>216</v>
      </c>
      <c r="C97" s="14" t="s">
        <v>106</v>
      </c>
      <c r="D97" s="14">
        <v>25</v>
      </c>
      <c r="E97" s="14" t="s">
        <v>43</v>
      </c>
      <c r="F97" s="14" t="s">
        <v>61</v>
      </c>
      <c r="G97" s="14" t="s">
        <v>80</v>
      </c>
      <c r="H97" s="14" t="s">
        <v>63</v>
      </c>
      <c r="I97" s="14" t="s">
        <v>47</v>
      </c>
      <c r="J97" s="14" t="s">
        <v>65</v>
      </c>
      <c r="K97" s="15">
        <v>21</v>
      </c>
      <c r="L97" s="16">
        <v>93527</v>
      </c>
      <c r="M97" s="17">
        <v>45929</v>
      </c>
      <c r="N97" s="18">
        <v>32383</v>
      </c>
      <c r="O97" s="14" t="s">
        <v>434</v>
      </c>
      <c r="P97" s="14" t="s">
        <v>435</v>
      </c>
      <c r="Q97" s="14" t="s">
        <v>99</v>
      </c>
      <c r="R97" s="14">
        <v>2.91</v>
      </c>
      <c r="S97" s="14">
        <v>76.599999999999994</v>
      </c>
      <c r="T97" s="14">
        <v>9</v>
      </c>
      <c r="U97" s="14">
        <v>34524</v>
      </c>
      <c r="V97" s="14">
        <v>13204657</v>
      </c>
      <c r="W97" s="14">
        <v>67</v>
      </c>
      <c r="X97" s="14">
        <v>11</v>
      </c>
      <c r="Y97" s="14" t="s">
        <v>121</v>
      </c>
      <c r="Z97" s="14" t="s">
        <v>101</v>
      </c>
      <c r="AA97" s="14">
        <v>25</v>
      </c>
      <c r="AB97" s="14">
        <v>11</v>
      </c>
      <c r="AC97" s="14">
        <v>4.3</v>
      </c>
      <c r="AD97" s="14" t="s">
        <v>155</v>
      </c>
      <c r="AE97" s="14">
        <v>344</v>
      </c>
      <c r="AF97" s="14">
        <v>429905</v>
      </c>
      <c r="AG97" s="14">
        <v>311691.07</v>
      </c>
      <c r="AH97" s="14">
        <v>118213.93</v>
      </c>
      <c r="AI97" s="14" t="s">
        <v>162</v>
      </c>
      <c r="AJ97" s="14" t="s">
        <v>169</v>
      </c>
      <c r="AK97" s="14" t="s">
        <v>87</v>
      </c>
      <c r="AL97" s="14">
        <v>1.7</v>
      </c>
      <c r="AM97" s="14">
        <v>28.4</v>
      </c>
      <c r="AN97" s="18">
        <v>45702</v>
      </c>
    </row>
    <row r="98" spans="1:40" thickTop="1" thickBot="1" x14ac:dyDescent="0.3">
      <c r="A98" s="13" t="s">
        <v>436</v>
      </c>
      <c r="B98" s="14" t="s">
        <v>41</v>
      </c>
      <c r="C98" s="14" t="s">
        <v>90</v>
      </c>
      <c r="D98" s="14">
        <v>47</v>
      </c>
      <c r="E98" s="14" t="s">
        <v>78</v>
      </c>
      <c r="F98" s="14" t="s">
        <v>165</v>
      </c>
      <c r="G98" s="14" t="s">
        <v>62</v>
      </c>
      <c r="H98" s="14" t="s">
        <v>157</v>
      </c>
      <c r="I98" s="14" t="s">
        <v>158</v>
      </c>
      <c r="J98" s="14" t="s">
        <v>117</v>
      </c>
      <c r="K98" s="15">
        <v>21</v>
      </c>
      <c r="L98" s="16">
        <v>245557</v>
      </c>
      <c r="M98" s="17">
        <v>46193</v>
      </c>
      <c r="N98" s="18">
        <v>35200</v>
      </c>
      <c r="O98" s="14" t="s">
        <v>437</v>
      </c>
      <c r="P98" s="14" t="s">
        <v>438</v>
      </c>
      <c r="Q98" s="14" t="s">
        <v>246</v>
      </c>
      <c r="R98" s="14">
        <v>2.16</v>
      </c>
      <c r="S98" s="14">
        <v>83.4</v>
      </c>
      <c r="T98" s="14">
        <v>7</v>
      </c>
      <c r="U98" s="14">
        <v>235570</v>
      </c>
      <c r="V98" s="14">
        <v>11147415</v>
      </c>
      <c r="W98" s="14">
        <v>61</v>
      </c>
      <c r="X98" s="14">
        <v>23</v>
      </c>
      <c r="Y98" s="14" t="s">
        <v>52</v>
      </c>
      <c r="Z98" s="14" t="s">
        <v>101</v>
      </c>
      <c r="AA98" s="14">
        <v>28</v>
      </c>
      <c r="AB98" s="14">
        <v>3</v>
      </c>
      <c r="AC98" s="14">
        <v>1</v>
      </c>
      <c r="AD98" s="14" t="s">
        <v>189</v>
      </c>
      <c r="AE98" s="14">
        <v>187</v>
      </c>
      <c r="AF98" s="14">
        <v>204667</v>
      </c>
      <c r="AG98" s="14">
        <v>155113.99</v>
      </c>
      <c r="AH98" s="14">
        <v>49553.01</v>
      </c>
      <c r="AI98" s="14" t="s">
        <v>72</v>
      </c>
      <c r="AJ98" s="14" t="s">
        <v>56</v>
      </c>
      <c r="AK98" s="14" t="s">
        <v>57</v>
      </c>
      <c r="AL98" s="14">
        <v>3.5</v>
      </c>
      <c r="AM98" s="14">
        <v>15.7</v>
      </c>
      <c r="AN98" s="18">
        <v>46048</v>
      </c>
    </row>
    <row r="99" spans="1:40" thickTop="1" thickBot="1" x14ac:dyDescent="0.3">
      <c r="A99" s="13" t="s">
        <v>317</v>
      </c>
      <c r="B99" s="14" t="s">
        <v>181</v>
      </c>
      <c r="C99" s="14" t="s">
        <v>201</v>
      </c>
      <c r="D99" s="14">
        <v>24</v>
      </c>
      <c r="E99" s="14" t="s">
        <v>91</v>
      </c>
      <c r="F99" s="14" t="s">
        <v>237</v>
      </c>
      <c r="G99" s="14" t="s">
        <v>80</v>
      </c>
      <c r="H99" s="14" t="s">
        <v>116</v>
      </c>
      <c r="I99" s="14" t="s">
        <v>158</v>
      </c>
      <c r="J99" s="14" t="s">
        <v>117</v>
      </c>
      <c r="K99" s="15">
        <v>7</v>
      </c>
      <c r="L99" s="16">
        <v>104574</v>
      </c>
      <c r="M99" s="17">
        <v>46106</v>
      </c>
      <c r="N99" s="18">
        <v>30215</v>
      </c>
      <c r="O99" s="14" t="s">
        <v>439</v>
      </c>
      <c r="P99" s="14" t="s">
        <v>440</v>
      </c>
      <c r="Q99" s="14" t="s">
        <v>222</v>
      </c>
      <c r="R99" s="14">
        <v>1.51</v>
      </c>
      <c r="S99" s="14">
        <v>98.8</v>
      </c>
      <c r="T99" s="14">
        <v>18</v>
      </c>
      <c r="U99" s="14">
        <v>194835</v>
      </c>
      <c r="V99" s="14">
        <v>1236522</v>
      </c>
      <c r="W99" s="14">
        <v>56</v>
      </c>
      <c r="X99" s="14">
        <v>12</v>
      </c>
      <c r="Y99" s="14" t="s">
        <v>100</v>
      </c>
      <c r="Z99" s="14" t="s">
        <v>111</v>
      </c>
      <c r="AA99" s="14">
        <v>37</v>
      </c>
      <c r="AB99" s="14">
        <v>16</v>
      </c>
      <c r="AC99" s="14">
        <v>3.9</v>
      </c>
      <c r="AD99" s="14" t="s">
        <v>85</v>
      </c>
      <c r="AE99" s="14">
        <v>496</v>
      </c>
      <c r="AF99" s="14">
        <v>306609</v>
      </c>
      <c r="AG99" s="14">
        <v>160759.87</v>
      </c>
      <c r="AH99" s="14">
        <v>145849.13</v>
      </c>
      <c r="AI99" s="14" t="s">
        <v>131</v>
      </c>
      <c r="AJ99" s="14" t="s">
        <v>73</v>
      </c>
      <c r="AK99" s="14" t="s">
        <v>103</v>
      </c>
      <c r="AL99" s="14">
        <v>4.2</v>
      </c>
      <c r="AM99" s="14">
        <v>10.6</v>
      </c>
      <c r="AN99" s="18">
        <v>46052</v>
      </c>
    </row>
    <row r="100" spans="1:40" thickTop="1" thickBot="1" x14ac:dyDescent="0.3">
      <c r="A100" s="13" t="s">
        <v>441</v>
      </c>
      <c r="B100" s="14" t="s">
        <v>76</v>
      </c>
      <c r="C100" s="14" t="s">
        <v>42</v>
      </c>
      <c r="D100" s="14">
        <v>44</v>
      </c>
      <c r="E100" s="14" t="s">
        <v>78</v>
      </c>
      <c r="F100" s="14" t="s">
        <v>211</v>
      </c>
      <c r="G100" s="14" t="s">
        <v>93</v>
      </c>
      <c r="H100" s="14" t="s">
        <v>157</v>
      </c>
      <c r="I100" s="14" t="s">
        <v>47</v>
      </c>
      <c r="J100" s="14" t="s">
        <v>145</v>
      </c>
      <c r="K100" s="15">
        <v>12</v>
      </c>
      <c r="L100" s="16">
        <v>138090</v>
      </c>
      <c r="M100" s="17">
        <v>46196</v>
      </c>
      <c r="N100" s="18">
        <v>34202</v>
      </c>
      <c r="O100" s="14" t="s">
        <v>442</v>
      </c>
      <c r="P100" s="14" t="s">
        <v>443</v>
      </c>
      <c r="Q100" s="14" t="s">
        <v>99</v>
      </c>
      <c r="R100" s="14">
        <v>3.25</v>
      </c>
      <c r="S100" s="14">
        <v>98.1</v>
      </c>
      <c r="T100" s="14">
        <v>27</v>
      </c>
      <c r="U100" s="14">
        <v>217523</v>
      </c>
      <c r="V100" s="14">
        <v>8445730</v>
      </c>
      <c r="W100" s="14">
        <v>22</v>
      </c>
      <c r="X100" s="14">
        <v>28</v>
      </c>
      <c r="Y100" s="14" t="s">
        <v>69</v>
      </c>
      <c r="Z100" s="14" t="s">
        <v>70</v>
      </c>
      <c r="AA100" s="14">
        <v>46</v>
      </c>
      <c r="AB100" s="14">
        <v>37</v>
      </c>
      <c r="AC100" s="14">
        <v>2.6</v>
      </c>
      <c r="AD100" s="14" t="s">
        <v>189</v>
      </c>
      <c r="AE100" s="14">
        <v>262</v>
      </c>
      <c r="AF100" s="14">
        <v>339301</v>
      </c>
      <c r="AG100" s="14">
        <v>176740.42</v>
      </c>
      <c r="AH100" s="14">
        <v>162560.57999999999</v>
      </c>
      <c r="AI100" s="14" t="s">
        <v>102</v>
      </c>
      <c r="AJ100" s="14" t="s">
        <v>169</v>
      </c>
      <c r="AK100" s="14" t="s">
        <v>57</v>
      </c>
      <c r="AL100" s="14">
        <v>2.6</v>
      </c>
      <c r="AM100" s="14">
        <v>1.2</v>
      </c>
      <c r="AN100" s="18">
        <v>45959</v>
      </c>
    </row>
    <row r="101" spans="1:40" thickTop="1" thickBot="1" x14ac:dyDescent="0.3">
      <c r="A101" s="13" t="s">
        <v>444</v>
      </c>
      <c r="B101" s="14" t="s">
        <v>206</v>
      </c>
      <c r="C101" s="14" t="s">
        <v>77</v>
      </c>
      <c r="D101" s="14">
        <v>26</v>
      </c>
      <c r="E101" s="14" t="s">
        <v>78</v>
      </c>
      <c r="F101" s="14" t="s">
        <v>79</v>
      </c>
      <c r="G101" s="14" t="s">
        <v>45</v>
      </c>
      <c r="H101" s="14" t="s">
        <v>157</v>
      </c>
      <c r="I101" s="14" t="s">
        <v>64</v>
      </c>
      <c r="J101" s="14" t="s">
        <v>48</v>
      </c>
      <c r="K101" s="15">
        <v>27</v>
      </c>
      <c r="L101" s="16">
        <v>232476</v>
      </c>
      <c r="M101" s="17">
        <v>45878</v>
      </c>
      <c r="N101" s="18">
        <v>36009</v>
      </c>
      <c r="O101" s="14" t="s">
        <v>445</v>
      </c>
      <c r="P101" s="14" t="s">
        <v>446</v>
      </c>
      <c r="Q101" s="14" t="s">
        <v>303</v>
      </c>
      <c r="R101" s="14">
        <v>4.45</v>
      </c>
      <c r="S101" s="14">
        <v>86.5</v>
      </c>
      <c r="T101" s="14">
        <v>26</v>
      </c>
      <c r="U101" s="14">
        <v>73515</v>
      </c>
      <c r="V101" s="14">
        <v>7327482</v>
      </c>
      <c r="W101" s="14">
        <v>6</v>
      </c>
      <c r="X101" s="14">
        <v>27</v>
      </c>
      <c r="Y101" s="14" t="s">
        <v>52</v>
      </c>
      <c r="Z101" s="14" t="s">
        <v>53</v>
      </c>
      <c r="AA101" s="14">
        <v>30</v>
      </c>
      <c r="AB101" s="14">
        <v>3</v>
      </c>
      <c r="AC101" s="14">
        <v>2.2999999999999998</v>
      </c>
      <c r="AD101" s="14" t="s">
        <v>54</v>
      </c>
      <c r="AE101" s="14">
        <v>3</v>
      </c>
      <c r="AF101" s="14">
        <v>418297</v>
      </c>
      <c r="AG101" s="14">
        <v>248205.42</v>
      </c>
      <c r="AH101" s="14">
        <v>170091.58</v>
      </c>
      <c r="AI101" s="14" t="s">
        <v>162</v>
      </c>
      <c r="AJ101" s="14" t="s">
        <v>56</v>
      </c>
      <c r="AK101" s="14" t="s">
        <v>123</v>
      </c>
      <c r="AL101" s="14">
        <v>3.1</v>
      </c>
      <c r="AM101" s="14">
        <v>2.6</v>
      </c>
      <c r="AN101" s="18">
        <v>46050</v>
      </c>
    </row>
    <row r="102" spans="1:40" ht="15" x14ac:dyDescent="0.25"/>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B3C3-248D-45A3-AA24-450B5755F8CE}">
  <dimension ref="A1:N43"/>
  <sheetViews>
    <sheetView zoomScale="85" zoomScaleNormal="85" workbookViewId="0">
      <selection activeCell="N28" sqref="N28"/>
    </sheetView>
  </sheetViews>
  <sheetFormatPr defaultRowHeight="22.5" thickTop="1" thickBottom="1" x14ac:dyDescent="0.4"/>
  <cols>
    <col min="1" max="1" width="26.28515625" style="5" bestFit="1" customWidth="1"/>
    <col min="2" max="2" width="26.28515625" style="6" bestFit="1" customWidth="1"/>
    <col min="3" max="3" width="25.5703125" style="6" bestFit="1" customWidth="1"/>
    <col min="4" max="4" width="40.42578125" style="6" bestFit="1" customWidth="1"/>
    <col min="5" max="5" width="36.140625" style="6" bestFit="1" customWidth="1"/>
    <col min="6" max="6" width="45.140625" style="6" bestFit="1" customWidth="1"/>
    <col min="7" max="7" width="45.85546875" style="6" bestFit="1" customWidth="1"/>
    <col min="8" max="8" width="28.85546875" style="6" bestFit="1" customWidth="1"/>
    <col min="9" max="9" width="31.85546875" style="6" bestFit="1" customWidth="1"/>
    <col min="10" max="10" width="40.85546875" style="6" bestFit="1" customWidth="1"/>
    <col min="11" max="11" width="24.5703125" style="6" bestFit="1" customWidth="1"/>
    <col min="12" max="12" width="40.5703125" style="6" bestFit="1" customWidth="1"/>
    <col min="13" max="13" width="34.42578125" style="6" bestFit="1" customWidth="1"/>
    <col min="14" max="14" width="33" style="6" bestFit="1" customWidth="1"/>
    <col min="15" max="16384" width="9.140625" style="6"/>
  </cols>
  <sheetData>
    <row r="1" spans="1:14" s="2" customFormat="1" ht="21" customHeight="1" thickTop="1" thickBot="1" x14ac:dyDescent="0.35">
      <c r="A1" s="1" t="s">
        <v>447</v>
      </c>
      <c r="B1" s="2" t="s">
        <v>448</v>
      </c>
      <c r="C1" s="2" t="s">
        <v>449</v>
      </c>
      <c r="D1" s="2" t="s">
        <v>450</v>
      </c>
      <c r="E1" s="2" t="s">
        <v>451</v>
      </c>
      <c r="F1" s="2" t="s">
        <v>452</v>
      </c>
      <c r="G1" s="2" t="s">
        <v>453</v>
      </c>
      <c r="H1" s="2" t="s">
        <v>454</v>
      </c>
      <c r="I1" s="2" t="s">
        <v>455</v>
      </c>
      <c r="J1" s="2" t="s">
        <v>456</v>
      </c>
      <c r="K1" s="2" t="s">
        <v>457</v>
      </c>
      <c r="L1" s="2" t="s">
        <v>458</v>
      </c>
      <c r="M1" s="2" t="s">
        <v>459</v>
      </c>
      <c r="N1" s="2" t="s">
        <v>460</v>
      </c>
    </row>
    <row r="2" spans="1:14" s="4" customFormat="1" thickTop="1" thickBot="1" x14ac:dyDescent="0.4">
      <c r="A2" s="3"/>
    </row>
    <row r="3" spans="1:14" thickTop="1" thickBot="1" x14ac:dyDescent="0.4">
      <c r="A3" s="3">
        <f>A2+5</f>
        <v>5</v>
      </c>
      <c r="B3" s="6">
        <f>B2+5</f>
        <v>5</v>
      </c>
      <c r="C3" s="6">
        <f>A3+B3</f>
        <v>10</v>
      </c>
      <c r="D3" s="6">
        <f>SUM(A3,B3,C3)</f>
        <v>20</v>
      </c>
      <c r="E3" s="6">
        <f>SUM(A3:D3)</f>
        <v>40</v>
      </c>
      <c r="F3" s="6">
        <f>SUM(D3+E3)</f>
        <v>60</v>
      </c>
      <c r="G3" s="6">
        <f>SUM(D3,E3)</f>
        <v>60</v>
      </c>
      <c r="H3" s="6">
        <f>E3-D3</f>
        <v>20</v>
      </c>
      <c r="I3" s="6">
        <f>G3*H3</f>
        <v>1200</v>
      </c>
      <c r="J3" s="6">
        <f>PRODUCT(G3:H3)</f>
        <v>1200</v>
      </c>
      <c r="K3" s="6">
        <f>H3/G3</f>
        <v>0.33333333333333331</v>
      </c>
      <c r="L3" s="6">
        <f>AVERAGE(G3:H3)</f>
        <v>40</v>
      </c>
      <c r="M3" s="6">
        <f>MAX(A3:K3)</f>
        <v>1200</v>
      </c>
      <c r="N3" s="6">
        <f>MIN(A3:M3)</f>
        <v>0.33333333333333331</v>
      </c>
    </row>
    <row r="4" spans="1:14" thickTop="1" thickBot="1" x14ac:dyDescent="0.4">
      <c r="A4" s="5">
        <f t="shared" ref="A4:A42" si="0">A3+5</f>
        <v>10</v>
      </c>
      <c r="B4" s="6">
        <f t="shared" ref="B4:B42" si="1">B3+5</f>
        <v>10</v>
      </c>
      <c r="C4" s="6">
        <f t="shared" ref="C4:C42" si="2">A4+B4</f>
        <v>20</v>
      </c>
      <c r="D4" s="6">
        <f t="shared" ref="D4:D42" si="3">SUM(A4,B4,C4)</f>
        <v>40</v>
      </c>
      <c r="E4" s="6">
        <f t="shared" ref="E4:E42" si="4">SUM(A4:D4)</f>
        <v>80</v>
      </c>
      <c r="F4" s="6">
        <f t="shared" ref="F4:F42" si="5">SUM(D4+E4)</f>
        <v>120</v>
      </c>
      <c r="G4" s="6">
        <f t="shared" ref="G4:G42" si="6">SUM(D4,E4)</f>
        <v>120</v>
      </c>
      <c r="H4" s="6">
        <f t="shared" ref="H4:H42" si="7">E4-D4</f>
        <v>40</v>
      </c>
      <c r="I4" s="6">
        <f t="shared" ref="I4:I42" si="8">G4*H4</f>
        <v>4800</v>
      </c>
      <c r="J4" s="6">
        <f t="shared" ref="J4:J42" si="9">PRODUCT(G4:H4)</f>
        <v>4800</v>
      </c>
      <c r="K4" s="6">
        <f t="shared" ref="K4:K42" si="10">H4/G4</f>
        <v>0.33333333333333331</v>
      </c>
      <c r="L4" s="6">
        <f t="shared" ref="L4:L42" si="11">AVERAGE(G4:H4)</f>
        <v>80</v>
      </c>
      <c r="M4" s="6">
        <f t="shared" ref="M4:M42" si="12">MAX(A4:K4)</f>
        <v>4800</v>
      </c>
      <c r="N4" s="6">
        <f t="shared" ref="N4:N42" si="13">MIN(A4:M4)</f>
        <v>0.33333333333333331</v>
      </c>
    </row>
    <row r="5" spans="1:14" thickTop="1" thickBot="1" x14ac:dyDescent="0.4">
      <c r="A5" s="5">
        <f t="shared" si="0"/>
        <v>15</v>
      </c>
      <c r="B5" s="6">
        <f t="shared" si="1"/>
        <v>15</v>
      </c>
      <c r="C5" s="6">
        <f t="shared" si="2"/>
        <v>30</v>
      </c>
      <c r="D5" s="6">
        <f t="shared" si="3"/>
        <v>60</v>
      </c>
      <c r="E5" s="6">
        <f t="shared" si="4"/>
        <v>120</v>
      </c>
      <c r="F5" s="6">
        <f t="shared" si="5"/>
        <v>180</v>
      </c>
      <c r="G5" s="6">
        <f t="shared" si="6"/>
        <v>180</v>
      </c>
      <c r="H5" s="6">
        <f t="shared" si="7"/>
        <v>60</v>
      </c>
      <c r="I5" s="6">
        <f t="shared" si="8"/>
        <v>10800</v>
      </c>
      <c r="J5" s="6">
        <f t="shared" si="9"/>
        <v>10800</v>
      </c>
      <c r="K5" s="6">
        <f t="shared" si="10"/>
        <v>0.33333333333333331</v>
      </c>
      <c r="L5" s="6">
        <f t="shared" si="11"/>
        <v>120</v>
      </c>
      <c r="M5" s="6">
        <f t="shared" si="12"/>
        <v>10800</v>
      </c>
      <c r="N5" s="6">
        <f t="shared" si="13"/>
        <v>0.33333333333333331</v>
      </c>
    </row>
    <row r="6" spans="1:14" thickTop="1" thickBot="1" x14ac:dyDescent="0.4">
      <c r="A6" s="5">
        <f t="shared" si="0"/>
        <v>20</v>
      </c>
      <c r="B6" s="6">
        <f t="shared" si="1"/>
        <v>20</v>
      </c>
      <c r="C6" s="6">
        <f t="shared" si="2"/>
        <v>40</v>
      </c>
      <c r="D6" s="6">
        <f t="shared" si="3"/>
        <v>80</v>
      </c>
      <c r="E6" s="6">
        <f t="shared" si="4"/>
        <v>160</v>
      </c>
      <c r="F6" s="6">
        <f t="shared" si="5"/>
        <v>240</v>
      </c>
      <c r="G6" s="6">
        <f t="shared" si="6"/>
        <v>240</v>
      </c>
      <c r="H6" s="6">
        <f t="shared" si="7"/>
        <v>80</v>
      </c>
      <c r="I6" s="6">
        <f t="shared" si="8"/>
        <v>19200</v>
      </c>
      <c r="J6" s="6">
        <f t="shared" si="9"/>
        <v>19200</v>
      </c>
      <c r="K6" s="6">
        <f t="shared" si="10"/>
        <v>0.33333333333333331</v>
      </c>
      <c r="L6" s="6">
        <f t="shared" si="11"/>
        <v>160</v>
      </c>
      <c r="M6" s="6">
        <f t="shared" si="12"/>
        <v>19200</v>
      </c>
      <c r="N6" s="6">
        <f t="shared" si="13"/>
        <v>0.33333333333333331</v>
      </c>
    </row>
    <row r="7" spans="1:14" thickTop="1" thickBot="1" x14ac:dyDescent="0.4">
      <c r="A7" s="5">
        <f t="shared" si="0"/>
        <v>25</v>
      </c>
      <c r="B7" s="6">
        <f t="shared" si="1"/>
        <v>25</v>
      </c>
      <c r="C7" s="6">
        <f t="shared" si="2"/>
        <v>50</v>
      </c>
      <c r="D7" s="6">
        <f t="shared" si="3"/>
        <v>100</v>
      </c>
      <c r="E7" s="6">
        <f t="shared" si="4"/>
        <v>200</v>
      </c>
      <c r="F7" s="6">
        <f t="shared" si="5"/>
        <v>300</v>
      </c>
      <c r="G7" s="6">
        <f t="shared" si="6"/>
        <v>300</v>
      </c>
      <c r="H7" s="6">
        <f t="shared" si="7"/>
        <v>100</v>
      </c>
      <c r="I7" s="6">
        <f t="shared" si="8"/>
        <v>30000</v>
      </c>
      <c r="J7" s="6">
        <f t="shared" si="9"/>
        <v>30000</v>
      </c>
      <c r="K7" s="6">
        <f t="shared" si="10"/>
        <v>0.33333333333333331</v>
      </c>
      <c r="L7" s="6">
        <f t="shared" si="11"/>
        <v>200</v>
      </c>
      <c r="M7" s="6">
        <f t="shared" si="12"/>
        <v>30000</v>
      </c>
      <c r="N7" s="6">
        <f t="shared" si="13"/>
        <v>0.33333333333333331</v>
      </c>
    </row>
    <row r="8" spans="1:14" thickTop="1" thickBot="1" x14ac:dyDescent="0.4">
      <c r="A8" s="5">
        <f t="shared" si="0"/>
        <v>30</v>
      </c>
      <c r="B8" s="6">
        <f t="shared" si="1"/>
        <v>30</v>
      </c>
      <c r="C8" s="6">
        <f t="shared" si="2"/>
        <v>60</v>
      </c>
      <c r="D8" s="6">
        <f t="shared" si="3"/>
        <v>120</v>
      </c>
      <c r="E8" s="6">
        <f t="shared" si="4"/>
        <v>240</v>
      </c>
      <c r="F8" s="6">
        <f t="shared" si="5"/>
        <v>360</v>
      </c>
      <c r="G8" s="6">
        <f t="shared" si="6"/>
        <v>360</v>
      </c>
      <c r="H8" s="6">
        <f t="shared" si="7"/>
        <v>120</v>
      </c>
      <c r="I8" s="6">
        <f t="shared" si="8"/>
        <v>43200</v>
      </c>
      <c r="J8" s="6">
        <f t="shared" si="9"/>
        <v>43200</v>
      </c>
      <c r="K8" s="6">
        <f t="shared" si="10"/>
        <v>0.33333333333333331</v>
      </c>
      <c r="L8" s="6">
        <f t="shared" si="11"/>
        <v>240</v>
      </c>
      <c r="M8" s="6">
        <f t="shared" si="12"/>
        <v>43200</v>
      </c>
      <c r="N8" s="6">
        <f t="shared" si="13"/>
        <v>0.33333333333333331</v>
      </c>
    </row>
    <row r="9" spans="1:14" thickTop="1" thickBot="1" x14ac:dyDescent="0.4">
      <c r="A9" s="5">
        <f t="shared" si="0"/>
        <v>35</v>
      </c>
      <c r="B9" s="6">
        <f t="shared" si="1"/>
        <v>35</v>
      </c>
      <c r="C9" s="6">
        <f t="shared" si="2"/>
        <v>70</v>
      </c>
      <c r="D9" s="6">
        <f t="shared" si="3"/>
        <v>140</v>
      </c>
      <c r="E9" s="6">
        <f t="shared" si="4"/>
        <v>280</v>
      </c>
      <c r="F9" s="6">
        <f t="shared" si="5"/>
        <v>420</v>
      </c>
      <c r="G9" s="6">
        <f t="shared" si="6"/>
        <v>420</v>
      </c>
      <c r="H9" s="6">
        <f t="shared" si="7"/>
        <v>140</v>
      </c>
      <c r="I9" s="6">
        <f t="shared" si="8"/>
        <v>58800</v>
      </c>
      <c r="J9" s="6">
        <f t="shared" si="9"/>
        <v>58800</v>
      </c>
      <c r="K9" s="6">
        <f t="shared" si="10"/>
        <v>0.33333333333333331</v>
      </c>
      <c r="L9" s="6">
        <f t="shared" si="11"/>
        <v>280</v>
      </c>
      <c r="M9" s="6">
        <f t="shared" si="12"/>
        <v>58800</v>
      </c>
      <c r="N9" s="6">
        <f t="shared" si="13"/>
        <v>0.33333333333333331</v>
      </c>
    </row>
    <row r="10" spans="1:14" thickTop="1" thickBot="1" x14ac:dyDescent="0.4">
      <c r="A10" s="5">
        <f t="shared" si="0"/>
        <v>40</v>
      </c>
      <c r="B10" s="6">
        <f t="shared" si="1"/>
        <v>40</v>
      </c>
      <c r="C10" s="6">
        <f t="shared" si="2"/>
        <v>80</v>
      </c>
      <c r="D10" s="6">
        <f t="shared" si="3"/>
        <v>160</v>
      </c>
      <c r="E10" s="6">
        <f t="shared" si="4"/>
        <v>320</v>
      </c>
      <c r="F10" s="6">
        <f t="shared" si="5"/>
        <v>480</v>
      </c>
      <c r="G10" s="6">
        <f t="shared" si="6"/>
        <v>480</v>
      </c>
      <c r="H10" s="6">
        <f t="shared" si="7"/>
        <v>160</v>
      </c>
      <c r="I10" s="6">
        <f t="shared" si="8"/>
        <v>76800</v>
      </c>
      <c r="J10" s="6">
        <f t="shared" si="9"/>
        <v>76800</v>
      </c>
      <c r="K10" s="6">
        <f t="shared" si="10"/>
        <v>0.33333333333333331</v>
      </c>
      <c r="L10" s="6">
        <f t="shared" si="11"/>
        <v>320</v>
      </c>
      <c r="M10" s="6">
        <f t="shared" si="12"/>
        <v>76800</v>
      </c>
      <c r="N10" s="6">
        <f t="shared" si="13"/>
        <v>0.33333333333333331</v>
      </c>
    </row>
    <row r="11" spans="1:14" thickTop="1" thickBot="1" x14ac:dyDescent="0.4">
      <c r="A11" s="5">
        <f t="shared" si="0"/>
        <v>45</v>
      </c>
      <c r="B11" s="6">
        <f t="shared" si="1"/>
        <v>45</v>
      </c>
      <c r="C11" s="6">
        <f t="shared" si="2"/>
        <v>90</v>
      </c>
      <c r="D11" s="6">
        <f t="shared" si="3"/>
        <v>180</v>
      </c>
      <c r="E11" s="6">
        <f t="shared" si="4"/>
        <v>360</v>
      </c>
      <c r="F11" s="6">
        <f t="shared" si="5"/>
        <v>540</v>
      </c>
      <c r="G11" s="6">
        <f t="shared" si="6"/>
        <v>540</v>
      </c>
      <c r="H11" s="6">
        <f t="shared" si="7"/>
        <v>180</v>
      </c>
      <c r="I11" s="6">
        <f t="shared" si="8"/>
        <v>97200</v>
      </c>
      <c r="J11" s="6">
        <f t="shared" si="9"/>
        <v>97200</v>
      </c>
      <c r="K11" s="6">
        <f t="shared" si="10"/>
        <v>0.33333333333333331</v>
      </c>
      <c r="L11" s="6">
        <f t="shared" si="11"/>
        <v>360</v>
      </c>
      <c r="M11" s="6">
        <f t="shared" si="12"/>
        <v>97200</v>
      </c>
      <c r="N11" s="6">
        <f t="shared" si="13"/>
        <v>0.33333333333333331</v>
      </c>
    </row>
    <row r="12" spans="1:14" thickTop="1" thickBot="1" x14ac:dyDescent="0.4">
      <c r="A12" s="5">
        <f t="shared" si="0"/>
        <v>50</v>
      </c>
      <c r="B12" s="6">
        <f t="shared" si="1"/>
        <v>50</v>
      </c>
      <c r="C12" s="6">
        <f t="shared" si="2"/>
        <v>100</v>
      </c>
      <c r="D12" s="6">
        <f t="shared" si="3"/>
        <v>200</v>
      </c>
      <c r="E12" s="6">
        <f t="shared" si="4"/>
        <v>400</v>
      </c>
      <c r="F12" s="6">
        <f t="shared" si="5"/>
        <v>600</v>
      </c>
      <c r="G12" s="6">
        <f t="shared" si="6"/>
        <v>600</v>
      </c>
      <c r="H12" s="6">
        <f t="shared" si="7"/>
        <v>200</v>
      </c>
      <c r="I12" s="6">
        <f t="shared" si="8"/>
        <v>120000</v>
      </c>
      <c r="J12" s="6">
        <f t="shared" si="9"/>
        <v>120000</v>
      </c>
      <c r="K12" s="6">
        <f t="shared" si="10"/>
        <v>0.33333333333333331</v>
      </c>
      <c r="L12" s="6">
        <f t="shared" si="11"/>
        <v>400</v>
      </c>
      <c r="M12" s="6">
        <f t="shared" si="12"/>
        <v>120000</v>
      </c>
      <c r="N12" s="6">
        <f t="shared" si="13"/>
        <v>0.33333333333333331</v>
      </c>
    </row>
    <row r="13" spans="1:14" thickTop="1" thickBot="1" x14ac:dyDescent="0.4">
      <c r="A13" s="5">
        <f t="shared" si="0"/>
        <v>55</v>
      </c>
      <c r="B13" s="6">
        <f t="shared" si="1"/>
        <v>55</v>
      </c>
      <c r="C13" s="6">
        <f t="shared" si="2"/>
        <v>110</v>
      </c>
      <c r="D13" s="6">
        <f t="shared" si="3"/>
        <v>220</v>
      </c>
      <c r="E13" s="6">
        <f t="shared" si="4"/>
        <v>440</v>
      </c>
      <c r="F13" s="6">
        <f t="shared" si="5"/>
        <v>660</v>
      </c>
      <c r="G13" s="6">
        <f t="shared" si="6"/>
        <v>660</v>
      </c>
      <c r="H13" s="6">
        <f t="shared" si="7"/>
        <v>220</v>
      </c>
      <c r="I13" s="6">
        <f t="shared" si="8"/>
        <v>145200</v>
      </c>
      <c r="J13" s="6">
        <f t="shared" si="9"/>
        <v>145200</v>
      </c>
      <c r="K13" s="6">
        <f t="shared" si="10"/>
        <v>0.33333333333333331</v>
      </c>
      <c r="L13" s="6">
        <f t="shared" si="11"/>
        <v>440</v>
      </c>
      <c r="M13" s="6">
        <f t="shared" si="12"/>
        <v>145200</v>
      </c>
      <c r="N13" s="6">
        <f t="shared" si="13"/>
        <v>0.33333333333333331</v>
      </c>
    </row>
    <row r="14" spans="1:14" thickTop="1" thickBot="1" x14ac:dyDescent="0.4">
      <c r="A14" s="5">
        <f t="shared" si="0"/>
        <v>60</v>
      </c>
      <c r="B14" s="6">
        <f t="shared" si="1"/>
        <v>60</v>
      </c>
      <c r="C14" s="6">
        <f t="shared" si="2"/>
        <v>120</v>
      </c>
      <c r="D14" s="6">
        <f t="shared" si="3"/>
        <v>240</v>
      </c>
      <c r="E14" s="6">
        <f t="shared" si="4"/>
        <v>480</v>
      </c>
      <c r="F14" s="6">
        <f t="shared" si="5"/>
        <v>720</v>
      </c>
      <c r="G14" s="6">
        <f t="shared" si="6"/>
        <v>720</v>
      </c>
      <c r="H14" s="6">
        <f t="shared" si="7"/>
        <v>240</v>
      </c>
      <c r="I14" s="6">
        <f t="shared" si="8"/>
        <v>172800</v>
      </c>
      <c r="J14" s="6">
        <f t="shared" si="9"/>
        <v>172800</v>
      </c>
      <c r="K14" s="6">
        <f t="shared" si="10"/>
        <v>0.33333333333333331</v>
      </c>
      <c r="L14" s="6">
        <f t="shared" si="11"/>
        <v>480</v>
      </c>
      <c r="M14" s="6">
        <f t="shared" si="12"/>
        <v>172800</v>
      </c>
      <c r="N14" s="6">
        <f t="shared" si="13"/>
        <v>0.33333333333333331</v>
      </c>
    </row>
    <row r="15" spans="1:14" thickTop="1" thickBot="1" x14ac:dyDescent="0.4">
      <c r="A15" s="5">
        <f t="shared" si="0"/>
        <v>65</v>
      </c>
      <c r="B15" s="6">
        <f t="shared" si="1"/>
        <v>65</v>
      </c>
      <c r="C15" s="6">
        <f t="shared" si="2"/>
        <v>130</v>
      </c>
      <c r="D15" s="6">
        <f t="shared" si="3"/>
        <v>260</v>
      </c>
      <c r="E15" s="6">
        <f t="shared" si="4"/>
        <v>520</v>
      </c>
      <c r="F15" s="6">
        <f t="shared" si="5"/>
        <v>780</v>
      </c>
      <c r="G15" s="6">
        <f t="shared" si="6"/>
        <v>780</v>
      </c>
      <c r="H15" s="6">
        <f t="shared" si="7"/>
        <v>260</v>
      </c>
      <c r="I15" s="6">
        <f t="shared" si="8"/>
        <v>202800</v>
      </c>
      <c r="J15" s="6">
        <f t="shared" si="9"/>
        <v>202800</v>
      </c>
      <c r="K15" s="6">
        <f t="shared" si="10"/>
        <v>0.33333333333333331</v>
      </c>
      <c r="L15" s="6">
        <f t="shared" si="11"/>
        <v>520</v>
      </c>
      <c r="M15" s="6">
        <f t="shared" si="12"/>
        <v>202800</v>
      </c>
      <c r="N15" s="6">
        <f t="shared" si="13"/>
        <v>0.33333333333333331</v>
      </c>
    </row>
    <row r="16" spans="1:14" thickTop="1" thickBot="1" x14ac:dyDescent="0.4">
      <c r="A16" s="5">
        <f t="shared" si="0"/>
        <v>70</v>
      </c>
      <c r="B16" s="6">
        <f t="shared" si="1"/>
        <v>70</v>
      </c>
      <c r="C16" s="6">
        <f t="shared" si="2"/>
        <v>140</v>
      </c>
      <c r="D16" s="6">
        <f t="shared" si="3"/>
        <v>280</v>
      </c>
      <c r="E16" s="6">
        <f t="shared" si="4"/>
        <v>560</v>
      </c>
      <c r="F16" s="6">
        <f t="shared" si="5"/>
        <v>840</v>
      </c>
      <c r="G16" s="6">
        <f t="shared" si="6"/>
        <v>840</v>
      </c>
      <c r="H16" s="6">
        <f t="shared" si="7"/>
        <v>280</v>
      </c>
      <c r="I16" s="6">
        <f t="shared" si="8"/>
        <v>235200</v>
      </c>
      <c r="J16" s="6">
        <f t="shared" si="9"/>
        <v>235200</v>
      </c>
      <c r="K16" s="6">
        <f t="shared" si="10"/>
        <v>0.33333333333333331</v>
      </c>
      <c r="L16" s="6">
        <f t="shared" si="11"/>
        <v>560</v>
      </c>
      <c r="M16" s="6">
        <f t="shared" si="12"/>
        <v>235200</v>
      </c>
      <c r="N16" s="6">
        <f t="shared" si="13"/>
        <v>0.33333333333333331</v>
      </c>
    </row>
    <row r="17" spans="1:14" thickTop="1" thickBot="1" x14ac:dyDescent="0.4">
      <c r="A17" s="5">
        <f t="shared" si="0"/>
        <v>75</v>
      </c>
      <c r="B17" s="6">
        <f t="shared" si="1"/>
        <v>75</v>
      </c>
      <c r="C17" s="6">
        <f t="shared" si="2"/>
        <v>150</v>
      </c>
      <c r="D17" s="6">
        <f t="shared" si="3"/>
        <v>300</v>
      </c>
      <c r="E17" s="6">
        <f t="shared" si="4"/>
        <v>600</v>
      </c>
      <c r="F17" s="6">
        <f t="shared" si="5"/>
        <v>900</v>
      </c>
      <c r="G17" s="6">
        <f t="shared" si="6"/>
        <v>900</v>
      </c>
      <c r="H17" s="6">
        <f t="shared" si="7"/>
        <v>300</v>
      </c>
      <c r="I17" s="6">
        <f t="shared" si="8"/>
        <v>270000</v>
      </c>
      <c r="J17" s="6">
        <f t="shared" si="9"/>
        <v>270000</v>
      </c>
      <c r="K17" s="6">
        <f t="shared" si="10"/>
        <v>0.33333333333333331</v>
      </c>
      <c r="L17" s="6">
        <f t="shared" si="11"/>
        <v>600</v>
      </c>
      <c r="M17" s="6">
        <f t="shared" si="12"/>
        <v>270000</v>
      </c>
      <c r="N17" s="6">
        <f t="shared" si="13"/>
        <v>0.33333333333333331</v>
      </c>
    </row>
    <row r="18" spans="1:14" thickTop="1" thickBot="1" x14ac:dyDescent="0.4">
      <c r="A18" s="5">
        <f t="shared" si="0"/>
        <v>80</v>
      </c>
      <c r="B18" s="6">
        <f t="shared" si="1"/>
        <v>80</v>
      </c>
      <c r="C18" s="6">
        <f t="shared" si="2"/>
        <v>160</v>
      </c>
      <c r="D18" s="6">
        <f t="shared" si="3"/>
        <v>320</v>
      </c>
      <c r="E18" s="6">
        <f t="shared" si="4"/>
        <v>640</v>
      </c>
      <c r="F18" s="6">
        <f t="shared" si="5"/>
        <v>960</v>
      </c>
      <c r="G18" s="6">
        <f t="shared" si="6"/>
        <v>960</v>
      </c>
      <c r="H18" s="6">
        <f t="shared" si="7"/>
        <v>320</v>
      </c>
      <c r="I18" s="6">
        <f t="shared" si="8"/>
        <v>307200</v>
      </c>
      <c r="J18" s="6">
        <f t="shared" si="9"/>
        <v>307200</v>
      </c>
      <c r="K18" s="6">
        <f t="shared" si="10"/>
        <v>0.33333333333333331</v>
      </c>
      <c r="L18" s="6">
        <f t="shared" si="11"/>
        <v>640</v>
      </c>
      <c r="M18" s="6">
        <f t="shared" si="12"/>
        <v>307200</v>
      </c>
      <c r="N18" s="6">
        <f t="shared" si="13"/>
        <v>0.33333333333333331</v>
      </c>
    </row>
    <row r="19" spans="1:14" thickTop="1" thickBot="1" x14ac:dyDescent="0.4">
      <c r="A19" s="5">
        <f t="shared" si="0"/>
        <v>85</v>
      </c>
      <c r="B19" s="6">
        <f t="shared" si="1"/>
        <v>85</v>
      </c>
      <c r="C19" s="6">
        <f t="shared" si="2"/>
        <v>170</v>
      </c>
      <c r="D19" s="6">
        <f t="shared" si="3"/>
        <v>340</v>
      </c>
      <c r="E19" s="6">
        <f t="shared" si="4"/>
        <v>680</v>
      </c>
      <c r="F19" s="6">
        <f t="shared" si="5"/>
        <v>1020</v>
      </c>
      <c r="G19" s="6">
        <f t="shared" si="6"/>
        <v>1020</v>
      </c>
      <c r="H19" s="6">
        <f t="shared" si="7"/>
        <v>340</v>
      </c>
      <c r="I19" s="6">
        <f t="shared" si="8"/>
        <v>346800</v>
      </c>
      <c r="J19" s="6">
        <f t="shared" si="9"/>
        <v>346800</v>
      </c>
      <c r="K19" s="6">
        <f t="shared" si="10"/>
        <v>0.33333333333333331</v>
      </c>
      <c r="L19" s="6">
        <f t="shared" si="11"/>
        <v>680</v>
      </c>
      <c r="M19" s="6">
        <f t="shared" si="12"/>
        <v>346800</v>
      </c>
      <c r="N19" s="6">
        <f t="shared" si="13"/>
        <v>0.33333333333333331</v>
      </c>
    </row>
    <row r="20" spans="1:14" thickTop="1" thickBot="1" x14ac:dyDescent="0.4">
      <c r="A20" s="5">
        <f t="shared" si="0"/>
        <v>90</v>
      </c>
      <c r="B20" s="6">
        <f t="shared" si="1"/>
        <v>90</v>
      </c>
      <c r="C20" s="6">
        <f t="shared" si="2"/>
        <v>180</v>
      </c>
      <c r="D20" s="6">
        <f t="shared" si="3"/>
        <v>360</v>
      </c>
      <c r="E20" s="6">
        <f t="shared" si="4"/>
        <v>720</v>
      </c>
      <c r="F20" s="6">
        <f t="shared" si="5"/>
        <v>1080</v>
      </c>
      <c r="G20" s="6">
        <f t="shared" si="6"/>
        <v>1080</v>
      </c>
      <c r="H20" s="6">
        <f t="shared" si="7"/>
        <v>360</v>
      </c>
      <c r="I20" s="6">
        <f t="shared" si="8"/>
        <v>388800</v>
      </c>
      <c r="J20" s="6">
        <f t="shared" si="9"/>
        <v>388800</v>
      </c>
      <c r="K20" s="6">
        <f t="shared" si="10"/>
        <v>0.33333333333333331</v>
      </c>
      <c r="L20" s="6">
        <f t="shared" si="11"/>
        <v>720</v>
      </c>
      <c r="M20" s="6">
        <f t="shared" si="12"/>
        <v>388800</v>
      </c>
      <c r="N20" s="6">
        <f t="shared" si="13"/>
        <v>0.33333333333333331</v>
      </c>
    </row>
    <row r="21" spans="1:14" thickTop="1" thickBot="1" x14ac:dyDescent="0.4">
      <c r="A21" s="5">
        <f t="shared" si="0"/>
        <v>95</v>
      </c>
      <c r="B21" s="6">
        <f t="shared" si="1"/>
        <v>95</v>
      </c>
      <c r="C21" s="6">
        <f t="shared" si="2"/>
        <v>190</v>
      </c>
      <c r="D21" s="6">
        <f t="shared" si="3"/>
        <v>380</v>
      </c>
      <c r="E21" s="6">
        <f t="shared" si="4"/>
        <v>760</v>
      </c>
      <c r="F21" s="6">
        <f t="shared" si="5"/>
        <v>1140</v>
      </c>
      <c r="G21" s="6">
        <f t="shared" si="6"/>
        <v>1140</v>
      </c>
      <c r="H21" s="6">
        <f t="shared" si="7"/>
        <v>380</v>
      </c>
      <c r="I21" s="6">
        <f t="shared" si="8"/>
        <v>433200</v>
      </c>
      <c r="J21" s="6">
        <f t="shared" si="9"/>
        <v>433200</v>
      </c>
      <c r="K21" s="6">
        <f t="shared" si="10"/>
        <v>0.33333333333333331</v>
      </c>
      <c r="L21" s="6">
        <f t="shared" si="11"/>
        <v>760</v>
      </c>
      <c r="M21" s="6">
        <f t="shared" si="12"/>
        <v>433200</v>
      </c>
      <c r="N21" s="6">
        <f t="shared" si="13"/>
        <v>0.33333333333333331</v>
      </c>
    </row>
    <row r="22" spans="1:14" thickTop="1" thickBot="1" x14ac:dyDescent="0.4">
      <c r="A22" s="5">
        <f t="shared" si="0"/>
        <v>100</v>
      </c>
      <c r="B22" s="6">
        <f t="shared" si="1"/>
        <v>100</v>
      </c>
      <c r="C22" s="6">
        <f t="shared" si="2"/>
        <v>200</v>
      </c>
      <c r="D22" s="6">
        <f t="shared" si="3"/>
        <v>400</v>
      </c>
      <c r="E22" s="6">
        <f t="shared" si="4"/>
        <v>800</v>
      </c>
      <c r="F22" s="6">
        <f t="shared" si="5"/>
        <v>1200</v>
      </c>
      <c r="G22" s="6">
        <f t="shared" si="6"/>
        <v>1200</v>
      </c>
      <c r="H22" s="6">
        <f t="shared" si="7"/>
        <v>400</v>
      </c>
      <c r="I22" s="6">
        <f t="shared" si="8"/>
        <v>480000</v>
      </c>
      <c r="J22" s="6">
        <f t="shared" si="9"/>
        <v>480000</v>
      </c>
      <c r="K22" s="6">
        <f t="shared" si="10"/>
        <v>0.33333333333333331</v>
      </c>
      <c r="L22" s="6">
        <f t="shared" si="11"/>
        <v>800</v>
      </c>
      <c r="M22" s="6">
        <f t="shared" si="12"/>
        <v>480000</v>
      </c>
      <c r="N22" s="6">
        <f t="shared" si="13"/>
        <v>0.33333333333333331</v>
      </c>
    </row>
    <row r="23" spans="1:14" thickTop="1" thickBot="1" x14ac:dyDescent="0.4">
      <c r="A23" s="5">
        <f t="shared" si="0"/>
        <v>105</v>
      </c>
      <c r="B23" s="6">
        <f t="shared" si="1"/>
        <v>105</v>
      </c>
      <c r="C23" s="6">
        <f t="shared" si="2"/>
        <v>210</v>
      </c>
      <c r="D23" s="6">
        <f t="shared" si="3"/>
        <v>420</v>
      </c>
      <c r="E23" s="6">
        <f t="shared" si="4"/>
        <v>840</v>
      </c>
      <c r="F23" s="6">
        <f t="shared" si="5"/>
        <v>1260</v>
      </c>
      <c r="G23" s="6">
        <f t="shared" si="6"/>
        <v>1260</v>
      </c>
      <c r="H23" s="6">
        <f t="shared" si="7"/>
        <v>420</v>
      </c>
      <c r="I23" s="6">
        <f t="shared" si="8"/>
        <v>529200</v>
      </c>
      <c r="J23" s="6">
        <f t="shared" si="9"/>
        <v>529200</v>
      </c>
      <c r="K23" s="6">
        <f t="shared" si="10"/>
        <v>0.33333333333333331</v>
      </c>
      <c r="L23" s="6">
        <f t="shared" si="11"/>
        <v>840</v>
      </c>
      <c r="M23" s="6">
        <f t="shared" si="12"/>
        <v>529200</v>
      </c>
      <c r="N23" s="6">
        <f t="shared" si="13"/>
        <v>0.33333333333333331</v>
      </c>
    </row>
    <row r="24" spans="1:14" thickTop="1" thickBot="1" x14ac:dyDescent="0.4">
      <c r="A24" s="5">
        <f t="shared" si="0"/>
        <v>110</v>
      </c>
      <c r="B24" s="6">
        <f t="shared" si="1"/>
        <v>110</v>
      </c>
      <c r="C24" s="6">
        <f t="shared" si="2"/>
        <v>220</v>
      </c>
      <c r="D24" s="6">
        <f t="shared" si="3"/>
        <v>440</v>
      </c>
      <c r="E24" s="6">
        <f t="shared" si="4"/>
        <v>880</v>
      </c>
      <c r="F24" s="6">
        <f t="shared" si="5"/>
        <v>1320</v>
      </c>
      <c r="G24" s="6">
        <f t="shared" si="6"/>
        <v>1320</v>
      </c>
      <c r="H24" s="6">
        <f t="shared" si="7"/>
        <v>440</v>
      </c>
      <c r="I24" s="6">
        <f t="shared" si="8"/>
        <v>580800</v>
      </c>
      <c r="J24" s="6">
        <f t="shared" si="9"/>
        <v>580800</v>
      </c>
      <c r="K24" s="6">
        <f t="shared" si="10"/>
        <v>0.33333333333333331</v>
      </c>
      <c r="L24" s="6">
        <f t="shared" si="11"/>
        <v>880</v>
      </c>
      <c r="M24" s="6">
        <f t="shared" si="12"/>
        <v>580800</v>
      </c>
      <c r="N24" s="6">
        <f t="shared" si="13"/>
        <v>0.33333333333333331</v>
      </c>
    </row>
    <row r="25" spans="1:14" thickTop="1" thickBot="1" x14ac:dyDescent="0.4">
      <c r="A25" s="5">
        <f t="shared" si="0"/>
        <v>115</v>
      </c>
      <c r="B25" s="6">
        <f t="shared" si="1"/>
        <v>115</v>
      </c>
      <c r="C25" s="6">
        <f t="shared" si="2"/>
        <v>230</v>
      </c>
      <c r="D25" s="6">
        <f t="shared" si="3"/>
        <v>460</v>
      </c>
      <c r="E25" s="6">
        <f t="shared" si="4"/>
        <v>920</v>
      </c>
      <c r="F25" s="6">
        <f t="shared" si="5"/>
        <v>1380</v>
      </c>
      <c r="G25" s="6">
        <f t="shared" si="6"/>
        <v>1380</v>
      </c>
      <c r="H25" s="6">
        <f t="shared" si="7"/>
        <v>460</v>
      </c>
      <c r="I25" s="6">
        <f t="shared" si="8"/>
        <v>634800</v>
      </c>
      <c r="J25" s="6">
        <f t="shared" si="9"/>
        <v>634800</v>
      </c>
      <c r="K25" s="6">
        <f t="shared" si="10"/>
        <v>0.33333333333333331</v>
      </c>
      <c r="L25" s="6">
        <f t="shared" si="11"/>
        <v>920</v>
      </c>
      <c r="M25" s="6">
        <f t="shared" si="12"/>
        <v>634800</v>
      </c>
      <c r="N25" s="6">
        <f t="shared" si="13"/>
        <v>0.33333333333333331</v>
      </c>
    </row>
    <row r="26" spans="1:14" thickTop="1" thickBot="1" x14ac:dyDescent="0.4">
      <c r="A26" s="5">
        <f t="shared" si="0"/>
        <v>120</v>
      </c>
      <c r="B26" s="6">
        <f t="shared" si="1"/>
        <v>120</v>
      </c>
      <c r="C26" s="6">
        <f t="shared" si="2"/>
        <v>240</v>
      </c>
      <c r="D26" s="6">
        <f t="shared" si="3"/>
        <v>480</v>
      </c>
      <c r="E26" s="6">
        <f t="shared" si="4"/>
        <v>960</v>
      </c>
      <c r="F26" s="6">
        <f t="shared" si="5"/>
        <v>1440</v>
      </c>
      <c r="G26" s="6">
        <f t="shared" si="6"/>
        <v>1440</v>
      </c>
      <c r="H26" s="6">
        <f t="shared" si="7"/>
        <v>480</v>
      </c>
      <c r="I26" s="6">
        <f t="shared" si="8"/>
        <v>691200</v>
      </c>
      <c r="J26" s="6">
        <f t="shared" si="9"/>
        <v>691200</v>
      </c>
      <c r="K26" s="6">
        <f t="shared" si="10"/>
        <v>0.33333333333333331</v>
      </c>
      <c r="L26" s="6">
        <f t="shared" si="11"/>
        <v>960</v>
      </c>
      <c r="M26" s="6">
        <f t="shared" si="12"/>
        <v>691200</v>
      </c>
      <c r="N26" s="6">
        <f t="shared" si="13"/>
        <v>0.33333333333333331</v>
      </c>
    </row>
    <row r="27" spans="1:14" thickTop="1" thickBot="1" x14ac:dyDescent="0.4">
      <c r="A27" s="5">
        <f t="shared" si="0"/>
        <v>125</v>
      </c>
      <c r="B27" s="6">
        <f t="shared" si="1"/>
        <v>125</v>
      </c>
      <c r="C27" s="6">
        <f t="shared" si="2"/>
        <v>250</v>
      </c>
      <c r="D27" s="6">
        <f t="shared" si="3"/>
        <v>500</v>
      </c>
      <c r="E27" s="6">
        <f t="shared" si="4"/>
        <v>1000</v>
      </c>
      <c r="F27" s="6">
        <f t="shared" si="5"/>
        <v>1500</v>
      </c>
      <c r="G27" s="6">
        <f t="shared" si="6"/>
        <v>1500</v>
      </c>
      <c r="H27" s="6">
        <f t="shared" si="7"/>
        <v>500</v>
      </c>
      <c r="I27" s="6">
        <f t="shared" si="8"/>
        <v>750000</v>
      </c>
      <c r="J27" s="6">
        <f t="shared" si="9"/>
        <v>750000</v>
      </c>
      <c r="K27" s="6">
        <f t="shared" si="10"/>
        <v>0.33333333333333331</v>
      </c>
      <c r="L27" s="6">
        <f t="shared" si="11"/>
        <v>1000</v>
      </c>
      <c r="M27" s="6">
        <f t="shared" si="12"/>
        <v>750000</v>
      </c>
      <c r="N27" s="6">
        <f t="shared" si="13"/>
        <v>0.33333333333333331</v>
      </c>
    </row>
    <row r="28" spans="1:14" thickTop="1" thickBot="1" x14ac:dyDescent="0.4">
      <c r="A28" s="5">
        <f t="shared" si="0"/>
        <v>130</v>
      </c>
      <c r="B28" s="6">
        <f t="shared" si="1"/>
        <v>130</v>
      </c>
      <c r="C28" s="6">
        <f t="shared" si="2"/>
        <v>260</v>
      </c>
      <c r="D28" s="6">
        <f t="shared" si="3"/>
        <v>520</v>
      </c>
      <c r="E28" s="6">
        <f t="shared" si="4"/>
        <v>1040</v>
      </c>
      <c r="F28" s="6">
        <f t="shared" si="5"/>
        <v>1560</v>
      </c>
      <c r="G28" s="6">
        <f t="shared" si="6"/>
        <v>1560</v>
      </c>
      <c r="H28" s="6">
        <f t="shared" si="7"/>
        <v>520</v>
      </c>
      <c r="I28" s="6">
        <f t="shared" si="8"/>
        <v>811200</v>
      </c>
      <c r="J28" s="6">
        <f t="shared" si="9"/>
        <v>811200</v>
      </c>
      <c r="K28" s="6">
        <f t="shared" si="10"/>
        <v>0.33333333333333331</v>
      </c>
      <c r="L28" s="6">
        <f t="shared" si="11"/>
        <v>1040</v>
      </c>
      <c r="M28" s="6">
        <f t="shared" si="12"/>
        <v>811200</v>
      </c>
      <c r="N28" s="6">
        <f t="shared" si="13"/>
        <v>0.33333333333333331</v>
      </c>
    </row>
    <row r="29" spans="1:14" thickTop="1" thickBot="1" x14ac:dyDescent="0.4">
      <c r="A29" s="5">
        <f t="shared" si="0"/>
        <v>135</v>
      </c>
      <c r="B29" s="6">
        <f t="shared" si="1"/>
        <v>135</v>
      </c>
      <c r="C29" s="6">
        <f t="shared" si="2"/>
        <v>270</v>
      </c>
      <c r="D29" s="6">
        <f t="shared" si="3"/>
        <v>540</v>
      </c>
      <c r="E29" s="6">
        <f t="shared" si="4"/>
        <v>1080</v>
      </c>
      <c r="F29" s="6">
        <f t="shared" si="5"/>
        <v>1620</v>
      </c>
      <c r="G29" s="6">
        <f t="shared" si="6"/>
        <v>1620</v>
      </c>
      <c r="H29" s="6">
        <f t="shared" si="7"/>
        <v>540</v>
      </c>
      <c r="I29" s="6">
        <f t="shared" si="8"/>
        <v>874800</v>
      </c>
      <c r="J29" s="6">
        <f t="shared" si="9"/>
        <v>874800</v>
      </c>
      <c r="K29" s="6">
        <f t="shared" si="10"/>
        <v>0.33333333333333331</v>
      </c>
      <c r="L29" s="6">
        <f t="shared" si="11"/>
        <v>1080</v>
      </c>
      <c r="M29" s="6">
        <f t="shared" si="12"/>
        <v>874800</v>
      </c>
      <c r="N29" s="6">
        <f t="shared" si="13"/>
        <v>0.33333333333333331</v>
      </c>
    </row>
    <row r="30" spans="1:14" thickTop="1" thickBot="1" x14ac:dyDescent="0.4">
      <c r="A30" s="5">
        <f t="shared" si="0"/>
        <v>140</v>
      </c>
      <c r="B30" s="6">
        <f t="shared" si="1"/>
        <v>140</v>
      </c>
      <c r="C30" s="6">
        <f t="shared" si="2"/>
        <v>280</v>
      </c>
      <c r="D30" s="6">
        <f t="shared" si="3"/>
        <v>560</v>
      </c>
      <c r="E30" s="6">
        <f t="shared" si="4"/>
        <v>1120</v>
      </c>
      <c r="F30" s="6">
        <f t="shared" si="5"/>
        <v>1680</v>
      </c>
      <c r="G30" s="6">
        <f t="shared" si="6"/>
        <v>1680</v>
      </c>
      <c r="H30" s="6">
        <f t="shared" si="7"/>
        <v>560</v>
      </c>
      <c r="I30" s="6">
        <f t="shared" si="8"/>
        <v>940800</v>
      </c>
      <c r="J30" s="6">
        <f t="shared" si="9"/>
        <v>940800</v>
      </c>
      <c r="K30" s="6">
        <f t="shared" si="10"/>
        <v>0.33333333333333331</v>
      </c>
      <c r="L30" s="6">
        <f t="shared" si="11"/>
        <v>1120</v>
      </c>
      <c r="M30" s="6">
        <f t="shared" si="12"/>
        <v>940800</v>
      </c>
      <c r="N30" s="6">
        <f t="shared" si="13"/>
        <v>0.33333333333333331</v>
      </c>
    </row>
    <row r="31" spans="1:14" thickTop="1" thickBot="1" x14ac:dyDescent="0.4">
      <c r="A31" s="5">
        <f t="shared" si="0"/>
        <v>145</v>
      </c>
      <c r="B31" s="6">
        <f t="shared" si="1"/>
        <v>145</v>
      </c>
      <c r="C31" s="6">
        <f t="shared" si="2"/>
        <v>290</v>
      </c>
      <c r="D31" s="6">
        <f t="shared" si="3"/>
        <v>580</v>
      </c>
      <c r="E31" s="6">
        <f t="shared" si="4"/>
        <v>1160</v>
      </c>
      <c r="F31" s="6">
        <f t="shared" si="5"/>
        <v>1740</v>
      </c>
      <c r="G31" s="6">
        <f t="shared" si="6"/>
        <v>1740</v>
      </c>
      <c r="H31" s="6">
        <f t="shared" si="7"/>
        <v>580</v>
      </c>
      <c r="I31" s="6">
        <f t="shared" si="8"/>
        <v>1009200</v>
      </c>
      <c r="J31" s="6">
        <f t="shared" si="9"/>
        <v>1009200</v>
      </c>
      <c r="K31" s="6">
        <f t="shared" si="10"/>
        <v>0.33333333333333331</v>
      </c>
      <c r="L31" s="6">
        <f t="shared" si="11"/>
        <v>1160</v>
      </c>
      <c r="M31" s="6">
        <f t="shared" si="12"/>
        <v>1009200</v>
      </c>
      <c r="N31" s="6">
        <f t="shared" si="13"/>
        <v>0.33333333333333331</v>
      </c>
    </row>
    <row r="32" spans="1:14" thickTop="1" thickBot="1" x14ac:dyDescent="0.4">
      <c r="A32" s="5">
        <f t="shared" si="0"/>
        <v>150</v>
      </c>
      <c r="B32" s="6">
        <f t="shared" si="1"/>
        <v>150</v>
      </c>
      <c r="C32" s="6">
        <f t="shared" si="2"/>
        <v>300</v>
      </c>
      <c r="D32" s="6">
        <f t="shared" si="3"/>
        <v>600</v>
      </c>
      <c r="E32" s="6">
        <f t="shared" si="4"/>
        <v>1200</v>
      </c>
      <c r="F32" s="6">
        <f t="shared" si="5"/>
        <v>1800</v>
      </c>
      <c r="G32" s="6">
        <f t="shared" si="6"/>
        <v>1800</v>
      </c>
      <c r="H32" s="6">
        <f t="shared" si="7"/>
        <v>600</v>
      </c>
      <c r="I32" s="6">
        <f t="shared" si="8"/>
        <v>1080000</v>
      </c>
      <c r="J32" s="6">
        <f t="shared" si="9"/>
        <v>1080000</v>
      </c>
      <c r="K32" s="6">
        <f t="shared" si="10"/>
        <v>0.33333333333333331</v>
      </c>
      <c r="L32" s="6">
        <f t="shared" si="11"/>
        <v>1200</v>
      </c>
      <c r="M32" s="6">
        <f t="shared" si="12"/>
        <v>1080000</v>
      </c>
      <c r="N32" s="6">
        <f t="shared" si="13"/>
        <v>0.33333333333333331</v>
      </c>
    </row>
    <row r="33" spans="1:14" thickTop="1" thickBot="1" x14ac:dyDescent="0.4">
      <c r="A33" s="5">
        <f t="shared" si="0"/>
        <v>155</v>
      </c>
      <c r="B33" s="6">
        <f t="shared" si="1"/>
        <v>155</v>
      </c>
      <c r="C33" s="6">
        <f t="shared" si="2"/>
        <v>310</v>
      </c>
      <c r="D33" s="6">
        <f t="shared" si="3"/>
        <v>620</v>
      </c>
      <c r="E33" s="6">
        <f t="shared" si="4"/>
        <v>1240</v>
      </c>
      <c r="F33" s="6">
        <f t="shared" si="5"/>
        <v>1860</v>
      </c>
      <c r="G33" s="6">
        <f t="shared" si="6"/>
        <v>1860</v>
      </c>
      <c r="H33" s="6">
        <f t="shared" si="7"/>
        <v>620</v>
      </c>
      <c r="I33" s="6">
        <f t="shared" si="8"/>
        <v>1153200</v>
      </c>
      <c r="J33" s="6">
        <f t="shared" si="9"/>
        <v>1153200</v>
      </c>
      <c r="K33" s="6">
        <f t="shared" si="10"/>
        <v>0.33333333333333331</v>
      </c>
      <c r="L33" s="6">
        <f t="shared" si="11"/>
        <v>1240</v>
      </c>
      <c r="M33" s="6">
        <f t="shared" si="12"/>
        <v>1153200</v>
      </c>
      <c r="N33" s="6">
        <f t="shared" si="13"/>
        <v>0.33333333333333331</v>
      </c>
    </row>
    <row r="34" spans="1:14" thickTop="1" thickBot="1" x14ac:dyDescent="0.4">
      <c r="A34" s="5">
        <f t="shared" si="0"/>
        <v>160</v>
      </c>
      <c r="B34" s="6">
        <f t="shared" si="1"/>
        <v>160</v>
      </c>
      <c r="C34" s="6">
        <f t="shared" si="2"/>
        <v>320</v>
      </c>
      <c r="D34" s="6">
        <f t="shared" si="3"/>
        <v>640</v>
      </c>
      <c r="E34" s="6">
        <f t="shared" si="4"/>
        <v>1280</v>
      </c>
      <c r="F34" s="6">
        <f t="shared" si="5"/>
        <v>1920</v>
      </c>
      <c r="G34" s="6">
        <f t="shared" si="6"/>
        <v>1920</v>
      </c>
      <c r="H34" s="6">
        <f t="shared" si="7"/>
        <v>640</v>
      </c>
      <c r="I34" s="6">
        <f t="shared" si="8"/>
        <v>1228800</v>
      </c>
      <c r="J34" s="6">
        <f t="shared" si="9"/>
        <v>1228800</v>
      </c>
      <c r="K34" s="6">
        <f t="shared" si="10"/>
        <v>0.33333333333333331</v>
      </c>
      <c r="L34" s="6">
        <f t="shared" si="11"/>
        <v>1280</v>
      </c>
      <c r="M34" s="6">
        <f t="shared" si="12"/>
        <v>1228800</v>
      </c>
      <c r="N34" s="6">
        <f t="shared" si="13"/>
        <v>0.33333333333333331</v>
      </c>
    </row>
    <row r="35" spans="1:14" thickTop="1" thickBot="1" x14ac:dyDescent="0.4">
      <c r="A35" s="5">
        <f t="shared" si="0"/>
        <v>165</v>
      </c>
      <c r="B35" s="6">
        <f t="shared" si="1"/>
        <v>165</v>
      </c>
      <c r="C35" s="6">
        <f t="shared" si="2"/>
        <v>330</v>
      </c>
      <c r="D35" s="6">
        <f t="shared" si="3"/>
        <v>660</v>
      </c>
      <c r="E35" s="6">
        <f t="shared" si="4"/>
        <v>1320</v>
      </c>
      <c r="F35" s="6">
        <f t="shared" si="5"/>
        <v>1980</v>
      </c>
      <c r="G35" s="6">
        <f t="shared" si="6"/>
        <v>1980</v>
      </c>
      <c r="H35" s="6">
        <f t="shared" si="7"/>
        <v>660</v>
      </c>
      <c r="I35" s="6">
        <f t="shared" si="8"/>
        <v>1306800</v>
      </c>
      <c r="J35" s="6">
        <f t="shared" si="9"/>
        <v>1306800</v>
      </c>
      <c r="K35" s="6">
        <f t="shared" si="10"/>
        <v>0.33333333333333331</v>
      </c>
      <c r="L35" s="6">
        <f t="shared" si="11"/>
        <v>1320</v>
      </c>
      <c r="M35" s="6">
        <f t="shared" si="12"/>
        <v>1306800</v>
      </c>
      <c r="N35" s="6">
        <f t="shared" si="13"/>
        <v>0.33333333333333331</v>
      </c>
    </row>
    <row r="36" spans="1:14" thickTop="1" thickBot="1" x14ac:dyDescent="0.4">
      <c r="A36" s="5">
        <f t="shared" si="0"/>
        <v>170</v>
      </c>
      <c r="B36" s="6">
        <f t="shared" si="1"/>
        <v>170</v>
      </c>
      <c r="C36" s="6">
        <f t="shared" si="2"/>
        <v>340</v>
      </c>
      <c r="D36" s="6">
        <f t="shared" si="3"/>
        <v>680</v>
      </c>
      <c r="E36" s="6">
        <f t="shared" si="4"/>
        <v>1360</v>
      </c>
      <c r="F36" s="6">
        <f t="shared" si="5"/>
        <v>2040</v>
      </c>
      <c r="G36" s="6">
        <f t="shared" si="6"/>
        <v>2040</v>
      </c>
      <c r="H36" s="6">
        <f t="shared" si="7"/>
        <v>680</v>
      </c>
      <c r="I36" s="6">
        <f t="shared" si="8"/>
        <v>1387200</v>
      </c>
      <c r="J36" s="6">
        <f t="shared" si="9"/>
        <v>1387200</v>
      </c>
      <c r="K36" s="6">
        <f t="shared" si="10"/>
        <v>0.33333333333333331</v>
      </c>
      <c r="L36" s="6">
        <f t="shared" si="11"/>
        <v>1360</v>
      </c>
      <c r="M36" s="6">
        <f t="shared" si="12"/>
        <v>1387200</v>
      </c>
      <c r="N36" s="6">
        <f t="shared" si="13"/>
        <v>0.33333333333333331</v>
      </c>
    </row>
    <row r="37" spans="1:14" thickTop="1" thickBot="1" x14ac:dyDescent="0.4">
      <c r="A37" s="5">
        <f t="shared" si="0"/>
        <v>175</v>
      </c>
      <c r="B37" s="6">
        <f t="shared" si="1"/>
        <v>175</v>
      </c>
      <c r="C37" s="6">
        <f t="shared" si="2"/>
        <v>350</v>
      </c>
      <c r="D37" s="6">
        <f t="shared" si="3"/>
        <v>700</v>
      </c>
      <c r="E37" s="6">
        <f t="shared" si="4"/>
        <v>1400</v>
      </c>
      <c r="F37" s="6">
        <f t="shared" si="5"/>
        <v>2100</v>
      </c>
      <c r="G37" s="6">
        <f t="shared" si="6"/>
        <v>2100</v>
      </c>
      <c r="H37" s="6">
        <f t="shared" si="7"/>
        <v>700</v>
      </c>
      <c r="I37" s="6">
        <f t="shared" si="8"/>
        <v>1470000</v>
      </c>
      <c r="J37" s="6">
        <f t="shared" si="9"/>
        <v>1470000</v>
      </c>
      <c r="K37" s="6">
        <f t="shared" si="10"/>
        <v>0.33333333333333331</v>
      </c>
      <c r="L37" s="6">
        <f t="shared" si="11"/>
        <v>1400</v>
      </c>
      <c r="M37" s="6">
        <f t="shared" si="12"/>
        <v>1470000</v>
      </c>
      <c r="N37" s="6">
        <f t="shared" si="13"/>
        <v>0.33333333333333331</v>
      </c>
    </row>
    <row r="38" spans="1:14" thickTop="1" thickBot="1" x14ac:dyDescent="0.4">
      <c r="A38" s="5">
        <f t="shared" si="0"/>
        <v>180</v>
      </c>
      <c r="B38" s="6">
        <f t="shared" si="1"/>
        <v>180</v>
      </c>
      <c r="C38" s="6">
        <f t="shared" si="2"/>
        <v>360</v>
      </c>
      <c r="D38" s="6">
        <f t="shared" si="3"/>
        <v>720</v>
      </c>
      <c r="E38" s="6">
        <f t="shared" si="4"/>
        <v>1440</v>
      </c>
      <c r="F38" s="6">
        <f t="shared" si="5"/>
        <v>2160</v>
      </c>
      <c r="G38" s="6">
        <f t="shared" si="6"/>
        <v>2160</v>
      </c>
      <c r="H38" s="6">
        <f t="shared" si="7"/>
        <v>720</v>
      </c>
      <c r="I38" s="6">
        <f t="shared" si="8"/>
        <v>1555200</v>
      </c>
      <c r="J38" s="6">
        <f t="shared" si="9"/>
        <v>1555200</v>
      </c>
      <c r="K38" s="6">
        <f t="shared" si="10"/>
        <v>0.33333333333333331</v>
      </c>
      <c r="L38" s="6">
        <f t="shared" si="11"/>
        <v>1440</v>
      </c>
      <c r="M38" s="6">
        <f t="shared" si="12"/>
        <v>1555200</v>
      </c>
      <c r="N38" s="6">
        <f t="shared" si="13"/>
        <v>0.33333333333333331</v>
      </c>
    </row>
    <row r="39" spans="1:14" thickTop="1" thickBot="1" x14ac:dyDescent="0.4">
      <c r="A39" s="5">
        <f t="shared" si="0"/>
        <v>185</v>
      </c>
      <c r="B39" s="6">
        <f t="shared" si="1"/>
        <v>185</v>
      </c>
      <c r="C39" s="6">
        <f t="shared" si="2"/>
        <v>370</v>
      </c>
      <c r="D39" s="6">
        <f t="shared" si="3"/>
        <v>740</v>
      </c>
      <c r="E39" s="6">
        <f t="shared" si="4"/>
        <v>1480</v>
      </c>
      <c r="F39" s="6">
        <f t="shared" si="5"/>
        <v>2220</v>
      </c>
      <c r="G39" s="6">
        <f t="shared" si="6"/>
        <v>2220</v>
      </c>
      <c r="H39" s="6">
        <f t="shared" si="7"/>
        <v>740</v>
      </c>
      <c r="I39" s="6">
        <f t="shared" si="8"/>
        <v>1642800</v>
      </c>
      <c r="J39" s="6">
        <f t="shared" si="9"/>
        <v>1642800</v>
      </c>
      <c r="K39" s="6">
        <f t="shared" si="10"/>
        <v>0.33333333333333331</v>
      </c>
      <c r="L39" s="6">
        <f t="shared" si="11"/>
        <v>1480</v>
      </c>
      <c r="M39" s="6">
        <f t="shared" si="12"/>
        <v>1642800</v>
      </c>
      <c r="N39" s="6">
        <f t="shared" si="13"/>
        <v>0.33333333333333331</v>
      </c>
    </row>
    <row r="40" spans="1:14" thickTop="1" thickBot="1" x14ac:dyDescent="0.4">
      <c r="A40" s="5">
        <f t="shared" si="0"/>
        <v>190</v>
      </c>
      <c r="B40" s="6">
        <f t="shared" si="1"/>
        <v>190</v>
      </c>
      <c r="C40" s="6">
        <f t="shared" si="2"/>
        <v>380</v>
      </c>
      <c r="D40" s="6">
        <f t="shared" si="3"/>
        <v>760</v>
      </c>
      <c r="E40" s="6">
        <f t="shared" si="4"/>
        <v>1520</v>
      </c>
      <c r="F40" s="6">
        <f t="shared" si="5"/>
        <v>2280</v>
      </c>
      <c r="G40" s="6">
        <f t="shared" si="6"/>
        <v>2280</v>
      </c>
      <c r="H40" s="6">
        <f t="shared" si="7"/>
        <v>760</v>
      </c>
      <c r="I40" s="6">
        <f t="shared" si="8"/>
        <v>1732800</v>
      </c>
      <c r="J40" s="6">
        <f t="shared" si="9"/>
        <v>1732800</v>
      </c>
      <c r="K40" s="6">
        <f t="shared" si="10"/>
        <v>0.33333333333333331</v>
      </c>
      <c r="L40" s="6">
        <f t="shared" si="11"/>
        <v>1520</v>
      </c>
      <c r="M40" s="6">
        <f t="shared" si="12"/>
        <v>1732800</v>
      </c>
      <c r="N40" s="6">
        <f t="shared" si="13"/>
        <v>0.33333333333333331</v>
      </c>
    </row>
    <row r="41" spans="1:14" thickTop="1" thickBot="1" x14ac:dyDescent="0.4">
      <c r="A41" s="5">
        <f t="shared" si="0"/>
        <v>195</v>
      </c>
      <c r="B41" s="6">
        <f t="shared" si="1"/>
        <v>195</v>
      </c>
      <c r="C41" s="6">
        <f t="shared" si="2"/>
        <v>390</v>
      </c>
      <c r="D41" s="6">
        <f t="shared" si="3"/>
        <v>780</v>
      </c>
      <c r="E41" s="6">
        <f t="shared" si="4"/>
        <v>1560</v>
      </c>
      <c r="F41" s="6">
        <f t="shared" si="5"/>
        <v>2340</v>
      </c>
      <c r="G41" s="6">
        <f t="shared" si="6"/>
        <v>2340</v>
      </c>
      <c r="H41" s="6">
        <f t="shared" si="7"/>
        <v>780</v>
      </c>
      <c r="I41" s="6">
        <f t="shared" si="8"/>
        <v>1825200</v>
      </c>
      <c r="J41" s="6">
        <f t="shared" si="9"/>
        <v>1825200</v>
      </c>
      <c r="K41" s="6">
        <f t="shared" si="10"/>
        <v>0.33333333333333331</v>
      </c>
      <c r="L41" s="6">
        <f t="shared" si="11"/>
        <v>1560</v>
      </c>
      <c r="M41" s="6">
        <f t="shared" si="12"/>
        <v>1825200</v>
      </c>
      <c r="N41" s="6">
        <f t="shared" si="13"/>
        <v>0.33333333333333331</v>
      </c>
    </row>
    <row r="42" spans="1:14" thickTop="1" thickBot="1" x14ac:dyDescent="0.4">
      <c r="A42" s="5">
        <f t="shared" si="0"/>
        <v>200</v>
      </c>
      <c r="B42" s="6">
        <f t="shared" si="1"/>
        <v>200</v>
      </c>
      <c r="C42" s="6">
        <f t="shared" si="2"/>
        <v>400</v>
      </c>
      <c r="D42" s="6">
        <f t="shared" si="3"/>
        <v>800</v>
      </c>
      <c r="E42" s="6">
        <f t="shared" si="4"/>
        <v>1600</v>
      </c>
      <c r="F42" s="6">
        <f t="shared" si="5"/>
        <v>2400</v>
      </c>
      <c r="G42" s="6">
        <f t="shared" si="6"/>
        <v>2400</v>
      </c>
      <c r="H42" s="6">
        <f t="shared" si="7"/>
        <v>800</v>
      </c>
      <c r="I42" s="6">
        <f t="shared" si="8"/>
        <v>1920000</v>
      </c>
      <c r="J42" s="6">
        <f t="shared" si="9"/>
        <v>1920000</v>
      </c>
      <c r="K42" s="6">
        <f t="shared" si="10"/>
        <v>0.33333333333333331</v>
      </c>
      <c r="L42" s="6">
        <f t="shared" si="11"/>
        <v>1600</v>
      </c>
      <c r="M42" s="6">
        <f t="shared" si="12"/>
        <v>1920000</v>
      </c>
      <c r="N42" s="6">
        <f t="shared" si="13"/>
        <v>0.33333333333333331</v>
      </c>
    </row>
    <row r="43" spans="1:14" thickTop="1" thickBot="1" x14ac:dyDescent="0.4">
      <c r="F43" s="6">
        <f>SUM(F3:F42)</f>
        <v>49200</v>
      </c>
      <c r="G43" s="6">
        <f>SUM(G3:G42)</f>
        <v>49200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BE4C-0BFA-4642-89B1-6613C81D96E9}">
  <dimension ref="B1:I97"/>
  <sheetViews>
    <sheetView zoomScale="70" zoomScaleNormal="70" workbookViewId="0">
      <selection activeCell="I2" sqref="I2"/>
    </sheetView>
  </sheetViews>
  <sheetFormatPr defaultRowHeight="15" x14ac:dyDescent="0.25"/>
  <cols>
    <col min="2" max="2" width="31.28515625" customWidth="1"/>
    <col min="3" max="4" width="19.140625" customWidth="1"/>
    <col min="5" max="5" width="14" customWidth="1"/>
    <col min="6" max="6" width="14.140625" customWidth="1"/>
    <col min="7" max="7" width="19.7109375" customWidth="1"/>
    <col min="8" max="8" width="19" customWidth="1"/>
    <col min="9" max="9" width="21.28515625" bestFit="1" customWidth="1"/>
  </cols>
  <sheetData>
    <row r="1" spans="2:9" ht="28.5" thickTop="1" thickBot="1" x14ac:dyDescent="0.4">
      <c r="B1" s="20" t="s">
        <v>1</v>
      </c>
      <c r="C1" s="22" t="s">
        <v>461</v>
      </c>
      <c r="D1" s="22" t="s">
        <v>462</v>
      </c>
      <c r="E1" s="22" t="s">
        <v>463</v>
      </c>
      <c r="F1" s="22" t="s">
        <v>464</v>
      </c>
      <c r="G1" s="22" t="s">
        <v>465</v>
      </c>
      <c r="H1" s="22" t="s">
        <v>466</v>
      </c>
      <c r="I1" s="23" t="s">
        <v>467</v>
      </c>
    </row>
    <row r="2" spans="2:9" ht="33" thickTop="1" thickBot="1" x14ac:dyDescent="0.55000000000000004">
      <c r="B2" s="24" t="s">
        <v>41</v>
      </c>
      <c r="C2" s="25" t="s">
        <v>468</v>
      </c>
      <c r="D2" s="25">
        <f t="shared" ref="C2:F15" ca="1" si="0">RANDBETWEEN(0,100)</f>
        <v>77</v>
      </c>
      <c r="E2" s="25">
        <f t="shared" ca="1" si="0"/>
        <v>45</v>
      </c>
      <c r="F2" s="25"/>
      <c r="G2" s="28">
        <f ca="1">COUNT(C2:F2)</f>
        <v>2</v>
      </c>
      <c r="H2" s="28">
        <f ca="1">COUNTA(C2:F2)</f>
        <v>3</v>
      </c>
      <c r="I2" s="29">
        <f ca="1">COUNTBLANK(C2:F2)</f>
        <v>1</v>
      </c>
    </row>
    <row r="3" spans="2:9" ht="33" thickTop="1" thickBot="1" x14ac:dyDescent="0.55000000000000004">
      <c r="B3" s="24" t="s">
        <v>89</v>
      </c>
      <c r="C3" s="25">
        <f t="shared" ca="1" si="0"/>
        <v>97</v>
      </c>
      <c r="D3" s="25">
        <f t="shared" ca="1" si="0"/>
        <v>62</v>
      </c>
      <c r="E3" s="25"/>
      <c r="F3" s="25">
        <f t="shared" ca="1" si="0"/>
        <v>80</v>
      </c>
      <c r="G3" s="28">
        <f t="shared" ref="G3:G15" ca="1" si="1">COUNT(C3:F3)</f>
        <v>3</v>
      </c>
      <c r="H3" s="28">
        <f t="shared" ref="H3:H15" ca="1" si="2">COUNTA(C3:F3)</f>
        <v>3</v>
      </c>
      <c r="I3" s="29">
        <f t="shared" ref="I3:I15" ca="1" si="3">COUNTBLANK(C3:F3)</f>
        <v>1</v>
      </c>
    </row>
    <row r="4" spans="2:9" ht="33" thickTop="1" thickBot="1" x14ac:dyDescent="0.55000000000000004">
      <c r="B4" s="24" t="s">
        <v>105</v>
      </c>
      <c r="C4" s="25"/>
      <c r="D4" s="25">
        <f t="shared" ca="1" si="0"/>
        <v>36</v>
      </c>
      <c r="E4" s="25">
        <f t="shared" ca="1" si="0"/>
        <v>17</v>
      </c>
      <c r="F4" s="25"/>
      <c r="G4" s="28">
        <f t="shared" ca="1" si="1"/>
        <v>2</v>
      </c>
      <c r="H4" s="28">
        <f t="shared" ca="1" si="2"/>
        <v>2</v>
      </c>
      <c r="I4" s="29">
        <f t="shared" ca="1" si="3"/>
        <v>2</v>
      </c>
    </row>
    <row r="5" spans="2:9" ht="33" thickTop="1" thickBot="1" x14ac:dyDescent="0.55000000000000004">
      <c r="B5" s="24" t="s">
        <v>59</v>
      </c>
      <c r="C5" s="25">
        <f t="shared" ca="1" si="0"/>
        <v>94</v>
      </c>
      <c r="D5" s="25">
        <f t="shared" ca="1" si="0"/>
        <v>12</v>
      </c>
      <c r="E5" s="25"/>
      <c r="F5" s="25">
        <f t="shared" ca="1" si="0"/>
        <v>25</v>
      </c>
      <c r="G5" s="28">
        <f t="shared" ca="1" si="1"/>
        <v>3</v>
      </c>
      <c r="H5" s="28">
        <f t="shared" ca="1" si="2"/>
        <v>3</v>
      </c>
      <c r="I5" s="29">
        <f t="shared" ca="1" si="3"/>
        <v>1</v>
      </c>
    </row>
    <row r="6" spans="2:9" ht="33" thickTop="1" thickBot="1" x14ac:dyDescent="0.55000000000000004">
      <c r="B6" s="24" t="s">
        <v>76</v>
      </c>
      <c r="C6" s="25">
        <f t="shared" ca="1" si="0"/>
        <v>12</v>
      </c>
      <c r="D6" s="25">
        <f t="shared" ca="1" si="0"/>
        <v>37</v>
      </c>
      <c r="E6" s="25"/>
      <c r="F6" s="25">
        <f t="shared" ca="1" si="0"/>
        <v>35</v>
      </c>
      <c r="G6" s="28">
        <f t="shared" ca="1" si="1"/>
        <v>3</v>
      </c>
      <c r="H6" s="28">
        <f t="shared" ca="1" si="2"/>
        <v>3</v>
      </c>
      <c r="I6" s="29">
        <f t="shared" ca="1" si="3"/>
        <v>1</v>
      </c>
    </row>
    <row r="7" spans="2:9" ht="33" thickTop="1" thickBot="1" x14ac:dyDescent="0.55000000000000004">
      <c r="B7" s="24" t="s">
        <v>142</v>
      </c>
      <c r="C7" s="25"/>
      <c r="D7" s="25">
        <f t="shared" ca="1" si="0"/>
        <v>51</v>
      </c>
      <c r="E7" s="25">
        <f t="shared" ca="1" si="0"/>
        <v>20</v>
      </c>
      <c r="F7" s="25">
        <f t="shared" ca="1" si="0"/>
        <v>54</v>
      </c>
      <c r="G7" s="28">
        <f t="shared" ca="1" si="1"/>
        <v>3</v>
      </c>
      <c r="H7" s="28">
        <f t="shared" ca="1" si="2"/>
        <v>3</v>
      </c>
      <c r="I7" s="29">
        <f t="shared" ca="1" si="3"/>
        <v>1</v>
      </c>
    </row>
    <row r="8" spans="2:9" ht="33" thickTop="1" thickBot="1" x14ac:dyDescent="0.55000000000000004">
      <c r="B8" s="24" t="s">
        <v>152</v>
      </c>
      <c r="C8" s="25">
        <f t="shared" ca="1" si="0"/>
        <v>95</v>
      </c>
      <c r="D8" s="25" t="s">
        <v>468</v>
      </c>
      <c r="E8" s="25" t="s">
        <v>468</v>
      </c>
      <c r="F8" s="25">
        <f t="shared" ca="1" si="0"/>
        <v>72</v>
      </c>
      <c r="G8" s="28">
        <f t="shared" ca="1" si="1"/>
        <v>2</v>
      </c>
      <c r="H8" s="28">
        <f t="shared" ca="1" si="2"/>
        <v>4</v>
      </c>
      <c r="I8" s="29">
        <f t="shared" ca="1" si="3"/>
        <v>0</v>
      </c>
    </row>
    <row r="9" spans="2:9" ht="33" thickTop="1" thickBot="1" x14ac:dyDescent="0.55000000000000004">
      <c r="B9" s="24" t="s">
        <v>156</v>
      </c>
      <c r="C9" s="25">
        <f t="shared" ca="1" si="0"/>
        <v>41</v>
      </c>
      <c r="D9" s="25">
        <f t="shared" ca="1" si="0"/>
        <v>3</v>
      </c>
      <c r="E9" s="25">
        <f t="shared" ca="1" si="0"/>
        <v>21</v>
      </c>
      <c r="F9" s="25">
        <f t="shared" ca="1" si="0"/>
        <v>49</v>
      </c>
      <c r="G9" s="28">
        <f t="shared" ca="1" si="1"/>
        <v>4</v>
      </c>
      <c r="H9" s="28">
        <f t="shared" ca="1" si="2"/>
        <v>4</v>
      </c>
      <c r="I9" s="29">
        <f t="shared" ca="1" si="3"/>
        <v>0</v>
      </c>
    </row>
    <row r="10" spans="2:9" ht="33" thickTop="1" thickBot="1" x14ac:dyDescent="0.55000000000000004">
      <c r="B10" s="24" t="s">
        <v>164</v>
      </c>
      <c r="C10" s="25">
        <f t="shared" ca="1" si="0"/>
        <v>100</v>
      </c>
      <c r="D10" s="25"/>
      <c r="E10" s="25">
        <f t="shared" ca="1" si="0"/>
        <v>84</v>
      </c>
      <c r="F10" s="25"/>
      <c r="G10" s="28">
        <f t="shared" ca="1" si="1"/>
        <v>2</v>
      </c>
      <c r="H10" s="28">
        <f t="shared" ca="1" si="2"/>
        <v>2</v>
      </c>
      <c r="I10" s="29">
        <f t="shared" ca="1" si="3"/>
        <v>2</v>
      </c>
    </row>
    <row r="11" spans="2:9" ht="33" thickTop="1" thickBot="1" x14ac:dyDescent="0.55000000000000004">
      <c r="B11" s="24" t="s">
        <v>171</v>
      </c>
      <c r="C11" s="25">
        <f t="shared" ca="1" si="0"/>
        <v>11</v>
      </c>
      <c r="D11" s="25">
        <f t="shared" ca="1" si="0"/>
        <v>29</v>
      </c>
      <c r="E11" s="25">
        <f t="shared" ca="1" si="0"/>
        <v>88</v>
      </c>
      <c r="F11" s="25">
        <f t="shared" ca="1" si="0"/>
        <v>29</v>
      </c>
      <c r="G11" s="28">
        <f t="shared" ca="1" si="1"/>
        <v>4</v>
      </c>
      <c r="H11" s="28">
        <f t="shared" ca="1" si="2"/>
        <v>4</v>
      </c>
      <c r="I11" s="29">
        <f t="shared" ca="1" si="3"/>
        <v>0</v>
      </c>
    </row>
    <row r="12" spans="2:9" ht="33" thickTop="1" thickBot="1" x14ac:dyDescent="0.55000000000000004">
      <c r="B12" s="24" t="s">
        <v>176</v>
      </c>
      <c r="C12" s="25">
        <f t="shared" ca="1" si="0"/>
        <v>8</v>
      </c>
      <c r="D12" s="25">
        <f t="shared" ca="1" si="0"/>
        <v>14</v>
      </c>
      <c r="E12" s="25">
        <f t="shared" ca="1" si="0"/>
        <v>11</v>
      </c>
      <c r="F12" s="25"/>
      <c r="G12" s="28">
        <f t="shared" ca="1" si="1"/>
        <v>3</v>
      </c>
      <c r="H12" s="28">
        <f t="shared" ca="1" si="2"/>
        <v>3</v>
      </c>
      <c r="I12" s="29">
        <f t="shared" ca="1" si="3"/>
        <v>1</v>
      </c>
    </row>
    <row r="13" spans="2:9" ht="33" thickTop="1" thickBot="1" x14ac:dyDescent="0.55000000000000004">
      <c r="B13" s="24" t="s">
        <v>181</v>
      </c>
      <c r="C13" s="25">
        <f t="shared" ca="1" si="0"/>
        <v>28</v>
      </c>
      <c r="D13" s="25">
        <f t="shared" ca="1" si="0"/>
        <v>50</v>
      </c>
      <c r="E13" s="25"/>
      <c r="F13" s="25">
        <f t="shared" ca="1" si="0"/>
        <v>27</v>
      </c>
      <c r="G13" s="28">
        <f t="shared" ca="1" si="1"/>
        <v>3</v>
      </c>
      <c r="H13" s="28">
        <f t="shared" ca="1" si="2"/>
        <v>3</v>
      </c>
      <c r="I13" s="29">
        <f t="shared" ca="1" si="3"/>
        <v>1</v>
      </c>
    </row>
    <row r="14" spans="2:9" ht="33" thickTop="1" thickBot="1" x14ac:dyDescent="0.55000000000000004">
      <c r="B14" s="24" t="s">
        <v>42</v>
      </c>
      <c r="C14" s="25">
        <f t="shared" ca="1" si="0"/>
        <v>45</v>
      </c>
      <c r="D14" s="25">
        <f t="shared" ca="1" si="0"/>
        <v>17</v>
      </c>
      <c r="E14" s="25" t="s">
        <v>468</v>
      </c>
      <c r="F14" s="25">
        <f t="shared" ca="1" si="0"/>
        <v>37</v>
      </c>
      <c r="G14" s="28">
        <f t="shared" ca="1" si="1"/>
        <v>3</v>
      </c>
      <c r="H14" s="28">
        <f t="shared" ca="1" si="2"/>
        <v>4</v>
      </c>
      <c r="I14" s="29">
        <f t="shared" ca="1" si="3"/>
        <v>0</v>
      </c>
    </row>
    <row r="15" spans="2:9" ht="33" thickTop="1" thickBot="1" x14ac:dyDescent="0.55000000000000004">
      <c r="B15" s="26" t="s">
        <v>196</v>
      </c>
      <c r="C15" s="27" t="s">
        <v>468</v>
      </c>
      <c r="D15" s="27"/>
      <c r="E15" s="27">
        <f t="shared" ca="1" si="0"/>
        <v>50</v>
      </c>
      <c r="F15" s="27" t="s">
        <v>468</v>
      </c>
      <c r="G15" s="28">
        <f t="shared" ca="1" si="1"/>
        <v>1</v>
      </c>
      <c r="H15" s="28">
        <f t="shared" ca="1" si="2"/>
        <v>3</v>
      </c>
      <c r="I15" s="29">
        <f t="shared" ca="1" si="3"/>
        <v>1</v>
      </c>
    </row>
    <row r="16" spans="2:9" ht="29.25" thickTop="1" x14ac:dyDescent="0.45">
      <c r="B16" s="21"/>
      <c r="C16" s="21"/>
      <c r="D16" s="21"/>
      <c r="E16" s="21"/>
      <c r="F16" s="21"/>
    </row>
    <row r="17" spans="2:6" ht="28.5" x14ac:dyDescent="0.45">
      <c r="B17" s="21"/>
      <c r="C17" s="21"/>
      <c r="D17" s="21"/>
      <c r="E17" s="21"/>
      <c r="F17" s="21"/>
    </row>
    <row r="18" spans="2:6" ht="28.5" x14ac:dyDescent="0.45">
      <c r="B18" s="21"/>
      <c r="C18" s="21"/>
      <c r="D18" s="21"/>
      <c r="E18" s="21"/>
      <c r="F18" s="21"/>
    </row>
    <row r="19" spans="2:6" ht="28.5" x14ac:dyDescent="0.45">
      <c r="B19" s="21"/>
      <c r="C19" s="21"/>
      <c r="D19" s="21"/>
      <c r="E19" s="21"/>
      <c r="F19" s="21"/>
    </row>
    <row r="20" spans="2:6" ht="28.5" x14ac:dyDescent="0.45">
      <c r="B20" s="21"/>
      <c r="C20" s="21"/>
      <c r="D20" s="21"/>
      <c r="E20" s="21"/>
      <c r="F20" s="21"/>
    </row>
    <row r="21" spans="2:6" ht="28.5" x14ac:dyDescent="0.45">
      <c r="B21" s="21"/>
      <c r="C21" s="21"/>
      <c r="D21" s="21"/>
      <c r="E21" s="21"/>
      <c r="F21" s="21"/>
    </row>
    <row r="22" spans="2:6" ht="28.5" x14ac:dyDescent="0.45">
      <c r="B22" s="21"/>
      <c r="C22" s="21"/>
      <c r="D22" s="21"/>
      <c r="E22" s="21"/>
      <c r="F22" s="21"/>
    </row>
    <row r="23" spans="2:6" ht="28.5" x14ac:dyDescent="0.45">
      <c r="B23" s="21"/>
      <c r="C23" s="21"/>
      <c r="D23" s="21"/>
      <c r="E23" s="21"/>
      <c r="F23" s="21"/>
    </row>
    <row r="24" spans="2:6" ht="28.5" x14ac:dyDescent="0.45">
      <c r="B24" s="21"/>
      <c r="C24" s="21"/>
      <c r="D24" s="21"/>
      <c r="E24" s="21"/>
      <c r="F24" s="21"/>
    </row>
    <row r="25" spans="2:6" ht="28.5" x14ac:dyDescent="0.45">
      <c r="B25" s="21"/>
      <c r="C25" s="21"/>
      <c r="D25" s="21"/>
      <c r="E25" s="21"/>
      <c r="F25" s="21"/>
    </row>
    <row r="26" spans="2:6" ht="28.5" x14ac:dyDescent="0.45">
      <c r="B26" s="21"/>
      <c r="C26" s="21"/>
      <c r="D26" s="21"/>
      <c r="E26" s="21"/>
      <c r="F26" s="21"/>
    </row>
    <row r="27" spans="2:6" ht="28.5" x14ac:dyDescent="0.45">
      <c r="B27" s="21"/>
      <c r="C27" s="21"/>
      <c r="D27" s="21"/>
      <c r="E27" s="21"/>
      <c r="F27" s="21"/>
    </row>
    <row r="28" spans="2:6" ht="28.5" x14ac:dyDescent="0.45">
      <c r="B28" s="21"/>
      <c r="C28" s="21"/>
      <c r="D28" s="21"/>
      <c r="E28" s="21"/>
      <c r="F28" s="21"/>
    </row>
    <row r="29" spans="2:6" ht="28.5" x14ac:dyDescent="0.45">
      <c r="B29" s="21"/>
      <c r="C29" s="21"/>
      <c r="D29" s="21"/>
      <c r="E29" s="21"/>
      <c r="F29" s="21"/>
    </row>
    <row r="30" spans="2:6" ht="28.5" x14ac:dyDescent="0.45">
      <c r="B30" s="21"/>
      <c r="C30" s="21"/>
      <c r="D30" s="21"/>
      <c r="E30" s="21"/>
      <c r="F30" s="21"/>
    </row>
    <row r="31" spans="2:6" ht="28.5" x14ac:dyDescent="0.45">
      <c r="B31" s="21"/>
      <c r="C31" s="21"/>
      <c r="D31" s="21"/>
      <c r="E31" s="21"/>
      <c r="F31" s="21"/>
    </row>
    <row r="32" spans="2:6" ht="28.5" x14ac:dyDescent="0.45">
      <c r="B32" s="21"/>
      <c r="C32" s="21"/>
      <c r="D32" s="21"/>
      <c r="E32" s="21"/>
      <c r="F32" s="21"/>
    </row>
    <row r="33" spans="2:6" ht="28.5" x14ac:dyDescent="0.45">
      <c r="B33" s="21"/>
      <c r="C33" s="21"/>
      <c r="D33" s="21"/>
      <c r="E33" s="21"/>
      <c r="F33" s="21"/>
    </row>
    <row r="34" spans="2:6" ht="28.5" x14ac:dyDescent="0.45">
      <c r="B34" s="21"/>
      <c r="C34" s="21"/>
      <c r="D34" s="21"/>
      <c r="E34" s="21"/>
      <c r="F34" s="21"/>
    </row>
    <row r="35" spans="2:6" ht="28.5" x14ac:dyDescent="0.45">
      <c r="B35" s="21"/>
      <c r="C35" s="21"/>
      <c r="D35" s="21"/>
      <c r="E35" s="21"/>
      <c r="F35" s="21"/>
    </row>
    <row r="36" spans="2:6" ht="28.5" x14ac:dyDescent="0.45">
      <c r="B36" s="21"/>
      <c r="C36" s="21"/>
      <c r="D36" s="21"/>
      <c r="E36" s="21"/>
      <c r="F36" s="21"/>
    </row>
    <row r="37" spans="2:6" ht="28.5" x14ac:dyDescent="0.45">
      <c r="B37" s="21"/>
      <c r="C37" s="21"/>
      <c r="D37" s="21"/>
      <c r="E37" s="21"/>
      <c r="F37" s="21"/>
    </row>
    <row r="38" spans="2:6" ht="28.5" x14ac:dyDescent="0.45">
      <c r="B38" s="21"/>
      <c r="C38" s="21"/>
      <c r="D38" s="21"/>
      <c r="E38" s="21"/>
      <c r="F38" s="21"/>
    </row>
    <row r="39" spans="2:6" ht="28.5" x14ac:dyDescent="0.45">
      <c r="B39" s="21"/>
      <c r="C39" s="21"/>
      <c r="D39" s="21"/>
      <c r="E39" s="21"/>
      <c r="F39" s="21"/>
    </row>
    <row r="40" spans="2:6" ht="28.5" x14ac:dyDescent="0.45">
      <c r="B40" s="21"/>
      <c r="C40" s="21"/>
      <c r="D40" s="21"/>
      <c r="E40" s="21"/>
      <c r="F40" s="21"/>
    </row>
    <row r="41" spans="2:6" ht="28.5" x14ac:dyDescent="0.45">
      <c r="B41" s="21"/>
      <c r="C41" s="21"/>
      <c r="D41" s="21"/>
      <c r="E41" s="21"/>
      <c r="F41" s="21"/>
    </row>
    <row r="42" spans="2:6" ht="28.5" x14ac:dyDescent="0.45">
      <c r="B42" s="21"/>
      <c r="C42" s="21"/>
      <c r="D42" s="21"/>
      <c r="E42" s="21"/>
      <c r="F42" s="21"/>
    </row>
    <row r="43" spans="2:6" ht="28.5" x14ac:dyDescent="0.45">
      <c r="B43" s="21"/>
      <c r="C43" s="21"/>
      <c r="D43" s="21"/>
      <c r="E43" s="21"/>
      <c r="F43" s="21"/>
    </row>
    <row r="44" spans="2:6" ht="28.5" x14ac:dyDescent="0.45">
      <c r="B44" s="21"/>
      <c r="C44" s="21"/>
      <c r="D44" s="21"/>
      <c r="E44" s="21"/>
      <c r="F44" s="21"/>
    </row>
    <row r="45" spans="2:6" ht="28.5" x14ac:dyDescent="0.45">
      <c r="B45" s="21"/>
      <c r="C45" s="21"/>
      <c r="D45" s="21"/>
      <c r="E45" s="21"/>
      <c r="F45" s="21"/>
    </row>
    <row r="46" spans="2:6" ht="28.5" x14ac:dyDescent="0.45">
      <c r="B46" s="21"/>
      <c r="C46" s="21"/>
      <c r="D46" s="21"/>
      <c r="E46" s="21"/>
      <c r="F46" s="21"/>
    </row>
    <row r="47" spans="2:6" ht="28.5" x14ac:dyDescent="0.45">
      <c r="B47" s="21"/>
      <c r="C47" s="21"/>
      <c r="D47" s="21"/>
      <c r="E47" s="21"/>
      <c r="F47" s="21"/>
    </row>
    <row r="48" spans="2:6" ht="28.5" x14ac:dyDescent="0.45">
      <c r="B48" s="21"/>
      <c r="C48" s="21"/>
      <c r="D48" s="21"/>
      <c r="E48" s="21"/>
      <c r="F48" s="21"/>
    </row>
    <row r="49" spans="2:6" ht="28.5" x14ac:dyDescent="0.45">
      <c r="B49" s="21"/>
      <c r="C49" s="21"/>
      <c r="D49" s="21"/>
      <c r="E49" s="21"/>
      <c r="F49" s="21"/>
    </row>
    <row r="50" spans="2:6" ht="28.5" x14ac:dyDescent="0.45">
      <c r="B50" s="21"/>
      <c r="C50" s="21"/>
      <c r="D50" s="21"/>
      <c r="E50" s="21"/>
      <c r="F50" s="21"/>
    </row>
    <row r="51" spans="2:6" ht="28.5" x14ac:dyDescent="0.45">
      <c r="B51" s="21"/>
      <c r="C51" s="21"/>
      <c r="D51" s="21"/>
      <c r="E51" s="21"/>
      <c r="F51" s="21"/>
    </row>
    <row r="52" spans="2:6" ht="28.5" x14ac:dyDescent="0.45">
      <c r="B52" s="21"/>
      <c r="C52" s="21"/>
      <c r="D52" s="21"/>
      <c r="E52" s="21"/>
      <c r="F52" s="21"/>
    </row>
    <row r="53" spans="2:6" ht="28.5" x14ac:dyDescent="0.45">
      <c r="B53" s="21"/>
      <c r="C53" s="21"/>
      <c r="D53" s="21"/>
      <c r="E53" s="21"/>
      <c r="F53" s="21"/>
    </row>
    <row r="54" spans="2:6" ht="28.5" x14ac:dyDescent="0.45">
      <c r="B54" s="21"/>
      <c r="C54" s="21"/>
      <c r="D54" s="21"/>
      <c r="E54" s="21"/>
      <c r="F54" s="21"/>
    </row>
    <row r="55" spans="2:6" ht="28.5" x14ac:dyDescent="0.45">
      <c r="B55" s="21"/>
      <c r="C55" s="21"/>
      <c r="D55" s="21"/>
      <c r="E55" s="21"/>
      <c r="F55" s="21"/>
    </row>
    <row r="56" spans="2:6" ht="28.5" x14ac:dyDescent="0.45">
      <c r="B56" s="21"/>
      <c r="C56" s="21"/>
      <c r="D56" s="21"/>
      <c r="E56" s="21"/>
      <c r="F56" s="21"/>
    </row>
    <row r="57" spans="2:6" ht="28.5" x14ac:dyDescent="0.45">
      <c r="B57" s="21"/>
      <c r="C57" s="21"/>
      <c r="D57" s="21"/>
      <c r="E57" s="21"/>
      <c r="F57" s="21"/>
    </row>
    <row r="58" spans="2:6" ht="28.5" x14ac:dyDescent="0.45">
      <c r="B58" s="21"/>
      <c r="C58" s="21"/>
      <c r="D58" s="21"/>
      <c r="E58" s="21"/>
      <c r="F58" s="21"/>
    </row>
    <row r="59" spans="2:6" ht="28.5" x14ac:dyDescent="0.45">
      <c r="B59" s="21"/>
      <c r="C59" s="21"/>
      <c r="D59" s="21"/>
      <c r="E59" s="21"/>
      <c r="F59" s="21"/>
    </row>
    <row r="60" spans="2:6" ht="28.5" x14ac:dyDescent="0.45">
      <c r="B60" s="21"/>
      <c r="C60" s="21"/>
      <c r="D60" s="21"/>
      <c r="E60" s="21"/>
      <c r="F60" s="21"/>
    </row>
    <row r="61" spans="2:6" ht="28.5" x14ac:dyDescent="0.45">
      <c r="B61" s="21"/>
      <c r="C61" s="21"/>
      <c r="D61" s="21"/>
      <c r="E61" s="21"/>
      <c r="F61" s="21"/>
    </row>
    <row r="62" spans="2:6" ht="28.5" x14ac:dyDescent="0.45">
      <c r="B62" s="21"/>
      <c r="C62" s="21"/>
      <c r="D62" s="21"/>
      <c r="E62" s="21"/>
      <c r="F62" s="21"/>
    </row>
    <row r="63" spans="2:6" ht="28.5" x14ac:dyDescent="0.45">
      <c r="B63" s="21"/>
      <c r="C63" s="21"/>
      <c r="D63" s="21"/>
      <c r="E63" s="21"/>
      <c r="F63" s="21"/>
    </row>
    <row r="64" spans="2:6" ht="28.5" x14ac:dyDescent="0.45">
      <c r="B64" s="21"/>
      <c r="C64" s="21"/>
      <c r="D64" s="21"/>
      <c r="E64" s="21"/>
      <c r="F64" s="21"/>
    </row>
    <row r="65" spans="2:6" ht="28.5" x14ac:dyDescent="0.45">
      <c r="B65" s="21"/>
      <c r="C65" s="21"/>
      <c r="D65" s="21"/>
      <c r="E65" s="21"/>
      <c r="F65" s="21"/>
    </row>
    <row r="66" spans="2:6" ht="28.5" x14ac:dyDescent="0.45">
      <c r="B66" s="21"/>
      <c r="C66" s="21"/>
      <c r="D66" s="21"/>
      <c r="E66" s="21"/>
      <c r="F66" s="21"/>
    </row>
    <row r="67" spans="2:6" ht="28.5" x14ac:dyDescent="0.45">
      <c r="B67" s="21"/>
      <c r="C67" s="21"/>
      <c r="D67" s="21"/>
      <c r="E67" s="21"/>
      <c r="F67" s="21"/>
    </row>
    <row r="68" spans="2:6" ht="28.5" x14ac:dyDescent="0.45">
      <c r="B68" s="21"/>
      <c r="C68" s="21"/>
      <c r="D68" s="21"/>
      <c r="E68" s="21"/>
      <c r="F68" s="21"/>
    </row>
    <row r="69" spans="2:6" ht="28.5" x14ac:dyDescent="0.45">
      <c r="B69" s="21"/>
      <c r="C69" s="21"/>
      <c r="D69" s="21"/>
      <c r="E69" s="21"/>
      <c r="F69" s="21"/>
    </row>
    <row r="70" spans="2:6" ht="28.5" x14ac:dyDescent="0.45">
      <c r="B70" s="21"/>
      <c r="C70" s="21"/>
      <c r="D70" s="21"/>
      <c r="E70" s="21"/>
      <c r="F70" s="21"/>
    </row>
    <row r="71" spans="2:6" ht="28.5" x14ac:dyDescent="0.45">
      <c r="B71" s="21"/>
      <c r="C71" s="21"/>
      <c r="D71" s="21"/>
      <c r="E71" s="21"/>
      <c r="F71" s="21"/>
    </row>
    <row r="72" spans="2:6" ht="28.5" x14ac:dyDescent="0.45">
      <c r="B72" s="21"/>
      <c r="C72" s="21"/>
      <c r="D72" s="21"/>
      <c r="E72" s="21"/>
      <c r="F72" s="21"/>
    </row>
    <row r="73" spans="2:6" ht="28.5" x14ac:dyDescent="0.45">
      <c r="B73" s="21"/>
      <c r="C73" s="21"/>
      <c r="D73" s="21"/>
      <c r="E73" s="21"/>
      <c r="F73" s="21"/>
    </row>
    <row r="74" spans="2:6" ht="28.5" x14ac:dyDescent="0.45">
      <c r="B74" s="21"/>
      <c r="C74" s="21"/>
      <c r="D74" s="21"/>
      <c r="E74" s="21"/>
      <c r="F74" s="21"/>
    </row>
    <row r="75" spans="2:6" ht="28.5" x14ac:dyDescent="0.45">
      <c r="B75" s="21"/>
      <c r="C75" s="21"/>
      <c r="D75" s="21"/>
      <c r="E75" s="21"/>
      <c r="F75" s="21"/>
    </row>
    <row r="76" spans="2:6" ht="28.5" x14ac:dyDescent="0.45">
      <c r="B76" s="21"/>
      <c r="C76" s="21"/>
      <c r="D76" s="21"/>
      <c r="E76" s="21"/>
      <c r="F76" s="21"/>
    </row>
    <row r="77" spans="2:6" ht="28.5" x14ac:dyDescent="0.45">
      <c r="B77" s="21"/>
      <c r="C77" s="21"/>
      <c r="D77" s="21"/>
      <c r="E77" s="21"/>
      <c r="F77" s="21"/>
    </row>
    <row r="78" spans="2:6" ht="28.5" x14ac:dyDescent="0.45">
      <c r="B78" s="21"/>
      <c r="C78" s="21"/>
      <c r="D78" s="21"/>
      <c r="E78" s="21"/>
      <c r="F78" s="21"/>
    </row>
    <row r="79" spans="2:6" ht="28.5" x14ac:dyDescent="0.45">
      <c r="B79" s="21"/>
      <c r="C79" s="21"/>
      <c r="D79" s="21"/>
      <c r="E79" s="21"/>
      <c r="F79" s="21"/>
    </row>
    <row r="80" spans="2:6" ht="28.5" x14ac:dyDescent="0.45">
      <c r="B80" s="21"/>
      <c r="C80" s="21"/>
      <c r="D80" s="21"/>
      <c r="E80" s="21"/>
      <c r="F80" s="21"/>
    </row>
    <row r="81" spans="2:6" ht="28.5" x14ac:dyDescent="0.45">
      <c r="B81" s="21"/>
      <c r="C81" s="21"/>
      <c r="D81" s="21"/>
      <c r="E81" s="21"/>
      <c r="F81" s="21"/>
    </row>
    <row r="82" spans="2:6" ht="28.5" x14ac:dyDescent="0.45">
      <c r="B82" s="21"/>
      <c r="C82" s="21"/>
      <c r="D82" s="21"/>
      <c r="E82" s="21"/>
      <c r="F82" s="21"/>
    </row>
    <row r="83" spans="2:6" ht="28.5" x14ac:dyDescent="0.45">
      <c r="B83" s="21"/>
      <c r="C83" s="21"/>
      <c r="D83" s="21"/>
      <c r="E83" s="21"/>
      <c r="F83" s="21"/>
    </row>
    <row r="84" spans="2:6" ht="28.5" x14ac:dyDescent="0.45">
      <c r="B84" s="21"/>
      <c r="C84" s="21"/>
      <c r="D84" s="21"/>
      <c r="E84" s="21"/>
      <c r="F84" s="21"/>
    </row>
    <row r="85" spans="2:6" ht="28.5" x14ac:dyDescent="0.45">
      <c r="B85" s="21"/>
      <c r="C85" s="21"/>
      <c r="D85" s="21"/>
      <c r="E85" s="21"/>
      <c r="F85" s="21"/>
    </row>
    <row r="86" spans="2:6" ht="28.5" x14ac:dyDescent="0.45">
      <c r="B86" s="21"/>
      <c r="C86" s="21"/>
      <c r="D86" s="21"/>
      <c r="E86" s="21"/>
      <c r="F86" s="21"/>
    </row>
    <row r="87" spans="2:6" ht="28.5" x14ac:dyDescent="0.45">
      <c r="B87" s="21"/>
      <c r="C87" s="21"/>
      <c r="D87" s="21"/>
      <c r="E87" s="21"/>
      <c r="F87" s="21"/>
    </row>
    <row r="88" spans="2:6" ht="28.5" x14ac:dyDescent="0.45">
      <c r="B88" s="21"/>
      <c r="C88" s="21"/>
      <c r="D88" s="21"/>
      <c r="E88" s="21"/>
      <c r="F88" s="21"/>
    </row>
    <row r="89" spans="2:6" ht="28.5" x14ac:dyDescent="0.45">
      <c r="B89" s="21"/>
      <c r="C89" s="21"/>
      <c r="D89" s="21"/>
      <c r="E89" s="21"/>
      <c r="F89" s="21"/>
    </row>
    <row r="90" spans="2:6" ht="28.5" x14ac:dyDescent="0.45">
      <c r="B90" s="21"/>
      <c r="C90" s="21"/>
      <c r="D90" s="21"/>
      <c r="E90" s="21"/>
      <c r="F90" s="21"/>
    </row>
    <row r="91" spans="2:6" ht="28.5" x14ac:dyDescent="0.45">
      <c r="B91" s="21"/>
      <c r="C91" s="21"/>
      <c r="D91" s="21"/>
      <c r="E91" s="21"/>
      <c r="F91" s="21"/>
    </row>
    <row r="92" spans="2:6" ht="28.5" x14ac:dyDescent="0.45">
      <c r="B92" s="21"/>
      <c r="C92" s="21"/>
      <c r="D92" s="21"/>
      <c r="E92" s="21"/>
      <c r="F92" s="21"/>
    </row>
    <row r="93" spans="2:6" ht="28.5" x14ac:dyDescent="0.45">
      <c r="B93" s="21"/>
      <c r="C93" s="21"/>
      <c r="D93" s="21"/>
      <c r="E93" s="21"/>
      <c r="F93" s="21"/>
    </row>
    <row r="94" spans="2:6" ht="28.5" x14ac:dyDescent="0.45">
      <c r="B94" s="21"/>
      <c r="C94" s="21"/>
      <c r="D94" s="21"/>
      <c r="E94" s="21"/>
      <c r="F94" s="21"/>
    </row>
    <row r="95" spans="2:6" ht="28.5" x14ac:dyDescent="0.45">
      <c r="B95" s="21"/>
      <c r="C95" s="21"/>
      <c r="D95" s="21"/>
      <c r="E95" s="21"/>
      <c r="F95" s="21"/>
    </row>
    <row r="96" spans="2:6" ht="28.5" x14ac:dyDescent="0.45">
      <c r="B96" s="21"/>
      <c r="C96" s="21"/>
      <c r="D96" s="21"/>
      <c r="E96" s="21"/>
      <c r="F96" s="21"/>
    </row>
    <row r="97" spans="2:6" ht="28.5" x14ac:dyDescent="0.45">
      <c r="B97" s="21"/>
      <c r="C97" s="21"/>
      <c r="D97" s="21"/>
      <c r="E97" s="21"/>
      <c r="F97"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A2E3-3F5E-4B6B-B679-EEB2AAE9033B}">
  <dimension ref="A1:M30"/>
  <sheetViews>
    <sheetView workbookViewId="0">
      <selection sqref="A1:B23"/>
    </sheetView>
  </sheetViews>
  <sheetFormatPr defaultRowHeight="15" x14ac:dyDescent="0.25"/>
  <cols>
    <col min="1" max="1" width="17.85546875" customWidth="1"/>
    <col min="2" max="2" width="36.28515625" style="63" customWidth="1"/>
    <col min="6" max="6" width="16.5703125" customWidth="1"/>
    <col min="7" max="7" width="19.140625" customWidth="1"/>
    <col min="11" max="11" width="21.5703125" customWidth="1"/>
  </cols>
  <sheetData>
    <row r="1" spans="1:13" ht="15.75" x14ac:dyDescent="0.25">
      <c r="A1" s="64" t="s">
        <v>469</v>
      </c>
      <c r="B1" s="61" t="s">
        <v>470</v>
      </c>
      <c r="F1" s="64" t="s">
        <v>469</v>
      </c>
      <c r="G1" s="61" t="s">
        <v>470</v>
      </c>
      <c r="K1" s="61" t="s">
        <v>470</v>
      </c>
      <c r="M1" s="67"/>
    </row>
    <row r="2" spans="1:13" x14ac:dyDescent="0.25">
      <c r="A2" s="65">
        <v>46304</v>
      </c>
      <c r="B2" s="62" t="s">
        <v>473</v>
      </c>
      <c r="F2" s="65">
        <v>46304</v>
      </c>
      <c r="G2" s="62" t="s">
        <v>473</v>
      </c>
      <c r="K2" s="62" t="s">
        <v>473</v>
      </c>
      <c r="M2" s="67"/>
    </row>
    <row r="3" spans="1:13" x14ac:dyDescent="0.25">
      <c r="A3" s="66">
        <f>A2+1</f>
        <v>46305</v>
      </c>
      <c r="B3" s="62" t="s">
        <v>474</v>
      </c>
      <c r="F3" s="66">
        <f>F2+1</f>
        <v>46305</v>
      </c>
      <c r="G3" s="62" t="s">
        <v>474</v>
      </c>
      <c r="K3" s="62" t="s">
        <v>474</v>
      </c>
      <c r="M3" s="67"/>
    </row>
    <row r="4" spans="1:13" x14ac:dyDescent="0.25">
      <c r="A4" s="66">
        <f t="shared" ref="A4:A23" si="0">A3+1</f>
        <v>46306</v>
      </c>
      <c r="B4" s="62" t="s">
        <v>475</v>
      </c>
      <c r="F4" s="66">
        <f t="shared" ref="F4:F23" si="1">F3+1</f>
        <v>46306</v>
      </c>
      <c r="G4" s="62" t="s">
        <v>475</v>
      </c>
      <c r="K4" s="62" t="s">
        <v>475</v>
      </c>
      <c r="M4" s="67"/>
    </row>
    <row r="5" spans="1:13" x14ac:dyDescent="0.25">
      <c r="A5" s="66">
        <f t="shared" si="0"/>
        <v>46307</v>
      </c>
      <c r="B5" s="62" t="s">
        <v>476</v>
      </c>
      <c r="F5" s="66">
        <f t="shared" si="1"/>
        <v>46307</v>
      </c>
      <c r="G5" s="62" t="s">
        <v>476</v>
      </c>
      <c r="K5" s="62" t="s">
        <v>476</v>
      </c>
      <c r="M5" s="67"/>
    </row>
    <row r="6" spans="1:13" x14ac:dyDescent="0.25">
      <c r="A6" s="66">
        <f t="shared" si="0"/>
        <v>46308</v>
      </c>
      <c r="B6" s="62" t="s">
        <v>477</v>
      </c>
      <c r="F6" s="66">
        <f t="shared" si="1"/>
        <v>46308</v>
      </c>
      <c r="G6" s="62" t="s">
        <v>477</v>
      </c>
      <c r="K6" s="62" t="s">
        <v>477</v>
      </c>
    </row>
    <row r="7" spans="1:13" x14ac:dyDescent="0.25">
      <c r="A7" s="66">
        <f t="shared" si="0"/>
        <v>46309</v>
      </c>
      <c r="B7" s="62" t="s">
        <v>478</v>
      </c>
      <c r="F7" s="66">
        <f t="shared" si="1"/>
        <v>46309</v>
      </c>
      <c r="G7" s="62" t="s">
        <v>478</v>
      </c>
      <c r="K7" s="62" t="s">
        <v>478</v>
      </c>
    </row>
    <row r="8" spans="1:13" x14ac:dyDescent="0.25">
      <c r="A8" s="66">
        <f t="shared" si="0"/>
        <v>46310</v>
      </c>
      <c r="B8" s="62" t="s">
        <v>479</v>
      </c>
      <c r="F8" s="66">
        <f t="shared" si="1"/>
        <v>46310</v>
      </c>
      <c r="G8" s="62" t="s">
        <v>479</v>
      </c>
    </row>
    <row r="9" spans="1:13" x14ac:dyDescent="0.25">
      <c r="A9" s="66">
        <f t="shared" si="0"/>
        <v>46311</v>
      </c>
      <c r="B9" s="62" t="s">
        <v>480</v>
      </c>
      <c r="F9" s="66">
        <f t="shared" si="1"/>
        <v>46311</v>
      </c>
      <c r="G9" s="62" t="s">
        <v>480</v>
      </c>
    </row>
    <row r="10" spans="1:13" x14ac:dyDescent="0.25">
      <c r="A10" s="66">
        <f t="shared" si="0"/>
        <v>46312</v>
      </c>
      <c r="B10" s="62" t="s">
        <v>481</v>
      </c>
      <c r="F10" s="66">
        <f t="shared" si="1"/>
        <v>46312</v>
      </c>
      <c r="G10" s="62" t="s">
        <v>481</v>
      </c>
    </row>
    <row r="11" spans="1:13" x14ac:dyDescent="0.25">
      <c r="A11" s="66">
        <f t="shared" si="0"/>
        <v>46313</v>
      </c>
      <c r="B11" s="62" t="s">
        <v>482</v>
      </c>
      <c r="F11" s="66">
        <f t="shared" si="1"/>
        <v>46313</v>
      </c>
      <c r="G11" s="62" t="s">
        <v>482</v>
      </c>
    </row>
    <row r="12" spans="1:13" x14ac:dyDescent="0.25">
      <c r="A12" s="66">
        <f t="shared" si="0"/>
        <v>46314</v>
      </c>
      <c r="B12" s="62" t="s">
        <v>483</v>
      </c>
      <c r="F12" s="66">
        <f t="shared" si="1"/>
        <v>46314</v>
      </c>
      <c r="G12" s="62" t="s">
        <v>483</v>
      </c>
    </row>
    <row r="13" spans="1:13" x14ac:dyDescent="0.25">
      <c r="A13" s="66">
        <f t="shared" si="0"/>
        <v>46315</v>
      </c>
      <c r="B13" s="62" t="s">
        <v>484</v>
      </c>
      <c r="F13" s="66">
        <f t="shared" si="1"/>
        <v>46315</v>
      </c>
      <c r="G13" s="62" t="s">
        <v>484</v>
      </c>
    </row>
    <row r="14" spans="1:13" x14ac:dyDescent="0.25">
      <c r="A14" s="66">
        <f t="shared" si="0"/>
        <v>46316</v>
      </c>
      <c r="B14" s="62" t="s">
        <v>485</v>
      </c>
      <c r="F14" s="66">
        <f t="shared" si="1"/>
        <v>46316</v>
      </c>
      <c r="G14" s="62" t="s">
        <v>485</v>
      </c>
    </row>
    <row r="15" spans="1:13" x14ac:dyDescent="0.25">
      <c r="A15" s="66">
        <f t="shared" si="0"/>
        <v>46317</v>
      </c>
      <c r="B15" s="62" t="s">
        <v>486</v>
      </c>
      <c r="F15" s="66">
        <f t="shared" si="1"/>
        <v>46317</v>
      </c>
      <c r="G15" s="62" t="s">
        <v>486</v>
      </c>
    </row>
    <row r="16" spans="1:13" x14ac:dyDescent="0.25">
      <c r="A16" s="66">
        <f t="shared" si="0"/>
        <v>46318</v>
      </c>
      <c r="B16" s="62" t="s">
        <v>487</v>
      </c>
      <c r="F16" s="66">
        <f t="shared" si="1"/>
        <v>46318</v>
      </c>
      <c r="G16" s="62" t="s">
        <v>487</v>
      </c>
    </row>
    <row r="17" spans="1:7" x14ac:dyDescent="0.25">
      <c r="A17" s="66">
        <f t="shared" si="0"/>
        <v>46319</v>
      </c>
      <c r="B17" s="62" t="s">
        <v>488</v>
      </c>
      <c r="F17" s="66">
        <f t="shared" si="1"/>
        <v>46319</v>
      </c>
      <c r="G17" s="62" t="s">
        <v>488</v>
      </c>
    </row>
    <row r="18" spans="1:7" x14ac:dyDescent="0.25">
      <c r="A18" s="66">
        <f t="shared" si="0"/>
        <v>46320</v>
      </c>
      <c r="B18" s="62" t="s">
        <v>489</v>
      </c>
      <c r="F18" s="66">
        <f t="shared" si="1"/>
        <v>46320</v>
      </c>
      <c r="G18" s="62" t="s">
        <v>489</v>
      </c>
    </row>
    <row r="19" spans="1:7" x14ac:dyDescent="0.25">
      <c r="A19" s="66">
        <f t="shared" si="0"/>
        <v>46321</v>
      </c>
      <c r="B19" s="62" t="s">
        <v>490</v>
      </c>
      <c r="F19" s="66">
        <f t="shared" si="1"/>
        <v>46321</v>
      </c>
      <c r="G19" s="62" t="s">
        <v>490</v>
      </c>
    </row>
    <row r="20" spans="1:7" x14ac:dyDescent="0.25">
      <c r="A20" s="66">
        <f t="shared" si="0"/>
        <v>46322</v>
      </c>
      <c r="B20" s="62" t="s">
        <v>491</v>
      </c>
      <c r="F20" s="66">
        <f t="shared" si="1"/>
        <v>46322</v>
      </c>
      <c r="G20" s="62" t="s">
        <v>491</v>
      </c>
    </row>
    <row r="21" spans="1:7" x14ac:dyDescent="0.25">
      <c r="A21" s="66">
        <f t="shared" si="0"/>
        <v>46323</v>
      </c>
      <c r="B21" s="62" t="s">
        <v>492</v>
      </c>
      <c r="F21" s="66">
        <f t="shared" si="1"/>
        <v>46323</v>
      </c>
      <c r="G21" s="62" t="s">
        <v>492</v>
      </c>
    </row>
    <row r="22" spans="1:7" x14ac:dyDescent="0.25">
      <c r="A22" s="66">
        <f t="shared" si="0"/>
        <v>46324</v>
      </c>
      <c r="B22" s="62" t="s">
        <v>493</v>
      </c>
      <c r="F22" s="66">
        <f t="shared" si="1"/>
        <v>46324</v>
      </c>
      <c r="G22" s="62" t="s">
        <v>493</v>
      </c>
    </row>
    <row r="23" spans="1:7" x14ac:dyDescent="0.25">
      <c r="A23" s="66">
        <f t="shared" si="0"/>
        <v>46325</v>
      </c>
      <c r="B23" s="62" t="s">
        <v>494</v>
      </c>
      <c r="F23" s="66">
        <f t="shared" si="1"/>
        <v>46325</v>
      </c>
      <c r="G23" s="62" t="s">
        <v>494</v>
      </c>
    </row>
    <row r="30" spans="1:7" x14ac:dyDescent="0.25">
      <c r="B30" s="67"/>
    </row>
  </sheetData>
  <conditionalFormatting sqref="B1:B23">
    <cfRule type="dataBar" priority="9">
      <dataBar>
        <cfvo type="min"/>
        <cfvo type="max"/>
        <color rgb="FF638EC6"/>
      </dataBar>
      <extLst>
        <ext xmlns:x14="http://schemas.microsoft.com/office/spreadsheetml/2009/9/main" uri="{B025F937-C7B1-47D3-B67F-A62EFF666E3E}">
          <x14:id>{08312C70-1622-4F45-BECC-214E47D065B7}</x14:id>
        </ext>
      </extLst>
    </cfRule>
  </conditionalFormatting>
  <conditionalFormatting sqref="B1:B23">
    <cfRule type="iconSet" priority="10">
      <iconSet>
        <cfvo type="percent" val="0"/>
        <cfvo type="percent" val="33"/>
        <cfvo type="percent" val="67"/>
      </iconSet>
    </cfRule>
  </conditionalFormatting>
  <conditionalFormatting sqref="G1:G23">
    <cfRule type="dataBar" priority="7">
      <dataBar>
        <cfvo type="min"/>
        <cfvo type="max"/>
        <color rgb="FF638EC6"/>
      </dataBar>
      <extLst>
        <ext xmlns:x14="http://schemas.microsoft.com/office/spreadsheetml/2009/9/main" uri="{B025F937-C7B1-47D3-B67F-A62EFF666E3E}">
          <x14:id>{583A5FC0-6EBD-4762-AD4D-738938C11A25}</x14:id>
        </ext>
      </extLst>
    </cfRule>
  </conditionalFormatting>
  <conditionalFormatting sqref="G1:G23">
    <cfRule type="iconSet" priority="8">
      <iconSet>
        <cfvo type="percent" val="0"/>
        <cfvo type="percent" val="33"/>
        <cfvo type="percent" val="67"/>
      </iconSet>
    </cfRule>
  </conditionalFormatting>
  <conditionalFormatting sqref="M1:M5 B30">
    <cfRule type="dataBar" priority="5">
      <dataBar>
        <cfvo type="min"/>
        <cfvo type="max"/>
        <color rgb="FF638EC6"/>
      </dataBar>
      <extLst>
        <ext xmlns:x14="http://schemas.microsoft.com/office/spreadsheetml/2009/9/main" uri="{B025F937-C7B1-47D3-B67F-A62EFF666E3E}">
          <x14:id>{8B2F77C6-1236-4800-BFDD-88722FDE8EF2}</x14:id>
        </ext>
      </extLst>
    </cfRule>
  </conditionalFormatting>
  <conditionalFormatting sqref="B30 M1:M5">
    <cfRule type="iconSet" priority="6">
      <iconSet>
        <cfvo type="percent" val="0"/>
        <cfvo type="percent" val="33"/>
        <cfvo type="percent" val="67"/>
      </iconSet>
    </cfRule>
  </conditionalFormatting>
  <conditionalFormatting sqref="K1:K7">
    <cfRule type="dataBar" priority="1">
      <dataBar>
        <cfvo type="min"/>
        <cfvo type="max"/>
        <color rgb="FF638EC6"/>
      </dataBar>
      <extLst>
        <ext xmlns:x14="http://schemas.microsoft.com/office/spreadsheetml/2009/9/main" uri="{B025F937-C7B1-47D3-B67F-A62EFF666E3E}">
          <x14:id>{F43DD3B3-4270-4AC4-AF84-75C624BDCC33}</x14:id>
        </ext>
      </extLst>
    </cfRule>
  </conditionalFormatting>
  <conditionalFormatting sqref="K1:K7">
    <cfRule type="iconSet" priority="2">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8312C70-1622-4F45-BECC-214E47D065B7}">
            <x14:dataBar minLength="0" maxLength="100" negativeBarColorSameAsPositive="1" axisPosition="none">
              <x14:cfvo type="min"/>
              <x14:cfvo type="max"/>
            </x14:dataBar>
          </x14:cfRule>
          <xm:sqref>B1:B23</xm:sqref>
        </x14:conditionalFormatting>
        <x14:conditionalFormatting xmlns:xm="http://schemas.microsoft.com/office/excel/2006/main">
          <x14:cfRule type="dataBar" id="{583A5FC0-6EBD-4762-AD4D-738938C11A25}">
            <x14:dataBar minLength="0" maxLength="100" negativeBarColorSameAsPositive="1" axisPosition="none">
              <x14:cfvo type="min"/>
              <x14:cfvo type="max"/>
            </x14:dataBar>
          </x14:cfRule>
          <xm:sqref>G1:G23</xm:sqref>
        </x14:conditionalFormatting>
        <x14:conditionalFormatting xmlns:xm="http://schemas.microsoft.com/office/excel/2006/main">
          <x14:cfRule type="dataBar" id="{8B2F77C6-1236-4800-BFDD-88722FDE8EF2}">
            <x14:dataBar minLength="0" maxLength="100" negativeBarColorSameAsPositive="1" axisPosition="none">
              <x14:cfvo type="min"/>
              <x14:cfvo type="max"/>
            </x14:dataBar>
          </x14:cfRule>
          <xm:sqref>M1:M5 B30</xm:sqref>
        </x14:conditionalFormatting>
        <x14:conditionalFormatting xmlns:xm="http://schemas.microsoft.com/office/excel/2006/main">
          <x14:cfRule type="dataBar" id="{F43DD3B3-4270-4AC4-AF84-75C624BDCC33}">
            <x14:dataBar minLength="0" maxLength="100" negativeBarColorSameAsPositive="1" axisPosition="none">
              <x14:cfvo type="min"/>
              <x14:cfvo type="max"/>
            </x14:dataBar>
          </x14:cfRule>
          <xm:sqref>K1:K7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BF018-D40B-44C0-A20E-BE7FCCDA205D}">
  <dimension ref="A1:P105"/>
  <sheetViews>
    <sheetView zoomScaleNormal="100" workbookViewId="0">
      <selection activeCell="B1" sqref="B1:B16"/>
    </sheetView>
  </sheetViews>
  <sheetFormatPr defaultRowHeight="15" x14ac:dyDescent="0.25"/>
  <cols>
    <col min="1" max="1" width="10.7109375" bestFit="1" customWidth="1"/>
    <col min="2" max="2" width="18.7109375" bestFit="1" customWidth="1"/>
    <col min="3" max="3" width="12.85546875" bestFit="1" customWidth="1"/>
    <col min="4" max="4" width="7.7109375" bestFit="1" customWidth="1"/>
    <col min="5" max="5" width="10.5703125" style="30" bestFit="1" customWidth="1"/>
    <col min="6" max="6" width="12" bestFit="1" customWidth="1"/>
    <col min="7" max="7" width="12.85546875" bestFit="1" customWidth="1"/>
    <col min="11" max="11" width="13" bestFit="1" customWidth="1"/>
    <col min="12" max="12" width="18.7109375" bestFit="1" customWidth="1"/>
    <col min="13" max="13" width="12.85546875" bestFit="1" customWidth="1"/>
    <col min="14" max="14" width="7.7109375" bestFit="1" customWidth="1"/>
    <col min="15" max="16" width="12.85546875" bestFit="1" customWidth="1"/>
  </cols>
  <sheetData>
    <row r="1" spans="1:16" ht="15.75" x14ac:dyDescent="0.25">
      <c r="A1" s="35" t="s">
        <v>469</v>
      </c>
      <c r="B1" s="36" t="s">
        <v>470</v>
      </c>
      <c r="C1" s="36" t="s">
        <v>6</v>
      </c>
      <c r="D1" s="36" t="s">
        <v>36</v>
      </c>
      <c r="E1" s="37" t="s">
        <v>471</v>
      </c>
      <c r="F1" s="38" t="s">
        <v>472</v>
      </c>
      <c r="K1" s="48" t="s">
        <v>469</v>
      </c>
      <c r="L1" s="49" t="s">
        <v>470</v>
      </c>
      <c r="M1" s="49" t="s">
        <v>6</v>
      </c>
      <c r="N1" s="49" t="s">
        <v>36</v>
      </c>
      <c r="O1" s="50" t="s">
        <v>471</v>
      </c>
      <c r="P1" s="51" t="s">
        <v>472</v>
      </c>
    </row>
    <row r="2" spans="1:16" x14ac:dyDescent="0.25">
      <c r="A2" s="43">
        <v>46304</v>
      </c>
      <c r="B2" s="31" t="s">
        <v>473</v>
      </c>
      <c r="C2" s="31" t="s">
        <v>93</v>
      </c>
      <c r="D2" s="31" t="s">
        <v>74</v>
      </c>
      <c r="E2" s="32">
        <v>38278</v>
      </c>
      <c r="F2" s="39">
        <v>137196</v>
      </c>
      <c r="K2" s="52">
        <v>46304</v>
      </c>
      <c r="L2" s="53" t="s">
        <v>473</v>
      </c>
      <c r="M2" s="53" t="s">
        <v>93</v>
      </c>
      <c r="N2" s="53" t="s">
        <v>74</v>
      </c>
      <c r="O2" s="54">
        <v>38278</v>
      </c>
      <c r="P2" s="55">
        <v>137196</v>
      </c>
    </row>
    <row r="3" spans="1:16" x14ac:dyDescent="0.25">
      <c r="A3" s="40">
        <f>A2+1</f>
        <v>46305</v>
      </c>
      <c r="B3" s="31" t="s">
        <v>474</v>
      </c>
      <c r="C3" s="31" t="s">
        <v>185</v>
      </c>
      <c r="D3" s="31" t="s">
        <v>57</v>
      </c>
      <c r="E3" s="32">
        <v>64256</v>
      </c>
      <c r="F3" s="39">
        <v>58289</v>
      </c>
      <c r="K3" s="56">
        <f>K2+1</f>
        <v>46305</v>
      </c>
      <c r="L3" s="53" t="s">
        <v>474</v>
      </c>
      <c r="M3" s="53" t="s">
        <v>185</v>
      </c>
      <c r="N3" s="53" t="s">
        <v>57</v>
      </c>
      <c r="O3" s="54">
        <v>64256</v>
      </c>
      <c r="P3" s="55">
        <v>58289</v>
      </c>
    </row>
    <row r="4" spans="1:16" x14ac:dyDescent="0.25">
      <c r="A4" s="40">
        <f t="shared" ref="A4:A51" si="0">A3+1</f>
        <v>46306</v>
      </c>
      <c r="B4" s="31" t="s">
        <v>475</v>
      </c>
      <c r="C4" s="31" t="s">
        <v>93</v>
      </c>
      <c r="D4" s="31" t="s">
        <v>74</v>
      </c>
      <c r="E4" s="32">
        <v>123696</v>
      </c>
      <c r="F4" s="39">
        <v>137080</v>
      </c>
      <c r="K4" s="56">
        <f t="shared" ref="K4:K51" si="1">K3+1</f>
        <v>46306</v>
      </c>
      <c r="L4" s="53" t="s">
        <v>475</v>
      </c>
      <c r="M4" s="53" t="s">
        <v>93</v>
      </c>
      <c r="N4" s="53" t="s">
        <v>74</v>
      </c>
      <c r="O4" s="54">
        <v>123696</v>
      </c>
      <c r="P4" s="55">
        <v>137080</v>
      </c>
    </row>
    <row r="5" spans="1:16" x14ac:dyDescent="0.25">
      <c r="A5" s="40">
        <f t="shared" si="0"/>
        <v>46307</v>
      </c>
      <c r="B5" s="31" t="s">
        <v>476</v>
      </c>
      <c r="C5" s="31" t="s">
        <v>80</v>
      </c>
      <c r="D5" s="31" t="s">
        <v>74</v>
      </c>
      <c r="E5" s="32">
        <v>112397</v>
      </c>
      <c r="F5" s="39">
        <v>95302</v>
      </c>
      <c r="K5" s="56">
        <f t="shared" si="1"/>
        <v>46307</v>
      </c>
      <c r="L5" s="53" t="s">
        <v>476</v>
      </c>
      <c r="M5" s="53" t="s">
        <v>80</v>
      </c>
      <c r="N5" s="53" t="s">
        <v>74</v>
      </c>
      <c r="O5" s="54">
        <v>112397</v>
      </c>
      <c r="P5" s="55">
        <v>95302</v>
      </c>
    </row>
    <row r="6" spans="1:16" x14ac:dyDescent="0.25">
      <c r="A6" s="40">
        <f t="shared" si="0"/>
        <v>46308</v>
      </c>
      <c r="B6" s="31" t="s">
        <v>477</v>
      </c>
      <c r="C6" s="31" t="s">
        <v>134</v>
      </c>
      <c r="D6" s="31" t="s">
        <v>74</v>
      </c>
      <c r="E6" s="32">
        <v>47280</v>
      </c>
      <c r="F6" s="39">
        <v>68657</v>
      </c>
      <c r="K6" s="56">
        <f t="shared" si="1"/>
        <v>46308</v>
      </c>
      <c r="L6" s="53" t="s">
        <v>477</v>
      </c>
      <c r="M6" s="53" t="s">
        <v>134</v>
      </c>
      <c r="N6" s="53" t="s">
        <v>74</v>
      </c>
      <c r="O6" s="54">
        <v>47280</v>
      </c>
      <c r="P6" s="55">
        <v>68657</v>
      </c>
    </row>
    <row r="7" spans="1:16" x14ac:dyDescent="0.25">
      <c r="A7" s="40">
        <f t="shared" si="0"/>
        <v>46309</v>
      </c>
      <c r="B7" s="31" t="s">
        <v>478</v>
      </c>
      <c r="C7" s="31" t="s">
        <v>45</v>
      </c>
      <c r="D7" s="31" t="s">
        <v>74</v>
      </c>
      <c r="E7" s="32">
        <v>108563</v>
      </c>
      <c r="F7" s="39">
        <v>66062</v>
      </c>
      <c r="K7" s="56">
        <f t="shared" si="1"/>
        <v>46309</v>
      </c>
      <c r="L7" s="53" t="s">
        <v>478</v>
      </c>
      <c r="M7" s="53" t="s">
        <v>45</v>
      </c>
      <c r="N7" s="53" t="s">
        <v>74</v>
      </c>
      <c r="O7" s="54">
        <v>108563</v>
      </c>
      <c r="P7" s="55">
        <v>66062</v>
      </c>
    </row>
    <row r="8" spans="1:16" x14ac:dyDescent="0.25">
      <c r="A8" s="40">
        <f t="shared" si="0"/>
        <v>46310</v>
      </c>
      <c r="B8" s="31" t="s">
        <v>479</v>
      </c>
      <c r="C8" s="31" t="s">
        <v>93</v>
      </c>
      <c r="D8" s="31" t="s">
        <v>87</v>
      </c>
      <c r="E8" s="32">
        <v>63893</v>
      </c>
      <c r="F8" s="39">
        <v>98878</v>
      </c>
      <c r="K8" s="56">
        <f t="shared" si="1"/>
        <v>46310</v>
      </c>
      <c r="L8" s="53" t="s">
        <v>479</v>
      </c>
      <c r="M8" s="53" t="s">
        <v>93</v>
      </c>
      <c r="N8" s="53" t="s">
        <v>87</v>
      </c>
      <c r="O8" s="54">
        <v>63893</v>
      </c>
      <c r="P8" s="55">
        <v>98878</v>
      </c>
    </row>
    <row r="9" spans="1:16" x14ac:dyDescent="0.25">
      <c r="A9" s="40">
        <f t="shared" si="0"/>
        <v>46311</v>
      </c>
      <c r="B9" s="31" t="s">
        <v>480</v>
      </c>
      <c r="C9" s="31" t="s">
        <v>80</v>
      </c>
      <c r="D9" s="31" t="s">
        <v>123</v>
      </c>
      <c r="E9" s="32">
        <v>141093</v>
      </c>
      <c r="F9" s="39">
        <v>40851</v>
      </c>
      <c r="K9" s="56">
        <f t="shared" si="1"/>
        <v>46311</v>
      </c>
      <c r="L9" s="53" t="s">
        <v>480</v>
      </c>
      <c r="M9" s="53" t="s">
        <v>80</v>
      </c>
      <c r="N9" s="53" t="s">
        <v>123</v>
      </c>
      <c r="O9" s="54">
        <v>141093</v>
      </c>
      <c r="P9" s="55">
        <v>40851</v>
      </c>
    </row>
    <row r="10" spans="1:16" x14ac:dyDescent="0.25">
      <c r="A10" s="40">
        <f t="shared" si="0"/>
        <v>46312</v>
      </c>
      <c r="B10" s="31" t="s">
        <v>481</v>
      </c>
      <c r="C10" s="31" t="s">
        <v>45</v>
      </c>
      <c r="D10" s="31" t="s">
        <v>87</v>
      </c>
      <c r="E10" s="32">
        <v>79597</v>
      </c>
      <c r="F10" s="39">
        <v>76421</v>
      </c>
      <c r="K10" s="56">
        <f t="shared" si="1"/>
        <v>46312</v>
      </c>
      <c r="L10" s="53" t="s">
        <v>481</v>
      </c>
      <c r="M10" s="53" t="s">
        <v>45</v>
      </c>
      <c r="N10" s="53" t="s">
        <v>87</v>
      </c>
      <c r="O10" s="54">
        <v>79597</v>
      </c>
      <c r="P10" s="55">
        <v>76421</v>
      </c>
    </row>
    <row r="11" spans="1:16" x14ac:dyDescent="0.25">
      <c r="A11" s="40">
        <f t="shared" si="0"/>
        <v>46313</v>
      </c>
      <c r="B11" s="31" t="s">
        <v>482</v>
      </c>
      <c r="C11" s="31" t="s">
        <v>45</v>
      </c>
      <c r="D11" s="31" t="s">
        <v>57</v>
      </c>
      <c r="E11" s="32">
        <v>135072</v>
      </c>
      <c r="F11" s="39">
        <v>84118</v>
      </c>
      <c r="K11" s="56">
        <f t="shared" si="1"/>
        <v>46313</v>
      </c>
      <c r="L11" s="53" t="s">
        <v>482</v>
      </c>
      <c r="M11" s="53" t="s">
        <v>45</v>
      </c>
      <c r="N11" s="53" t="s">
        <v>57</v>
      </c>
      <c r="O11" s="54">
        <v>135072</v>
      </c>
      <c r="P11" s="55">
        <v>84118</v>
      </c>
    </row>
    <row r="12" spans="1:16" x14ac:dyDescent="0.25">
      <c r="A12" s="40">
        <f t="shared" si="0"/>
        <v>46314</v>
      </c>
      <c r="B12" s="31" t="s">
        <v>483</v>
      </c>
      <c r="C12" s="31" t="s">
        <v>134</v>
      </c>
      <c r="D12" s="31" t="s">
        <v>74</v>
      </c>
      <c r="E12" s="32">
        <v>84797</v>
      </c>
      <c r="F12" s="39">
        <v>52676</v>
      </c>
      <c r="K12" s="56">
        <f t="shared" si="1"/>
        <v>46314</v>
      </c>
      <c r="L12" s="53" t="s">
        <v>483</v>
      </c>
      <c r="M12" s="53" t="s">
        <v>134</v>
      </c>
      <c r="N12" s="53" t="s">
        <v>74</v>
      </c>
      <c r="O12" s="54">
        <v>84797</v>
      </c>
      <c r="P12" s="55">
        <v>52676</v>
      </c>
    </row>
    <row r="13" spans="1:16" x14ac:dyDescent="0.25">
      <c r="A13" s="40">
        <f t="shared" si="0"/>
        <v>46315</v>
      </c>
      <c r="B13" s="31" t="s">
        <v>484</v>
      </c>
      <c r="C13" s="31" t="s">
        <v>185</v>
      </c>
      <c r="D13" s="31" t="s">
        <v>123</v>
      </c>
      <c r="E13" s="32">
        <v>20000</v>
      </c>
      <c r="F13" s="39">
        <v>74671</v>
      </c>
      <c r="K13" s="56">
        <f t="shared" si="1"/>
        <v>46315</v>
      </c>
      <c r="L13" s="53" t="s">
        <v>484</v>
      </c>
      <c r="M13" s="53" t="s">
        <v>185</v>
      </c>
      <c r="N13" s="53" t="s">
        <v>123</v>
      </c>
      <c r="O13" s="54">
        <v>20000</v>
      </c>
      <c r="P13" s="55">
        <v>74671</v>
      </c>
    </row>
    <row r="14" spans="1:16" x14ac:dyDescent="0.25">
      <c r="A14" s="40">
        <f t="shared" si="0"/>
        <v>46316</v>
      </c>
      <c r="B14" s="31" t="s">
        <v>485</v>
      </c>
      <c r="C14" s="31" t="s">
        <v>134</v>
      </c>
      <c r="D14" s="31" t="s">
        <v>87</v>
      </c>
      <c r="E14" s="32">
        <v>105284</v>
      </c>
      <c r="F14" s="39">
        <v>56361</v>
      </c>
      <c r="K14" s="56">
        <f t="shared" si="1"/>
        <v>46316</v>
      </c>
      <c r="L14" s="53" t="s">
        <v>485</v>
      </c>
      <c r="M14" s="53" t="s">
        <v>134</v>
      </c>
      <c r="N14" s="53" t="s">
        <v>87</v>
      </c>
      <c r="O14" s="54">
        <v>105284</v>
      </c>
      <c r="P14" s="55">
        <v>56361</v>
      </c>
    </row>
    <row r="15" spans="1:16" x14ac:dyDescent="0.25">
      <c r="A15" s="40">
        <f t="shared" si="0"/>
        <v>46317</v>
      </c>
      <c r="B15" s="31" t="s">
        <v>486</v>
      </c>
      <c r="C15" s="31" t="s">
        <v>126</v>
      </c>
      <c r="D15" s="31" t="s">
        <v>74</v>
      </c>
      <c r="E15" s="32">
        <v>20000</v>
      </c>
      <c r="F15" s="39">
        <v>78427</v>
      </c>
      <c r="K15" s="56">
        <f t="shared" si="1"/>
        <v>46317</v>
      </c>
      <c r="L15" s="53" t="s">
        <v>486</v>
      </c>
      <c r="M15" s="53" t="s">
        <v>126</v>
      </c>
      <c r="N15" s="53" t="s">
        <v>74</v>
      </c>
      <c r="O15" s="54">
        <v>20000</v>
      </c>
      <c r="P15" s="55">
        <v>78427</v>
      </c>
    </row>
    <row r="16" spans="1:16" x14ac:dyDescent="0.25">
      <c r="A16" s="40">
        <f t="shared" si="0"/>
        <v>46318</v>
      </c>
      <c r="B16" s="31" t="s">
        <v>487</v>
      </c>
      <c r="C16" s="31" t="s">
        <v>93</v>
      </c>
      <c r="D16" s="31" t="s">
        <v>123</v>
      </c>
      <c r="E16" s="32">
        <v>110674</v>
      </c>
      <c r="F16" s="39">
        <v>65203</v>
      </c>
      <c r="K16" s="56">
        <f t="shared" si="1"/>
        <v>46318</v>
      </c>
      <c r="L16" s="53" t="s">
        <v>487</v>
      </c>
      <c r="M16" s="53" t="s">
        <v>93</v>
      </c>
      <c r="N16" s="53" t="s">
        <v>123</v>
      </c>
      <c r="O16" s="54">
        <v>110674</v>
      </c>
      <c r="P16" s="55">
        <v>65203</v>
      </c>
    </row>
    <row r="17" spans="1:16" x14ac:dyDescent="0.25">
      <c r="A17" s="40">
        <f t="shared" si="0"/>
        <v>46319</v>
      </c>
      <c r="B17" s="31" t="s">
        <v>488</v>
      </c>
      <c r="C17" s="31" t="s">
        <v>93</v>
      </c>
      <c r="D17" s="31" t="s">
        <v>74</v>
      </c>
      <c r="E17" s="32">
        <v>41006</v>
      </c>
      <c r="F17" s="39">
        <v>126673</v>
      </c>
      <c r="K17" s="56">
        <f t="shared" si="1"/>
        <v>46319</v>
      </c>
      <c r="L17" s="53" t="s">
        <v>488</v>
      </c>
      <c r="M17" s="53" t="s">
        <v>93</v>
      </c>
      <c r="N17" s="53" t="s">
        <v>74</v>
      </c>
      <c r="O17" s="54">
        <v>41006</v>
      </c>
      <c r="P17" s="55">
        <v>126673</v>
      </c>
    </row>
    <row r="18" spans="1:16" x14ac:dyDescent="0.25">
      <c r="A18" s="40">
        <f t="shared" si="0"/>
        <v>46320</v>
      </c>
      <c r="B18" s="31" t="s">
        <v>489</v>
      </c>
      <c r="C18" s="31" t="s">
        <v>45</v>
      </c>
      <c r="D18" s="31" t="s">
        <v>123</v>
      </c>
      <c r="E18" s="32">
        <v>45458</v>
      </c>
      <c r="F18" s="39">
        <v>70512</v>
      </c>
      <c r="K18" s="56">
        <f t="shared" si="1"/>
        <v>46320</v>
      </c>
      <c r="L18" s="53" t="s">
        <v>489</v>
      </c>
      <c r="M18" s="53" t="s">
        <v>45</v>
      </c>
      <c r="N18" s="53" t="s">
        <v>123</v>
      </c>
      <c r="O18" s="54">
        <v>45458</v>
      </c>
      <c r="P18" s="55">
        <v>70512</v>
      </c>
    </row>
    <row r="19" spans="1:16" x14ac:dyDescent="0.25">
      <c r="A19" s="40">
        <f t="shared" si="0"/>
        <v>46321</v>
      </c>
      <c r="B19" s="31" t="s">
        <v>490</v>
      </c>
      <c r="C19" s="31" t="s">
        <v>134</v>
      </c>
      <c r="D19" s="31" t="s">
        <v>87</v>
      </c>
      <c r="E19" s="32">
        <v>71434</v>
      </c>
      <c r="F19" s="39">
        <v>99429</v>
      </c>
      <c r="K19" s="56">
        <f t="shared" si="1"/>
        <v>46321</v>
      </c>
      <c r="L19" s="53" t="s">
        <v>490</v>
      </c>
      <c r="M19" s="53" t="s">
        <v>134</v>
      </c>
      <c r="N19" s="53" t="s">
        <v>87</v>
      </c>
      <c r="O19" s="54">
        <v>71434</v>
      </c>
      <c r="P19" s="55">
        <v>99429</v>
      </c>
    </row>
    <row r="20" spans="1:16" x14ac:dyDescent="0.25">
      <c r="A20" s="40">
        <f t="shared" si="0"/>
        <v>46322</v>
      </c>
      <c r="B20" s="31" t="s">
        <v>491</v>
      </c>
      <c r="C20" s="31" t="s">
        <v>93</v>
      </c>
      <c r="D20" s="31" t="s">
        <v>123</v>
      </c>
      <c r="E20" s="32">
        <v>56319</v>
      </c>
      <c r="F20" s="39">
        <v>88520</v>
      </c>
      <c r="K20" s="56">
        <f t="shared" si="1"/>
        <v>46322</v>
      </c>
      <c r="L20" s="53" t="s">
        <v>491</v>
      </c>
      <c r="M20" s="53" t="s">
        <v>93</v>
      </c>
      <c r="N20" s="53" t="s">
        <v>123</v>
      </c>
      <c r="O20" s="54">
        <v>56319</v>
      </c>
      <c r="P20" s="55">
        <v>88520</v>
      </c>
    </row>
    <row r="21" spans="1:16" x14ac:dyDescent="0.25">
      <c r="A21" s="40">
        <f t="shared" si="0"/>
        <v>46323</v>
      </c>
      <c r="B21" s="31" t="s">
        <v>492</v>
      </c>
      <c r="C21" s="31" t="s">
        <v>185</v>
      </c>
      <c r="D21" s="31" t="s">
        <v>57</v>
      </c>
      <c r="E21" s="32">
        <v>122841</v>
      </c>
      <c r="F21" s="39">
        <v>74993</v>
      </c>
      <c r="K21" s="56">
        <f t="shared" si="1"/>
        <v>46323</v>
      </c>
      <c r="L21" s="53" t="s">
        <v>492</v>
      </c>
      <c r="M21" s="53" t="s">
        <v>185</v>
      </c>
      <c r="N21" s="53" t="s">
        <v>57</v>
      </c>
      <c r="O21" s="54">
        <v>122841</v>
      </c>
      <c r="P21" s="55">
        <v>74993</v>
      </c>
    </row>
    <row r="22" spans="1:16" x14ac:dyDescent="0.25">
      <c r="A22" s="40">
        <f t="shared" si="0"/>
        <v>46324</v>
      </c>
      <c r="B22" s="31" t="s">
        <v>493</v>
      </c>
      <c r="C22" s="31" t="s">
        <v>93</v>
      </c>
      <c r="D22" s="31" t="s">
        <v>74</v>
      </c>
      <c r="E22" s="32">
        <v>114840</v>
      </c>
      <c r="F22" s="39">
        <v>123227</v>
      </c>
      <c r="K22" s="56">
        <f t="shared" si="1"/>
        <v>46324</v>
      </c>
      <c r="L22" s="53" t="s">
        <v>493</v>
      </c>
      <c r="M22" s="53" t="s">
        <v>93</v>
      </c>
      <c r="N22" s="53" t="s">
        <v>74</v>
      </c>
      <c r="O22" s="54">
        <v>114840</v>
      </c>
      <c r="P22" s="55">
        <v>123227</v>
      </c>
    </row>
    <row r="23" spans="1:16" x14ac:dyDescent="0.25">
      <c r="A23" s="40">
        <f t="shared" si="0"/>
        <v>46325</v>
      </c>
      <c r="B23" s="31" t="s">
        <v>494</v>
      </c>
      <c r="C23" s="31" t="s">
        <v>45</v>
      </c>
      <c r="D23" s="31" t="s">
        <v>57</v>
      </c>
      <c r="E23" s="32">
        <v>56417</v>
      </c>
      <c r="F23" s="39">
        <v>100589</v>
      </c>
      <c r="K23" s="56">
        <f t="shared" si="1"/>
        <v>46325</v>
      </c>
      <c r="L23" s="53" t="s">
        <v>494</v>
      </c>
      <c r="M23" s="53" t="s">
        <v>45</v>
      </c>
      <c r="N23" s="53" t="s">
        <v>57</v>
      </c>
      <c r="O23" s="54">
        <v>56417</v>
      </c>
      <c r="P23" s="55">
        <v>100589</v>
      </c>
    </row>
    <row r="24" spans="1:16" x14ac:dyDescent="0.25">
      <c r="A24" s="40">
        <f t="shared" si="0"/>
        <v>46326</v>
      </c>
      <c r="B24" s="31" t="s">
        <v>495</v>
      </c>
      <c r="C24" s="31" t="s">
        <v>126</v>
      </c>
      <c r="D24" s="31" t="s">
        <v>123</v>
      </c>
      <c r="E24" s="32">
        <v>118886</v>
      </c>
      <c r="F24" s="39">
        <v>130198</v>
      </c>
      <c r="K24" s="56">
        <f t="shared" si="1"/>
        <v>46326</v>
      </c>
      <c r="L24" s="53" t="s">
        <v>495</v>
      </c>
      <c r="M24" s="53" t="s">
        <v>126</v>
      </c>
      <c r="N24" s="53" t="s">
        <v>123</v>
      </c>
      <c r="O24" s="54">
        <v>118886</v>
      </c>
      <c r="P24" s="55">
        <v>130198</v>
      </c>
    </row>
    <row r="25" spans="1:16" x14ac:dyDescent="0.25">
      <c r="A25" s="40">
        <f t="shared" si="0"/>
        <v>46327</v>
      </c>
      <c r="B25" s="31" t="s">
        <v>496</v>
      </c>
      <c r="C25" s="31" t="s">
        <v>80</v>
      </c>
      <c r="D25" s="31" t="s">
        <v>57</v>
      </c>
      <c r="E25" s="32">
        <v>124733</v>
      </c>
      <c r="F25" s="39">
        <v>82504</v>
      </c>
      <c r="K25" s="56">
        <f t="shared" si="1"/>
        <v>46327</v>
      </c>
      <c r="L25" s="53" t="s">
        <v>496</v>
      </c>
      <c r="M25" s="53" t="s">
        <v>80</v>
      </c>
      <c r="N25" s="53" t="s">
        <v>57</v>
      </c>
      <c r="O25" s="54">
        <v>124733</v>
      </c>
      <c r="P25" s="55">
        <v>82504</v>
      </c>
    </row>
    <row r="26" spans="1:16" x14ac:dyDescent="0.25">
      <c r="A26" s="40">
        <f t="shared" si="0"/>
        <v>46328</v>
      </c>
      <c r="B26" s="31" t="s">
        <v>497</v>
      </c>
      <c r="C26" s="31" t="s">
        <v>134</v>
      </c>
      <c r="D26" s="31" t="s">
        <v>57</v>
      </c>
      <c r="E26" s="32">
        <v>142715</v>
      </c>
      <c r="F26" s="39">
        <v>44207</v>
      </c>
      <c r="K26" s="56">
        <f t="shared" si="1"/>
        <v>46328</v>
      </c>
      <c r="L26" s="53" t="s">
        <v>497</v>
      </c>
      <c r="M26" s="53" t="s">
        <v>134</v>
      </c>
      <c r="N26" s="53" t="s">
        <v>57</v>
      </c>
      <c r="O26" s="54">
        <v>142715</v>
      </c>
      <c r="P26" s="55">
        <v>44207</v>
      </c>
    </row>
    <row r="27" spans="1:16" x14ac:dyDescent="0.25">
      <c r="A27" s="40">
        <f t="shared" si="0"/>
        <v>46329</v>
      </c>
      <c r="B27" s="31" t="s">
        <v>498</v>
      </c>
      <c r="C27" s="31" t="s">
        <v>185</v>
      </c>
      <c r="D27" s="31" t="s">
        <v>87</v>
      </c>
      <c r="E27" s="32">
        <v>70093</v>
      </c>
      <c r="F27" s="39">
        <v>48675</v>
      </c>
      <c r="K27" s="56">
        <f t="shared" si="1"/>
        <v>46329</v>
      </c>
      <c r="L27" s="53" t="s">
        <v>498</v>
      </c>
      <c r="M27" s="53" t="s">
        <v>185</v>
      </c>
      <c r="N27" s="53" t="s">
        <v>87</v>
      </c>
      <c r="O27" s="54">
        <v>70093</v>
      </c>
      <c r="P27" s="55">
        <v>48675</v>
      </c>
    </row>
    <row r="28" spans="1:16" x14ac:dyDescent="0.25">
      <c r="A28" s="40">
        <f t="shared" si="0"/>
        <v>46330</v>
      </c>
      <c r="B28" s="31" t="s">
        <v>499</v>
      </c>
      <c r="C28" s="31" t="s">
        <v>45</v>
      </c>
      <c r="D28" s="31" t="s">
        <v>123</v>
      </c>
      <c r="E28" s="32">
        <v>62869</v>
      </c>
      <c r="F28" s="39">
        <v>125909</v>
      </c>
      <c r="K28" s="56">
        <f t="shared" si="1"/>
        <v>46330</v>
      </c>
      <c r="L28" s="53" t="s">
        <v>499</v>
      </c>
      <c r="M28" s="53" t="s">
        <v>45</v>
      </c>
      <c r="N28" s="53" t="s">
        <v>123</v>
      </c>
      <c r="O28" s="54">
        <v>62869</v>
      </c>
      <c r="P28" s="55">
        <v>125909</v>
      </c>
    </row>
    <row r="29" spans="1:16" x14ac:dyDescent="0.25">
      <c r="A29" s="40">
        <f t="shared" si="0"/>
        <v>46331</v>
      </c>
      <c r="B29" s="31" t="s">
        <v>500</v>
      </c>
      <c r="C29" s="31" t="s">
        <v>126</v>
      </c>
      <c r="D29" s="31" t="s">
        <v>87</v>
      </c>
      <c r="E29" s="32">
        <v>119259</v>
      </c>
      <c r="F29" s="39">
        <v>100142</v>
      </c>
      <c r="K29" s="56">
        <f t="shared" si="1"/>
        <v>46331</v>
      </c>
      <c r="L29" s="53" t="s">
        <v>500</v>
      </c>
      <c r="M29" s="53" t="s">
        <v>126</v>
      </c>
      <c r="N29" s="53" t="s">
        <v>87</v>
      </c>
      <c r="O29" s="54">
        <v>119259</v>
      </c>
      <c r="P29" s="55">
        <v>100142</v>
      </c>
    </row>
    <row r="30" spans="1:16" x14ac:dyDescent="0.25">
      <c r="A30" s="40">
        <f t="shared" si="0"/>
        <v>46332</v>
      </c>
      <c r="B30" s="31" t="s">
        <v>501</v>
      </c>
      <c r="C30" s="31" t="s">
        <v>45</v>
      </c>
      <c r="D30" s="31" t="s">
        <v>123</v>
      </c>
      <c r="E30" s="32">
        <v>53301</v>
      </c>
      <c r="F30" s="39">
        <v>72325</v>
      </c>
      <c r="K30" s="56">
        <f t="shared" si="1"/>
        <v>46332</v>
      </c>
      <c r="L30" s="53" t="s">
        <v>501</v>
      </c>
      <c r="M30" s="53" t="s">
        <v>45</v>
      </c>
      <c r="N30" s="53" t="s">
        <v>123</v>
      </c>
      <c r="O30" s="54">
        <v>53301</v>
      </c>
      <c r="P30" s="55">
        <v>72325</v>
      </c>
    </row>
    <row r="31" spans="1:16" x14ac:dyDescent="0.25">
      <c r="A31" s="40">
        <f t="shared" si="0"/>
        <v>46333</v>
      </c>
      <c r="B31" s="31" t="s">
        <v>502</v>
      </c>
      <c r="C31" s="31" t="s">
        <v>93</v>
      </c>
      <c r="D31" s="31" t="s">
        <v>123</v>
      </c>
      <c r="E31" s="32">
        <v>132912</v>
      </c>
      <c r="F31" s="39">
        <v>116622</v>
      </c>
      <c r="K31" s="56">
        <f t="shared" si="1"/>
        <v>46333</v>
      </c>
      <c r="L31" s="53" t="s">
        <v>502</v>
      </c>
      <c r="M31" s="53" t="s">
        <v>93</v>
      </c>
      <c r="N31" s="53" t="s">
        <v>123</v>
      </c>
      <c r="O31" s="54">
        <v>132912</v>
      </c>
      <c r="P31" s="55">
        <v>116622</v>
      </c>
    </row>
    <row r="32" spans="1:16" x14ac:dyDescent="0.25">
      <c r="A32" s="40">
        <f t="shared" si="0"/>
        <v>46334</v>
      </c>
      <c r="B32" s="31" t="s">
        <v>503</v>
      </c>
      <c r="C32" s="31" t="s">
        <v>126</v>
      </c>
      <c r="D32" s="31" t="s">
        <v>87</v>
      </c>
      <c r="E32" s="32">
        <v>82447</v>
      </c>
      <c r="F32" s="39">
        <v>68746</v>
      </c>
      <c r="K32" s="56">
        <f t="shared" si="1"/>
        <v>46334</v>
      </c>
      <c r="L32" s="53" t="s">
        <v>503</v>
      </c>
      <c r="M32" s="53" t="s">
        <v>126</v>
      </c>
      <c r="N32" s="53" t="s">
        <v>87</v>
      </c>
      <c r="O32" s="54">
        <v>82447</v>
      </c>
      <c r="P32" s="55">
        <v>68746</v>
      </c>
    </row>
    <row r="33" spans="1:16" x14ac:dyDescent="0.25">
      <c r="A33" s="40">
        <f t="shared" si="0"/>
        <v>46335</v>
      </c>
      <c r="B33" s="31" t="s">
        <v>504</v>
      </c>
      <c r="C33" s="31" t="s">
        <v>45</v>
      </c>
      <c r="D33" s="31" t="s">
        <v>87</v>
      </c>
      <c r="E33" s="32">
        <v>46915</v>
      </c>
      <c r="F33" s="39">
        <v>139061</v>
      </c>
      <c r="K33" s="56">
        <f t="shared" si="1"/>
        <v>46335</v>
      </c>
      <c r="L33" s="53" t="s">
        <v>504</v>
      </c>
      <c r="M33" s="53" t="s">
        <v>45</v>
      </c>
      <c r="N33" s="53" t="s">
        <v>87</v>
      </c>
      <c r="O33" s="54">
        <v>46915</v>
      </c>
      <c r="P33" s="55">
        <v>139061</v>
      </c>
    </row>
    <row r="34" spans="1:16" x14ac:dyDescent="0.25">
      <c r="A34" s="40">
        <f t="shared" si="0"/>
        <v>46336</v>
      </c>
      <c r="B34" s="31" t="s">
        <v>505</v>
      </c>
      <c r="C34" s="31" t="s">
        <v>134</v>
      </c>
      <c r="D34" s="31" t="s">
        <v>74</v>
      </c>
      <c r="E34" s="32">
        <v>55033</v>
      </c>
      <c r="F34" s="39">
        <v>122240</v>
      </c>
      <c r="K34" s="56">
        <f t="shared" si="1"/>
        <v>46336</v>
      </c>
      <c r="L34" s="53" t="s">
        <v>505</v>
      </c>
      <c r="M34" s="53" t="s">
        <v>134</v>
      </c>
      <c r="N34" s="53" t="s">
        <v>74</v>
      </c>
      <c r="O34" s="54">
        <v>55033</v>
      </c>
      <c r="P34" s="55">
        <v>122240</v>
      </c>
    </row>
    <row r="35" spans="1:16" x14ac:dyDescent="0.25">
      <c r="A35" s="40">
        <f t="shared" si="0"/>
        <v>46337</v>
      </c>
      <c r="B35" s="31" t="s">
        <v>506</v>
      </c>
      <c r="C35" s="31" t="s">
        <v>45</v>
      </c>
      <c r="D35" s="31" t="s">
        <v>87</v>
      </c>
      <c r="E35" s="32">
        <v>113172</v>
      </c>
      <c r="F35" s="39">
        <v>48326</v>
      </c>
      <c r="K35" s="56">
        <f t="shared" si="1"/>
        <v>46337</v>
      </c>
      <c r="L35" s="53" t="s">
        <v>506</v>
      </c>
      <c r="M35" s="53" t="s">
        <v>45</v>
      </c>
      <c r="N35" s="53" t="s">
        <v>87</v>
      </c>
      <c r="O35" s="54">
        <v>113172</v>
      </c>
      <c r="P35" s="55">
        <v>48326</v>
      </c>
    </row>
    <row r="36" spans="1:16" x14ac:dyDescent="0.25">
      <c r="A36" s="40">
        <f t="shared" si="0"/>
        <v>46338</v>
      </c>
      <c r="B36" s="31" t="s">
        <v>507</v>
      </c>
      <c r="C36" s="31" t="s">
        <v>126</v>
      </c>
      <c r="D36" s="31" t="s">
        <v>87</v>
      </c>
      <c r="E36" s="32">
        <v>113104</v>
      </c>
      <c r="F36" s="39">
        <v>101348</v>
      </c>
      <c r="K36" s="56">
        <f t="shared" si="1"/>
        <v>46338</v>
      </c>
      <c r="L36" s="53" t="s">
        <v>507</v>
      </c>
      <c r="M36" s="53" t="s">
        <v>126</v>
      </c>
      <c r="N36" s="53" t="s">
        <v>87</v>
      </c>
      <c r="O36" s="54">
        <v>113104</v>
      </c>
      <c r="P36" s="55">
        <v>101348</v>
      </c>
    </row>
    <row r="37" spans="1:16" x14ac:dyDescent="0.25">
      <c r="A37" s="40">
        <f t="shared" si="0"/>
        <v>46339</v>
      </c>
      <c r="B37" s="31" t="s">
        <v>508</v>
      </c>
      <c r="C37" s="31" t="s">
        <v>80</v>
      </c>
      <c r="D37" s="31" t="s">
        <v>123</v>
      </c>
      <c r="E37" s="32">
        <v>20000</v>
      </c>
      <c r="F37" s="39">
        <v>41504</v>
      </c>
      <c r="K37" s="56">
        <f t="shared" si="1"/>
        <v>46339</v>
      </c>
      <c r="L37" s="53" t="s">
        <v>508</v>
      </c>
      <c r="M37" s="53" t="s">
        <v>80</v>
      </c>
      <c r="N37" s="53" t="s">
        <v>123</v>
      </c>
      <c r="O37" s="54">
        <v>20000</v>
      </c>
      <c r="P37" s="55">
        <v>41504</v>
      </c>
    </row>
    <row r="38" spans="1:16" x14ac:dyDescent="0.25">
      <c r="A38" s="40">
        <f t="shared" si="0"/>
        <v>46340</v>
      </c>
      <c r="B38" s="31" t="s">
        <v>509</v>
      </c>
      <c r="C38" s="31" t="s">
        <v>93</v>
      </c>
      <c r="D38" s="31" t="s">
        <v>74</v>
      </c>
      <c r="E38" s="32">
        <v>124353</v>
      </c>
      <c r="F38" s="39">
        <v>109163</v>
      </c>
      <c r="K38" s="56">
        <f t="shared" si="1"/>
        <v>46340</v>
      </c>
      <c r="L38" s="53" t="s">
        <v>509</v>
      </c>
      <c r="M38" s="53" t="s">
        <v>93</v>
      </c>
      <c r="N38" s="53" t="s">
        <v>74</v>
      </c>
      <c r="O38" s="54">
        <v>124353</v>
      </c>
      <c r="P38" s="55">
        <v>109163</v>
      </c>
    </row>
    <row r="39" spans="1:16" x14ac:dyDescent="0.25">
      <c r="A39" s="40">
        <f t="shared" si="0"/>
        <v>46341</v>
      </c>
      <c r="B39" s="31" t="s">
        <v>510</v>
      </c>
      <c r="C39" s="31" t="s">
        <v>185</v>
      </c>
      <c r="D39" s="31" t="s">
        <v>123</v>
      </c>
      <c r="E39" s="32">
        <v>49621</v>
      </c>
      <c r="F39" s="39">
        <v>78469</v>
      </c>
      <c r="K39" s="56">
        <f t="shared" si="1"/>
        <v>46341</v>
      </c>
      <c r="L39" s="53" t="s">
        <v>510</v>
      </c>
      <c r="M39" s="53" t="s">
        <v>185</v>
      </c>
      <c r="N39" s="53" t="s">
        <v>123</v>
      </c>
      <c r="O39" s="54">
        <v>49621</v>
      </c>
      <c r="P39" s="55">
        <v>78469</v>
      </c>
    </row>
    <row r="40" spans="1:16" x14ac:dyDescent="0.25">
      <c r="A40" s="40">
        <f t="shared" si="0"/>
        <v>46342</v>
      </c>
      <c r="B40" s="31" t="s">
        <v>511</v>
      </c>
      <c r="C40" s="31" t="s">
        <v>126</v>
      </c>
      <c r="D40" s="31" t="s">
        <v>57</v>
      </c>
      <c r="E40" s="32">
        <v>94470</v>
      </c>
      <c r="F40" s="39">
        <v>40425</v>
      </c>
      <c r="K40" s="56">
        <f t="shared" si="1"/>
        <v>46342</v>
      </c>
      <c r="L40" s="53" t="s">
        <v>511</v>
      </c>
      <c r="M40" s="53" t="s">
        <v>126</v>
      </c>
      <c r="N40" s="53" t="s">
        <v>57</v>
      </c>
      <c r="O40" s="54">
        <v>94470</v>
      </c>
      <c r="P40" s="55">
        <v>40425</v>
      </c>
    </row>
    <row r="41" spans="1:16" x14ac:dyDescent="0.25">
      <c r="A41" s="40">
        <f t="shared" si="0"/>
        <v>46343</v>
      </c>
      <c r="B41" s="31" t="s">
        <v>512</v>
      </c>
      <c r="C41" s="31" t="s">
        <v>93</v>
      </c>
      <c r="D41" s="31" t="s">
        <v>123</v>
      </c>
      <c r="E41" s="32">
        <v>100612</v>
      </c>
      <c r="F41" s="39">
        <v>139871</v>
      </c>
      <c r="K41" s="56">
        <f t="shared" si="1"/>
        <v>46343</v>
      </c>
      <c r="L41" s="53" t="s">
        <v>512</v>
      </c>
      <c r="M41" s="53" t="s">
        <v>93</v>
      </c>
      <c r="N41" s="53" t="s">
        <v>123</v>
      </c>
      <c r="O41" s="54">
        <v>100612</v>
      </c>
      <c r="P41" s="55">
        <v>139871</v>
      </c>
    </row>
    <row r="42" spans="1:16" x14ac:dyDescent="0.25">
      <c r="A42" s="40">
        <f>A41+1</f>
        <v>46344</v>
      </c>
      <c r="B42" s="31" t="s">
        <v>513</v>
      </c>
      <c r="C42" s="31" t="s">
        <v>45</v>
      </c>
      <c r="D42" s="31" t="s">
        <v>74</v>
      </c>
      <c r="E42" s="32">
        <v>149100</v>
      </c>
      <c r="F42" s="39">
        <v>121959</v>
      </c>
      <c r="K42" s="56">
        <f>K41+1</f>
        <v>46344</v>
      </c>
      <c r="L42" s="53" t="s">
        <v>513</v>
      </c>
      <c r="M42" s="53" t="s">
        <v>45</v>
      </c>
      <c r="N42" s="53" t="s">
        <v>74</v>
      </c>
      <c r="O42" s="54">
        <v>149100</v>
      </c>
      <c r="P42" s="55">
        <v>121959</v>
      </c>
    </row>
    <row r="43" spans="1:16" x14ac:dyDescent="0.25">
      <c r="A43" s="40">
        <f t="shared" si="0"/>
        <v>46345</v>
      </c>
      <c r="B43" s="31" t="s">
        <v>514</v>
      </c>
      <c r="C43" s="31" t="s">
        <v>185</v>
      </c>
      <c r="D43" s="31" t="s">
        <v>57</v>
      </c>
      <c r="E43" s="32">
        <v>55032</v>
      </c>
      <c r="F43" s="39">
        <v>89009</v>
      </c>
      <c r="K43" s="56">
        <f t="shared" si="1"/>
        <v>46345</v>
      </c>
      <c r="L43" s="53" t="s">
        <v>514</v>
      </c>
      <c r="M43" s="53" t="s">
        <v>185</v>
      </c>
      <c r="N43" s="53" t="s">
        <v>57</v>
      </c>
      <c r="O43" s="54">
        <v>55032</v>
      </c>
      <c r="P43" s="55">
        <v>89009</v>
      </c>
    </row>
    <row r="44" spans="1:16" x14ac:dyDescent="0.25">
      <c r="A44" s="40">
        <f t="shared" si="0"/>
        <v>46346</v>
      </c>
      <c r="B44" s="31" t="s">
        <v>515</v>
      </c>
      <c r="C44" s="31" t="s">
        <v>45</v>
      </c>
      <c r="D44" s="31" t="s">
        <v>74</v>
      </c>
      <c r="E44" s="32">
        <v>113504</v>
      </c>
      <c r="F44" s="39">
        <v>82487</v>
      </c>
      <c r="K44" s="56">
        <f t="shared" si="1"/>
        <v>46346</v>
      </c>
      <c r="L44" s="53" t="s">
        <v>515</v>
      </c>
      <c r="M44" s="53" t="s">
        <v>45</v>
      </c>
      <c r="N44" s="53" t="s">
        <v>74</v>
      </c>
      <c r="O44" s="54">
        <v>113504</v>
      </c>
      <c r="P44" s="55">
        <v>82487</v>
      </c>
    </row>
    <row r="45" spans="1:16" x14ac:dyDescent="0.25">
      <c r="A45" s="40">
        <f t="shared" si="0"/>
        <v>46347</v>
      </c>
      <c r="B45" s="31" t="s">
        <v>516</v>
      </c>
      <c r="C45" s="31" t="s">
        <v>126</v>
      </c>
      <c r="D45" s="31" t="s">
        <v>74</v>
      </c>
      <c r="E45" s="32">
        <v>49662</v>
      </c>
      <c r="F45" s="39">
        <v>87576</v>
      </c>
      <c r="K45" s="56">
        <f t="shared" si="1"/>
        <v>46347</v>
      </c>
      <c r="L45" s="53" t="s">
        <v>516</v>
      </c>
      <c r="M45" s="53" t="s">
        <v>126</v>
      </c>
      <c r="N45" s="53" t="s">
        <v>74</v>
      </c>
      <c r="O45" s="54">
        <v>49662</v>
      </c>
      <c r="P45" s="55">
        <v>87576</v>
      </c>
    </row>
    <row r="46" spans="1:16" x14ac:dyDescent="0.25">
      <c r="A46" s="40">
        <f t="shared" si="0"/>
        <v>46348</v>
      </c>
      <c r="B46" s="31" t="s">
        <v>517</v>
      </c>
      <c r="C46" s="31" t="s">
        <v>185</v>
      </c>
      <c r="D46" s="31" t="s">
        <v>57</v>
      </c>
      <c r="E46" s="32">
        <v>42592</v>
      </c>
      <c r="F46" s="39">
        <v>71571</v>
      </c>
      <c r="K46" s="56">
        <f t="shared" si="1"/>
        <v>46348</v>
      </c>
      <c r="L46" s="53" t="s">
        <v>517</v>
      </c>
      <c r="M46" s="53" t="s">
        <v>185</v>
      </c>
      <c r="N46" s="53" t="s">
        <v>57</v>
      </c>
      <c r="O46" s="54">
        <v>42592</v>
      </c>
      <c r="P46" s="55">
        <v>71571</v>
      </c>
    </row>
    <row r="47" spans="1:16" x14ac:dyDescent="0.25">
      <c r="A47" s="40">
        <f t="shared" si="0"/>
        <v>46349</v>
      </c>
      <c r="B47" s="31" t="s">
        <v>518</v>
      </c>
      <c r="C47" s="31" t="s">
        <v>80</v>
      </c>
      <c r="D47" s="31" t="s">
        <v>74</v>
      </c>
      <c r="E47" s="32">
        <v>46226</v>
      </c>
      <c r="F47" s="39">
        <v>135932</v>
      </c>
      <c r="K47" s="56">
        <f t="shared" si="1"/>
        <v>46349</v>
      </c>
      <c r="L47" s="53" t="s">
        <v>518</v>
      </c>
      <c r="M47" s="53" t="s">
        <v>80</v>
      </c>
      <c r="N47" s="53" t="s">
        <v>74</v>
      </c>
      <c r="O47" s="54">
        <v>46226</v>
      </c>
      <c r="P47" s="55">
        <v>135932</v>
      </c>
    </row>
    <row r="48" spans="1:16" x14ac:dyDescent="0.25">
      <c r="A48" s="40">
        <f t="shared" si="0"/>
        <v>46350</v>
      </c>
      <c r="B48" s="31" t="s">
        <v>519</v>
      </c>
      <c r="C48" s="31" t="s">
        <v>126</v>
      </c>
      <c r="D48" s="31" t="s">
        <v>74</v>
      </c>
      <c r="E48" s="32">
        <v>20000</v>
      </c>
      <c r="F48" s="39">
        <v>109822</v>
      </c>
      <c r="K48" s="56">
        <f t="shared" si="1"/>
        <v>46350</v>
      </c>
      <c r="L48" s="53" t="s">
        <v>519</v>
      </c>
      <c r="M48" s="53" t="s">
        <v>126</v>
      </c>
      <c r="N48" s="53" t="s">
        <v>74</v>
      </c>
      <c r="O48" s="54">
        <v>20000</v>
      </c>
      <c r="P48" s="55">
        <v>109822</v>
      </c>
    </row>
    <row r="49" spans="1:16" x14ac:dyDescent="0.25">
      <c r="A49" s="40">
        <f t="shared" si="0"/>
        <v>46351</v>
      </c>
      <c r="B49" s="31" t="s">
        <v>520</v>
      </c>
      <c r="C49" s="31" t="s">
        <v>45</v>
      </c>
      <c r="D49" s="31" t="s">
        <v>57</v>
      </c>
      <c r="E49" s="32">
        <v>121474</v>
      </c>
      <c r="F49" s="39">
        <v>102296</v>
      </c>
      <c r="K49" s="56">
        <f t="shared" si="1"/>
        <v>46351</v>
      </c>
      <c r="L49" s="53" t="s">
        <v>520</v>
      </c>
      <c r="M49" s="53" t="s">
        <v>45</v>
      </c>
      <c r="N49" s="53" t="s">
        <v>57</v>
      </c>
      <c r="O49" s="54">
        <v>121474</v>
      </c>
      <c r="P49" s="55">
        <v>102296</v>
      </c>
    </row>
    <row r="50" spans="1:16" x14ac:dyDescent="0.25">
      <c r="A50" s="40">
        <f t="shared" si="0"/>
        <v>46352</v>
      </c>
      <c r="B50" s="31" t="s">
        <v>521</v>
      </c>
      <c r="C50" s="31" t="s">
        <v>80</v>
      </c>
      <c r="D50" s="31" t="s">
        <v>57</v>
      </c>
      <c r="E50" s="32">
        <v>69741</v>
      </c>
      <c r="F50" s="39">
        <v>109163</v>
      </c>
      <c r="K50" s="56">
        <f t="shared" si="1"/>
        <v>46352</v>
      </c>
      <c r="L50" s="53" t="s">
        <v>521</v>
      </c>
      <c r="M50" s="53" t="s">
        <v>80</v>
      </c>
      <c r="N50" s="53" t="s">
        <v>57</v>
      </c>
      <c r="O50" s="54">
        <v>69741</v>
      </c>
      <c r="P50" s="55">
        <v>109163</v>
      </c>
    </row>
    <row r="51" spans="1:16" ht="15.75" thickBot="1" x14ac:dyDescent="0.3">
      <c r="A51" s="41">
        <f t="shared" si="0"/>
        <v>46353</v>
      </c>
      <c r="B51" s="33" t="s">
        <v>522</v>
      </c>
      <c r="C51" s="33" t="s">
        <v>80</v>
      </c>
      <c r="D51" s="33" t="s">
        <v>87</v>
      </c>
      <c r="E51" s="34">
        <v>62760</v>
      </c>
      <c r="F51" s="42">
        <v>110686</v>
      </c>
      <c r="K51" s="57">
        <f t="shared" si="1"/>
        <v>46353</v>
      </c>
      <c r="L51" s="58" t="s">
        <v>522</v>
      </c>
      <c r="M51" s="58" t="s">
        <v>80</v>
      </c>
      <c r="N51" s="58" t="s">
        <v>87</v>
      </c>
      <c r="O51" s="59">
        <v>62760</v>
      </c>
      <c r="P51" s="60">
        <v>110686</v>
      </c>
    </row>
    <row r="52" spans="1:16" x14ac:dyDescent="0.25">
      <c r="A52" s="44"/>
      <c r="B52" s="45"/>
      <c r="C52" s="45"/>
      <c r="D52" s="45"/>
      <c r="E52" s="46"/>
      <c r="F52" s="47"/>
    </row>
    <row r="53" spans="1:16" x14ac:dyDescent="0.25">
      <c r="A53" s="44"/>
      <c r="B53" s="45"/>
      <c r="C53" s="45"/>
      <c r="D53" s="45"/>
      <c r="E53" s="46"/>
      <c r="F53" s="47"/>
    </row>
    <row r="54" spans="1:16" ht="15.75" thickBot="1" x14ac:dyDescent="0.3"/>
    <row r="55" spans="1:16" ht="15.75" x14ac:dyDescent="0.25">
      <c r="A55" s="35" t="s">
        <v>469</v>
      </c>
      <c r="B55" s="36" t="s">
        <v>470</v>
      </c>
      <c r="C55" s="36" t="s">
        <v>6</v>
      </c>
      <c r="D55" s="36" t="s">
        <v>36</v>
      </c>
      <c r="E55" s="37" t="s">
        <v>471</v>
      </c>
      <c r="F55" s="38" t="s">
        <v>472</v>
      </c>
      <c r="G55" s="38" t="s">
        <v>472</v>
      </c>
    </row>
    <row r="56" spans="1:16" x14ac:dyDescent="0.25">
      <c r="A56" s="43">
        <v>46304</v>
      </c>
      <c r="B56" s="31" t="s">
        <v>473</v>
      </c>
      <c r="C56" s="31" t="s">
        <v>93</v>
      </c>
      <c r="D56" s="31" t="s">
        <v>74</v>
      </c>
      <c r="E56" s="32">
        <v>38278</v>
      </c>
      <c r="F56" s="39">
        <v>137196</v>
      </c>
      <c r="G56" s="39">
        <v>137196</v>
      </c>
    </row>
    <row r="57" spans="1:16" x14ac:dyDescent="0.25">
      <c r="A57" s="40">
        <f>A56+1</f>
        <v>46305</v>
      </c>
      <c r="B57" s="31" t="s">
        <v>474</v>
      </c>
      <c r="C57" s="31" t="s">
        <v>185</v>
      </c>
      <c r="D57" s="31" t="s">
        <v>57</v>
      </c>
      <c r="E57" s="32">
        <v>64256</v>
      </c>
      <c r="F57" s="39">
        <v>58289</v>
      </c>
      <c r="G57" s="39">
        <v>58289</v>
      </c>
    </row>
    <row r="58" spans="1:16" x14ac:dyDescent="0.25">
      <c r="A58" s="40">
        <f t="shared" ref="A58:A95" si="2">A57+1</f>
        <v>46306</v>
      </c>
      <c r="B58" s="31" t="s">
        <v>475</v>
      </c>
      <c r="C58" s="31" t="s">
        <v>93</v>
      </c>
      <c r="D58" s="31" t="s">
        <v>74</v>
      </c>
      <c r="E58" s="32">
        <v>123696</v>
      </c>
      <c r="F58" s="39">
        <v>137080</v>
      </c>
      <c r="G58" s="39">
        <v>137080</v>
      </c>
    </row>
    <row r="59" spans="1:16" x14ac:dyDescent="0.25">
      <c r="A59" s="40">
        <f t="shared" si="2"/>
        <v>46307</v>
      </c>
      <c r="B59" s="31" t="s">
        <v>476</v>
      </c>
      <c r="C59" s="31" t="s">
        <v>80</v>
      </c>
      <c r="D59" s="31" t="s">
        <v>74</v>
      </c>
      <c r="E59" s="32">
        <v>112397</v>
      </c>
      <c r="F59" s="39">
        <v>95302</v>
      </c>
      <c r="G59" s="39">
        <v>95302</v>
      </c>
    </row>
    <row r="60" spans="1:16" x14ac:dyDescent="0.25">
      <c r="A60" s="40">
        <f t="shared" si="2"/>
        <v>46308</v>
      </c>
      <c r="B60" s="31" t="s">
        <v>477</v>
      </c>
      <c r="C60" s="31" t="s">
        <v>134</v>
      </c>
      <c r="D60" s="31" t="s">
        <v>74</v>
      </c>
      <c r="E60" s="32">
        <v>47280</v>
      </c>
      <c r="F60" s="39">
        <v>68657</v>
      </c>
      <c r="G60" s="39">
        <v>68657</v>
      </c>
    </row>
    <row r="61" spans="1:16" x14ac:dyDescent="0.25">
      <c r="A61" s="40">
        <f t="shared" si="2"/>
        <v>46309</v>
      </c>
      <c r="B61" s="31" t="s">
        <v>478</v>
      </c>
      <c r="C61" s="31" t="s">
        <v>45</v>
      </c>
      <c r="D61" s="31" t="s">
        <v>74</v>
      </c>
      <c r="E61" s="32">
        <v>108563</v>
      </c>
      <c r="F61" s="39">
        <v>66062</v>
      </c>
      <c r="G61" s="39">
        <v>66062</v>
      </c>
    </row>
    <row r="62" spans="1:16" x14ac:dyDescent="0.25">
      <c r="A62" s="40">
        <f t="shared" si="2"/>
        <v>46310</v>
      </c>
      <c r="B62" s="31" t="s">
        <v>479</v>
      </c>
      <c r="C62" s="31" t="s">
        <v>93</v>
      </c>
      <c r="D62" s="31" t="s">
        <v>87</v>
      </c>
      <c r="E62" s="32">
        <v>63893</v>
      </c>
      <c r="F62" s="39">
        <v>98878</v>
      </c>
      <c r="G62" s="39">
        <v>98878</v>
      </c>
    </row>
    <row r="63" spans="1:16" x14ac:dyDescent="0.25">
      <c r="A63" s="40">
        <f t="shared" si="2"/>
        <v>46311</v>
      </c>
      <c r="B63" s="31" t="s">
        <v>480</v>
      </c>
      <c r="C63" s="31" t="s">
        <v>80</v>
      </c>
      <c r="D63" s="31" t="s">
        <v>123</v>
      </c>
      <c r="E63" s="32">
        <v>141093</v>
      </c>
      <c r="F63" s="39">
        <v>40851</v>
      </c>
      <c r="G63" s="39">
        <v>40851</v>
      </c>
    </row>
    <row r="64" spans="1:16" x14ac:dyDescent="0.25">
      <c r="A64" s="40">
        <f t="shared" si="2"/>
        <v>46312</v>
      </c>
      <c r="B64" s="31" t="s">
        <v>481</v>
      </c>
      <c r="C64" s="31" t="s">
        <v>45</v>
      </c>
      <c r="D64" s="31" t="s">
        <v>87</v>
      </c>
      <c r="E64" s="32">
        <v>79597</v>
      </c>
      <c r="F64" s="39">
        <v>76421</v>
      </c>
      <c r="G64" s="39">
        <v>76421</v>
      </c>
    </row>
    <row r="65" spans="1:7" x14ac:dyDescent="0.25">
      <c r="A65" s="40">
        <f t="shared" si="2"/>
        <v>46313</v>
      </c>
      <c r="B65" s="31" t="s">
        <v>482</v>
      </c>
      <c r="C65" s="31" t="s">
        <v>45</v>
      </c>
      <c r="D65" s="31" t="s">
        <v>57</v>
      </c>
      <c r="E65" s="32">
        <v>135072</v>
      </c>
      <c r="F65" s="39">
        <v>84118</v>
      </c>
      <c r="G65" s="39">
        <v>84118</v>
      </c>
    </row>
    <row r="66" spans="1:7" x14ac:dyDescent="0.25">
      <c r="A66" s="40">
        <f t="shared" si="2"/>
        <v>46314</v>
      </c>
      <c r="B66" s="31" t="s">
        <v>483</v>
      </c>
      <c r="C66" s="31" t="s">
        <v>134</v>
      </c>
      <c r="D66" s="31" t="s">
        <v>74</v>
      </c>
      <c r="E66" s="32">
        <v>84797</v>
      </c>
      <c r="F66" s="39">
        <v>52676</v>
      </c>
      <c r="G66" s="39">
        <v>52676</v>
      </c>
    </row>
    <row r="67" spans="1:7" x14ac:dyDescent="0.25">
      <c r="A67" s="40">
        <f t="shared" si="2"/>
        <v>46315</v>
      </c>
      <c r="B67" s="31" t="s">
        <v>484</v>
      </c>
      <c r="C67" s="31" t="s">
        <v>185</v>
      </c>
      <c r="D67" s="31" t="s">
        <v>123</v>
      </c>
      <c r="E67" s="32">
        <v>20000</v>
      </c>
      <c r="F67" s="39">
        <v>74671</v>
      </c>
      <c r="G67" s="39">
        <v>74671</v>
      </c>
    </row>
    <row r="68" spans="1:7" x14ac:dyDescent="0.25">
      <c r="A68" s="40">
        <f t="shared" si="2"/>
        <v>46316</v>
      </c>
      <c r="B68" s="31" t="s">
        <v>485</v>
      </c>
      <c r="C68" s="31" t="s">
        <v>134</v>
      </c>
      <c r="D68" s="31" t="s">
        <v>87</v>
      </c>
      <c r="E68" s="32">
        <v>105284</v>
      </c>
      <c r="F68" s="39">
        <v>56361</v>
      </c>
      <c r="G68" s="39">
        <v>56361</v>
      </c>
    </row>
    <row r="69" spans="1:7" x14ac:dyDescent="0.25">
      <c r="A69" s="40">
        <f t="shared" si="2"/>
        <v>46317</v>
      </c>
      <c r="B69" s="31" t="s">
        <v>486</v>
      </c>
      <c r="C69" s="31" t="s">
        <v>126</v>
      </c>
      <c r="D69" s="31" t="s">
        <v>74</v>
      </c>
      <c r="E69" s="32">
        <v>20000</v>
      </c>
      <c r="F69" s="39">
        <v>78427</v>
      </c>
      <c r="G69" s="39">
        <v>78427</v>
      </c>
    </row>
    <row r="70" spans="1:7" x14ac:dyDescent="0.25">
      <c r="A70" s="40">
        <f t="shared" si="2"/>
        <v>46318</v>
      </c>
      <c r="B70" s="31" t="s">
        <v>487</v>
      </c>
      <c r="C70" s="31" t="s">
        <v>93</v>
      </c>
      <c r="D70" s="31" t="s">
        <v>123</v>
      </c>
      <c r="E70" s="32">
        <v>110674</v>
      </c>
      <c r="F70" s="39">
        <v>65203</v>
      </c>
      <c r="G70" s="39">
        <v>65203</v>
      </c>
    </row>
    <row r="71" spans="1:7" x14ac:dyDescent="0.25">
      <c r="A71" s="40">
        <f t="shared" si="2"/>
        <v>46319</v>
      </c>
      <c r="B71" s="31" t="s">
        <v>488</v>
      </c>
      <c r="C71" s="31" t="s">
        <v>93</v>
      </c>
      <c r="D71" s="31" t="s">
        <v>74</v>
      </c>
      <c r="E71" s="32">
        <v>41006</v>
      </c>
      <c r="F71" s="39">
        <v>126673</v>
      </c>
      <c r="G71" s="39">
        <v>126673</v>
      </c>
    </row>
    <row r="72" spans="1:7" x14ac:dyDescent="0.25">
      <c r="A72" s="40">
        <f t="shared" si="2"/>
        <v>46320</v>
      </c>
      <c r="B72" s="31" t="s">
        <v>489</v>
      </c>
      <c r="C72" s="31" t="s">
        <v>45</v>
      </c>
      <c r="D72" s="31" t="s">
        <v>123</v>
      </c>
      <c r="E72" s="32">
        <v>45458</v>
      </c>
      <c r="F72" s="39">
        <v>70512</v>
      </c>
      <c r="G72" s="39">
        <v>70512</v>
      </c>
    </row>
    <row r="73" spans="1:7" x14ac:dyDescent="0.25">
      <c r="A73" s="40">
        <f t="shared" si="2"/>
        <v>46321</v>
      </c>
      <c r="B73" s="31" t="s">
        <v>490</v>
      </c>
      <c r="C73" s="31" t="s">
        <v>134</v>
      </c>
      <c r="D73" s="31" t="s">
        <v>87</v>
      </c>
      <c r="E73" s="32">
        <v>71434</v>
      </c>
      <c r="F73" s="39">
        <v>99429</v>
      </c>
      <c r="G73" s="39">
        <v>99429</v>
      </c>
    </row>
    <row r="74" spans="1:7" x14ac:dyDescent="0.25">
      <c r="A74" s="40">
        <f t="shared" si="2"/>
        <v>46322</v>
      </c>
      <c r="B74" s="31" t="s">
        <v>491</v>
      </c>
      <c r="C74" s="31" t="s">
        <v>93</v>
      </c>
      <c r="D74" s="31" t="s">
        <v>123</v>
      </c>
      <c r="E74" s="32">
        <v>56319</v>
      </c>
      <c r="F74" s="39">
        <v>88520</v>
      </c>
      <c r="G74" s="39">
        <v>88520</v>
      </c>
    </row>
    <row r="75" spans="1:7" x14ac:dyDescent="0.25">
      <c r="A75" s="40">
        <f t="shared" si="2"/>
        <v>46323</v>
      </c>
      <c r="B75" s="31" t="s">
        <v>492</v>
      </c>
      <c r="C75" s="31" t="s">
        <v>185</v>
      </c>
      <c r="D75" s="31" t="s">
        <v>57</v>
      </c>
      <c r="E75" s="32">
        <v>122841</v>
      </c>
      <c r="F75" s="39">
        <v>74993</v>
      </c>
      <c r="G75" s="39">
        <v>74993</v>
      </c>
    </row>
    <row r="76" spans="1:7" x14ac:dyDescent="0.25">
      <c r="A76" s="40">
        <f t="shared" si="2"/>
        <v>46324</v>
      </c>
      <c r="B76" s="31" t="s">
        <v>493</v>
      </c>
      <c r="C76" s="31" t="s">
        <v>93</v>
      </c>
      <c r="D76" s="31" t="s">
        <v>74</v>
      </c>
      <c r="E76" s="32">
        <v>114840</v>
      </c>
      <c r="F76" s="39">
        <v>123227</v>
      </c>
      <c r="G76" s="39">
        <v>123227</v>
      </c>
    </row>
    <row r="77" spans="1:7" x14ac:dyDescent="0.25">
      <c r="A77" s="40">
        <f t="shared" si="2"/>
        <v>46325</v>
      </c>
      <c r="B77" s="31" t="s">
        <v>494</v>
      </c>
      <c r="C77" s="31" t="s">
        <v>45</v>
      </c>
      <c r="D77" s="31" t="s">
        <v>57</v>
      </c>
      <c r="E77" s="32">
        <v>56417</v>
      </c>
      <c r="F77" s="39">
        <v>100589</v>
      </c>
      <c r="G77" s="39">
        <v>100589</v>
      </c>
    </row>
    <row r="78" spans="1:7" x14ac:dyDescent="0.25">
      <c r="A78" s="40">
        <f t="shared" si="2"/>
        <v>46326</v>
      </c>
      <c r="B78" s="31" t="s">
        <v>495</v>
      </c>
      <c r="C78" s="31" t="s">
        <v>126</v>
      </c>
      <c r="D78" s="31" t="s">
        <v>123</v>
      </c>
      <c r="E78" s="32">
        <v>118886</v>
      </c>
      <c r="F78" s="39">
        <v>130198</v>
      </c>
      <c r="G78" s="39">
        <v>130198</v>
      </c>
    </row>
    <row r="79" spans="1:7" x14ac:dyDescent="0.25">
      <c r="A79" s="40">
        <f t="shared" si="2"/>
        <v>46327</v>
      </c>
      <c r="B79" s="31" t="s">
        <v>496</v>
      </c>
      <c r="C79" s="31" t="s">
        <v>80</v>
      </c>
      <c r="D79" s="31" t="s">
        <v>57</v>
      </c>
      <c r="E79" s="32">
        <v>124733</v>
      </c>
      <c r="F79" s="39">
        <v>82504</v>
      </c>
      <c r="G79" s="39">
        <v>82504</v>
      </c>
    </row>
    <row r="80" spans="1:7" x14ac:dyDescent="0.25">
      <c r="A80" s="40">
        <f t="shared" si="2"/>
        <v>46328</v>
      </c>
      <c r="B80" s="31" t="s">
        <v>497</v>
      </c>
      <c r="C80" s="31" t="s">
        <v>134</v>
      </c>
      <c r="D80" s="31" t="s">
        <v>57</v>
      </c>
      <c r="E80" s="32">
        <v>142715</v>
      </c>
      <c r="F80" s="39">
        <v>44207</v>
      </c>
      <c r="G80" s="39">
        <v>44207</v>
      </c>
    </row>
    <row r="81" spans="1:7" x14ac:dyDescent="0.25">
      <c r="A81" s="40">
        <f t="shared" si="2"/>
        <v>46329</v>
      </c>
      <c r="B81" s="31" t="s">
        <v>498</v>
      </c>
      <c r="C81" s="31" t="s">
        <v>185</v>
      </c>
      <c r="D81" s="31" t="s">
        <v>87</v>
      </c>
      <c r="E81" s="32">
        <v>70093</v>
      </c>
      <c r="F81" s="39">
        <v>48675</v>
      </c>
      <c r="G81" s="39">
        <v>48675</v>
      </c>
    </row>
    <row r="82" spans="1:7" x14ac:dyDescent="0.25">
      <c r="A82" s="40">
        <f t="shared" si="2"/>
        <v>46330</v>
      </c>
      <c r="B82" s="31" t="s">
        <v>499</v>
      </c>
      <c r="C82" s="31" t="s">
        <v>45</v>
      </c>
      <c r="D82" s="31" t="s">
        <v>123</v>
      </c>
      <c r="E82" s="32">
        <v>62869</v>
      </c>
      <c r="F82" s="39">
        <v>125909</v>
      </c>
      <c r="G82" s="39">
        <v>125909</v>
      </c>
    </row>
    <row r="83" spans="1:7" x14ac:dyDescent="0.25">
      <c r="A83" s="40">
        <f t="shared" si="2"/>
        <v>46331</v>
      </c>
      <c r="B83" s="31" t="s">
        <v>500</v>
      </c>
      <c r="C83" s="31" t="s">
        <v>126</v>
      </c>
      <c r="D83" s="31" t="s">
        <v>87</v>
      </c>
      <c r="E83" s="32">
        <v>119259</v>
      </c>
      <c r="F83" s="39">
        <v>100142</v>
      </c>
      <c r="G83" s="39">
        <v>100142</v>
      </c>
    </row>
    <row r="84" spans="1:7" x14ac:dyDescent="0.25">
      <c r="A84" s="40">
        <f t="shared" si="2"/>
        <v>46332</v>
      </c>
      <c r="B84" s="31" t="s">
        <v>501</v>
      </c>
      <c r="C84" s="31" t="s">
        <v>45</v>
      </c>
      <c r="D84" s="31" t="s">
        <v>123</v>
      </c>
      <c r="E84" s="32">
        <v>53301</v>
      </c>
      <c r="F84" s="39">
        <v>72325</v>
      </c>
      <c r="G84" s="39">
        <v>72325</v>
      </c>
    </row>
    <row r="85" spans="1:7" x14ac:dyDescent="0.25">
      <c r="A85" s="40">
        <f t="shared" si="2"/>
        <v>46333</v>
      </c>
      <c r="B85" s="31" t="s">
        <v>502</v>
      </c>
      <c r="C85" s="31" t="s">
        <v>93</v>
      </c>
      <c r="D85" s="31" t="s">
        <v>123</v>
      </c>
      <c r="E85" s="32">
        <v>132912</v>
      </c>
      <c r="F85" s="39">
        <v>116622</v>
      </c>
      <c r="G85" s="39">
        <v>116622</v>
      </c>
    </row>
    <row r="86" spans="1:7" x14ac:dyDescent="0.25">
      <c r="A86" s="40">
        <f t="shared" si="2"/>
        <v>46334</v>
      </c>
      <c r="B86" s="31" t="s">
        <v>503</v>
      </c>
      <c r="C86" s="31" t="s">
        <v>126</v>
      </c>
      <c r="D86" s="31" t="s">
        <v>87</v>
      </c>
      <c r="E86" s="32">
        <v>82447</v>
      </c>
      <c r="F86" s="39">
        <v>68746</v>
      </c>
      <c r="G86" s="39">
        <v>68746</v>
      </c>
    </row>
    <row r="87" spans="1:7" x14ac:dyDescent="0.25">
      <c r="A87" s="40">
        <f t="shared" si="2"/>
        <v>46335</v>
      </c>
      <c r="B87" s="31" t="s">
        <v>504</v>
      </c>
      <c r="C87" s="31" t="s">
        <v>45</v>
      </c>
      <c r="D87" s="31" t="s">
        <v>87</v>
      </c>
      <c r="E87" s="32">
        <v>46915</v>
      </c>
      <c r="F87" s="39">
        <v>139061</v>
      </c>
      <c r="G87" s="39">
        <v>139061</v>
      </c>
    </row>
    <row r="88" spans="1:7" x14ac:dyDescent="0.25">
      <c r="A88" s="40">
        <f t="shared" si="2"/>
        <v>46336</v>
      </c>
      <c r="B88" s="31" t="s">
        <v>505</v>
      </c>
      <c r="C88" s="31" t="s">
        <v>134</v>
      </c>
      <c r="D88" s="31" t="s">
        <v>74</v>
      </c>
      <c r="E88" s="32">
        <v>55033</v>
      </c>
      <c r="F88" s="39">
        <v>122240</v>
      </c>
      <c r="G88" s="39">
        <v>122240</v>
      </c>
    </row>
    <row r="89" spans="1:7" x14ac:dyDescent="0.25">
      <c r="A89" s="40">
        <f t="shared" si="2"/>
        <v>46337</v>
      </c>
      <c r="B89" s="31" t="s">
        <v>506</v>
      </c>
      <c r="C89" s="31" t="s">
        <v>45</v>
      </c>
      <c r="D89" s="31" t="s">
        <v>87</v>
      </c>
      <c r="E89" s="32">
        <v>113172</v>
      </c>
      <c r="F89" s="39">
        <v>48326</v>
      </c>
      <c r="G89" s="39">
        <v>48326</v>
      </c>
    </row>
    <row r="90" spans="1:7" x14ac:dyDescent="0.25">
      <c r="A90" s="40">
        <f t="shared" si="2"/>
        <v>46338</v>
      </c>
      <c r="B90" s="31" t="s">
        <v>507</v>
      </c>
      <c r="C90" s="31" t="s">
        <v>126</v>
      </c>
      <c r="D90" s="31" t="s">
        <v>87</v>
      </c>
      <c r="E90" s="32">
        <v>113104</v>
      </c>
      <c r="F90" s="39">
        <v>101348</v>
      </c>
      <c r="G90" s="39">
        <v>101348</v>
      </c>
    </row>
    <row r="91" spans="1:7" x14ac:dyDescent="0.25">
      <c r="A91" s="40">
        <f t="shared" si="2"/>
        <v>46339</v>
      </c>
      <c r="B91" s="31" t="s">
        <v>508</v>
      </c>
      <c r="C91" s="31" t="s">
        <v>80</v>
      </c>
      <c r="D91" s="31" t="s">
        <v>123</v>
      </c>
      <c r="E91" s="32">
        <v>20000</v>
      </c>
      <c r="F91" s="39">
        <v>41504</v>
      </c>
      <c r="G91" s="39">
        <v>41504</v>
      </c>
    </row>
    <row r="92" spans="1:7" x14ac:dyDescent="0.25">
      <c r="A92" s="40">
        <f t="shared" si="2"/>
        <v>46340</v>
      </c>
      <c r="B92" s="31" t="s">
        <v>509</v>
      </c>
      <c r="C92" s="31" t="s">
        <v>93</v>
      </c>
      <c r="D92" s="31" t="s">
        <v>74</v>
      </c>
      <c r="E92" s="32">
        <v>124353</v>
      </c>
      <c r="F92" s="39">
        <v>109163</v>
      </c>
      <c r="G92" s="39">
        <v>109163</v>
      </c>
    </row>
    <row r="93" spans="1:7" x14ac:dyDescent="0.25">
      <c r="A93" s="40">
        <f t="shared" si="2"/>
        <v>46341</v>
      </c>
      <c r="B93" s="31" t="s">
        <v>510</v>
      </c>
      <c r="C93" s="31" t="s">
        <v>185</v>
      </c>
      <c r="D93" s="31" t="s">
        <v>123</v>
      </c>
      <c r="E93" s="32">
        <v>49621</v>
      </c>
      <c r="F93" s="39">
        <v>78469</v>
      </c>
      <c r="G93" s="39">
        <v>78469</v>
      </c>
    </row>
    <row r="94" spans="1:7" x14ac:dyDescent="0.25">
      <c r="A94" s="40">
        <f t="shared" si="2"/>
        <v>46342</v>
      </c>
      <c r="B94" s="31" t="s">
        <v>511</v>
      </c>
      <c r="C94" s="31" t="s">
        <v>126</v>
      </c>
      <c r="D94" s="31" t="s">
        <v>57</v>
      </c>
      <c r="E94" s="32">
        <v>94470</v>
      </c>
      <c r="F94" s="39">
        <v>40425</v>
      </c>
      <c r="G94" s="39">
        <v>40425</v>
      </c>
    </row>
    <row r="95" spans="1:7" x14ac:dyDescent="0.25">
      <c r="A95" s="40">
        <f t="shared" si="2"/>
        <v>46343</v>
      </c>
      <c r="B95" s="31" t="s">
        <v>512</v>
      </c>
      <c r="C95" s="31" t="s">
        <v>93</v>
      </c>
      <c r="D95" s="31" t="s">
        <v>123</v>
      </c>
      <c r="E95" s="32">
        <v>100612</v>
      </c>
      <c r="F95" s="39">
        <v>139871</v>
      </c>
      <c r="G95" s="39">
        <v>139871</v>
      </c>
    </row>
    <row r="96" spans="1:7" x14ac:dyDescent="0.25">
      <c r="A96" s="40">
        <f>A95+1</f>
        <v>46344</v>
      </c>
      <c r="B96" s="31" t="s">
        <v>513</v>
      </c>
      <c r="C96" s="31" t="s">
        <v>45</v>
      </c>
      <c r="D96" s="31" t="s">
        <v>74</v>
      </c>
      <c r="E96" s="32">
        <v>149100</v>
      </c>
      <c r="F96" s="39">
        <v>121959</v>
      </c>
      <c r="G96" s="39">
        <v>121959</v>
      </c>
    </row>
    <row r="97" spans="1:7" x14ac:dyDescent="0.25">
      <c r="A97" s="40">
        <f t="shared" ref="A97:A105" si="3">A96+1</f>
        <v>46345</v>
      </c>
      <c r="B97" s="31" t="s">
        <v>514</v>
      </c>
      <c r="C97" s="31" t="s">
        <v>185</v>
      </c>
      <c r="D97" s="31" t="s">
        <v>57</v>
      </c>
      <c r="E97" s="32">
        <v>55032</v>
      </c>
      <c r="F97" s="39">
        <v>89009</v>
      </c>
      <c r="G97" s="39">
        <v>89009</v>
      </c>
    </row>
    <row r="98" spans="1:7" x14ac:dyDescent="0.25">
      <c r="A98" s="40">
        <f t="shared" si="3"/>
        <v>46346</v>
      </c>
      <c r="B98" s="31" t="s">
        <v>515</v>
      </c>
      <c r="C98" s="31" t="s">
        <v>45</v>
      </c>
      <c r="D98" s="31" t="s">
        <v>74</v>
      </c>
      <c r="E98" s="32">
        <v>113504</v>
      </c>
      <c r="F98" s="39">
        <v>82487</v>
      </c>
      <c r="G98" s="39">
        <v>82487</v>
      </c>
    </row>
    <row r="99" spans="1:7" x14ac:dyDescent="0.25">
      <c r="A99" s="40">
        <f t="shared" si="3"/>
        <v>46347</v>
      </c>
      <c r="B99" s="31" t="s">
        <v>516</v>
      </c>
      <c r="C99" s="31" t="s">
        <v>126</v>
      </c>
      <c r="D99" s="31" t="s">
        <v>74</v>
      </c>
      <c r="E99" s="32">
        <v>49662</v>
      </c>
      <c r="F99" s="39">
        <v>87576</v>
      </c>
      <c r="G99" s="39">
        <v>87576</v>
      </c>
    </row>
    <row r="100" spans="1:7" x14ac:dyDescent="0.25">
      <c r="A100" s="40">
        <f t="shared" si="3"/>
        <v>46348</v>
      </c>
      <c r="B100" s="31" t="s">
        <v>517</v>
      </c>
      <c r="C100" s="31" t="s">
        <v>185</v>
      </c>
      <c r="D100" s="31" t="s">
        <v>57</v>
      </c>
      <c r="E100" s="32">
        <v>42592</v>
      </c>
      <c r="F100" s="39">
        <v>71571</v>
      </c>
      <c r="G100" s="39">
        <v>71571</v>
      </c>
    </row>
    <row r="101" spans="1:7" x14ac:dyDescent="0.25">
      <c r="A101" s="40">
        <f t="shared" si="3"/>
        <v>46349</v>
      </c>
      <c r="B101" s="31" t="s">
        <v>518</v>
      </c>
      <c r="C101" s="31" t="s">
        <v>80</v>
      </c>
      <c r="D101" s="31" t="s">
        <v>74</v>
      </c>
      <c r="E101" s="32">
        <v>46226</v>
      </c>
      <c r="F101" s="39">
        <v>135932</v>
      </c>
      <c r="G101" s="39">
        <v>135932</v>
      </c>
    </row>
    <row r="102" spans="1:7" x14ac:dyDescent="0.25">
      <c r="A102" s="40">
        <f t="shared" si="3"/>
        <v>46350</v>
      </c>
      <c r="B102" s="31" t="s">
        <v>519</v>
      </c>
      <c r="C102" s="31" t="s">
        <v>126</v>
      </c>
      <c r="D102" s="31" t="s">
        <v>74</v>
      </c>
      <c r="E102" s="32">
        <v>20000</v>
      </c>
      <c r="F102" s="39">
        <v>109822</v>
      </c>
      <c r="G102" s="39">
        <v>109822</v>
      </c>
    </row>
    <row r="103" spans="1:7" x14ac:dyDescent="0.25">
      <c r="A103" s="40">
        <f t="shared" si="3"/>
        <v>46351</v>
      </c>
      <c r="B103" s="31" t="s">
        <v>520</v>
      </c>
      <c r="C103" s="31" t="s">
        <v>45</v>
      </c>
      <c r="D103" s="31" t="s">
        <v>57</v>
      </c>
      <c r="E103" s="32">
        <v>121474</v>
      </c>
      <c r="F103" s="39">
        <v>102296</v>
      </c>
      <c r="G103" s="39">
        <v>102296</v>
      </c>
    </row>
    <row r="104" spans="1:7" x14ac:dyDescent="0.25">
      <c r="A104" s="40">
        <f t="shared" si="3"/>
        <v>46352</v>
      </c>
      <c r="B104" s="31" t="s">
        <v>521</v>
      </c>
      <c r="C104" s="31" t="s">
        <v>80</v>
      </c>
      <c r="D104" s="31" t="s">
        <v>57</v>
      </c>
      <c r="E104" s="32">
        <v>69741</v>
      </c>
      <c r="F104" s="39">
        <v>109163</v>
      </c>
      <c r="G104" s="39">
        <v>109163</v>
      </c>
    </row>
    <row r="105" spans="1:7" ht="15.75" thickBot="1" x14ac:dyDescent="0.3">
      <c r="A105" s="41">
        <f t="shared" si="3"/>
        <v>46353</v>
      </c>
      <c r="B105" s="33" t="s">
        <v>522</v>
      </c>
      <c r="C105" s="33" t="s">
        <v>80</v>
      </c>
      <c r="D105" s="33" t="s">
        <v>87</v>
      </c>
      <c r="E105" s="34">
        <v>62760</v>
      </c>
      <c r="F105" s="42">
        <v>110686</v>
      </c>
      <c r="G105" s="42">
        <v>110686</v>
      </c>
    </row>
  </sheetData>
  <conditionalFormatting sqref="E2:E51">
    <cfRule type="cellIs" dxfId="41" priority="44" operator="equal">
      <formula>20000</formula>
    </cfRule>
    <cfRule type="cellIs" dxfId="40" priority="45" operator="between">
      <formula>50000</formula>
      <formula>100000</formula>
    </cfRule>
    <cfRule type="cellIs" dxfId="39" priority="46" operator="between">
      <formula>"Rs. 65,984"</formula>
      <formula>"Rs. 121,395"</formula>
    </cfRule>
    <cfRule type="cellIs" dxfId="38" priority="47" operator="lessThan">
      <formula>93689</formula>
    </cfRule>
    <cfRule type="cellIs" dxfId="37" priority="48" operator="greaterThan">
      <formula>93689</formula>
    </cfRule>
    <cfRule type="cellIs" dxfId="36" priority="49" operator="greaterThan">
      <formula>"Rs. 93,689"</formula>
    </cfRule>
  </conditionalFormatting>
  <conditionalFormatting sqref="B2:B53">
    <cfRule type="containsText" dxfId="35" priority="43" operator="containsText" text="Ayesha khan">
      <formula>NOT(ISERROR(SEARCH("Ayesha khan",B2)))</formula>
    </cfRule>
  </conditionalFormatting>
  <conditionalFormatting sqref="A3:A53">
    <cfRule type="timePeriod" dxfId="34" priority="41" timePeriod="yesterday">
      <formula>FLOOR(A3,1)=TODAY()-1</formula>
    </cfRule>
    <cfRule type="timePeriod" dxfId="33" priority="42" timePeriod="yesterday">
      <formula>FLOOR(A3,1)=TODAY()-1</formula>
    </cfRule>
  </conditionalFormatting>
  <conditionalFormatting sqref="A2:A53">
    <cfRule type="timePeriod" dxfId="32" priority="38" timePeriod="nextWeek">
      <formula>AND(ROUNDDOWN(A2,0)-TODAY()&gt;(7-WEEKDAY(TODAY())),ROUNDDOWN(A2,0)-TODAY()&lt;(15-WEEKDAY(TODAY())))</formula>
    </cfRule>
    <cfRule type="timePeriod" dxfId="31" priority="39" timePeriod="yesterday">
      <formula>FLOOR(A2,1)=TODAY()-1</formula>
    </cfRule>
    <cfRule type="timePeriod" dxfId="30" priority="40" timePeriod="today">
      <formula>FLOOR(A2,1)=TODAY()</formula>
    </cfRule>
  </conditionalFormatting>
  <conditionalFormatting sqref="F2:F53">
    <cfRule type="uniqueValues" dxfId="29" priority="36"/>
    <cfRule type="duplicateValues" dxfId="28" priority="37"/>
  </conditionalFormatting>
  <conditionalFormatting sqref="E55:E105">
    <cfRule type="dataBar" priority="18">
      <dataBar>
        <cfvo type="min"/>
        <cfvo type="max"/>
        <color rgb="FF638EC6"/>
      </dataBar>
      <extLst>
        <ext xmlns:x14="http://schemas.microsoft.com/office/spreadsheetml/2009/9/main" uri="{B025F937-C7B1-47D3-B67F-A62EFF666E3E}">
          <x14:id>{7F8C0917-F716-4815-80C8-17E340D34EEB}</x14:id>
        </ext>
      </extLst>
    </cfRule>
  </conditionalFormatting>
  <conditionalFormatting sqref="F55:F105">
    <cfRule type="colorScale" priority="19">
      <colorScale>
        <cfvo type="min"/>
        <cfvo type="max"/>
        <color rgb="FFFCFCFF"/>
        <color rgb="FFF8696B"/>
      </colorScale>
    </cfRule>
    <cfRule type="colorScale" priority="20">
      <colorScale>
        <cfvo type="min"/>
        <cfvo type="percentile" val="50"/>
        <cfvo type="max"/>
        <color rgb="FF63BE7B"/>
        <color rgb="FFFFEB84"/>
        <color rgb="FFF8696B"/>
      </colorScale>
    </cfRule>
  </conditionalFormatting>
  <conditionalFormatting sqref="G55:G105">
    <cfRule type="iconSet" priority="15">
      <iconSet iconSet="3Arrows">
        <cfvo type="percent" val="0"/>
        <cfvo type="percent" val="33"/>
        <cfvo type="percent" val="67"/>
      </iconSet>
    </cfRule>
  </conditionalFormatting>
  <conditionalFormatting sqref="L1:P51">
    <cfRule type="dataBar" priority="50">
      <dataBar>
        <cfvo type="min"/>
        <cfvo type="max"/>
        <color rgb="FF638EC6"/>
      </dataBar>
      <extLst>
        <ext xmlns:x14="http://schemas.microsoft.com/office/spreadsheetml/2009/9/main" uri="{B025F937-C7B1-47D3-B67F-A62EFF666E3E}">
          <x14:id>{45A858C1-08ED-480E-8A3A-69803BBFE72D}</x14:id>
        </ext>
      </extLst>
    </cfRule>
  </conditionalFormatting>
  <conditionalFormatting sqref="L1:P51">
    <cfRule type="iconSet" priority="51">
      <iconSet>
        <cfvo type="percent" val="0"/>
        <cfvo type="percent" val="33"/>
        <cfvo type="percent" val="67"/>
      </iconSe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7F8C0917-F716-4815-80C8-17E340D34EEB}">
            <x14:dataBar minLength="0" maxLength="100" border="1" negativeBarBorderColorSameAsPositive="0">
              <x14:cfvo type="autoMin"/>
              <x14:cfvo type="autoMax"/>
              <x14:borderColor rgb="FF638EC6"/>
              <x14:negativeFillColor rgb="FFFF0000"/>
              <x14:negativeBorderColor rgb="FFFF0000"/>
              <x14:axisColor rgb="FF000000"/>
            </x14:dataBar>
          </x14:cfRule>
          <xm:sqref>E55:E105</xm:sqref>
        </x14:conditionalFormatting>
        <x14:conditionalFormatting xmlns:xm="http://schemas.microsoft.com/office/excel/2006/main">
          <x14:cfRule type="dataBar" id="{45A858C1-08ED-480E-8A3A-69803BBFE72D}">
            <x14:dataBar minLength="0" maxLength="100" negativeBarColorSameAsPositive="1" axisPosition="none">
              <x14:cfvo type="min"/>
              <x14:cfvo type="max"/>
            </x14:dataBar>
          </x14:cfRule>
          <xm:sqref>L1:P51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5CE7-5595-4350-96E0-F8F4BB758022}">
  <dimension ref="A1:F38"/>
  <sheetViews>
    <sheetView zoomScale="70" zoomScaleNormal="70" workbookViewId="0">
      <selection activeCell="P40" sqref="P40"/>
    </sheetView>
  </sheetViews>
  <sheetFormatPr defaultRowHeight="15" x14ac:dyDescent="0.25"/>
  <cols>
    <col min="1" max="1" width="12.42578125" bestFit="1" customWidth="1"/>
    <col min="2" max="2" width="23.42578125" bestFit="1" customWidth="1"/>
    <col min="3" max="3" width="19.5703125" bestFit="1" customWidth="1"/>
    <col min="4" max="4" width="14.42578125" bestFit="1" customWidth="1"/>
    <col min="5" max="5" width="16.85546875" style="76" bestFit="1" customWidth="1"/>
    <col min="6" max="6" width="18.140625" bestFit="1" customWidth="1"/>
  </cols>
  <sheetData>
    <row r="1" spans="1:6" ht="15.75" x14ac:dyDescent="0.25">
      <c r="A1" s="68" t="s">
        <v>469</v>
      </c>
      <c r="B1" s="69" t="s">
        <v>470</v>
      </c>
      <c r="C1" s="69" t="s">
        <v>6</v>
      </c>
      <c r="D1" s="69" t="s">
        <v>36</v>
      </c>
      <c r="E1" s="77" t="s">
        <v>471</v>
      </c>
      <c r="F1" s="78" t="s">
        <v>472</v>
      </c>
    </row>
    <row r="2" spans="1:6" x14ac:dyDescent="0.25">
      <c r="A2" s="72">
        <v>46340</v>
      </c>
      <c r="B2" s="71" t="s">
        <v>509</v>
      </c>
      <c r="C2" s="71" t="s">
        <v>93</v>
      </c>
      <c r="D2" s="71" t="s">
        <v>74</v>
      </c>
      <c r="E2" s="75">
        <v>124353</v>
      </c>
      <c r="F2" s="79">
        <v>109163</v>
      </c>
    </row>
    <row r="3" spans="1:6" x14ac:dyDescent="0.25">
      <c r="A3" s="72">
        <v>46322</v>
      </c>
      <c r="B3" s="74" t="s">
        <v>491</v>
      </c>
      <c r="C3" s="71" t="s">
        <v>93</v>
      </c>
      <c r="D3" s="71" t="s">
        <v>123</v>
      </c>
      <c r="E3" s="75">
        <v>56319</v>
      </c>
      <c r="F3" s="79">
        <v>88520</v>
      </c>
    </row>
    <row r="4" spans="1:6" x14ac:dyDescent="0.25">
      <c r="A4" s="72">
        <v>46319</v>
      </c>
      <c r="B4" s="71" t="s">
        <v>488</v>
      </c>
      <c r="C4" s="71" t="s">
        <v>93</v>
      </c>
      <c r="D4" s="71" t="s">
        <v>74</v>
      </c>
      <c r="E4" s="75">
        <v>41006</v>
      </c>
      <c r="F4" s="79">
        <v>126673</v>
      </c>
    </row>
    <row r="5" spans="1:6" x14ac:dyDescent="0.25">
      <c r="A5" s="72">
        <v>46333</v>
      </c>
      <c r="B5" s="71" t="s">
        <v>502</v>
      </c>
      <c r="C5" s="71" t="s">
        <v>93</v>
      </c>
      <c r="D5" s="71" t="s">
        <v>123</v>
      </c>
      <c r="E5" s="75">
        <v>132912</v>
      </c>
      <c r="F5" s="79">
        <v>116622</v>
      </c>
    </row>
    <row r="6" spans="1:6" x14ac:dyDescent="0.25">
      <c r="A6" s="72">
        <v>46275</v>
      </c>
      <c r="B6" s="74" t="s">
        <v>473</v>
      </c>
      <c r="C6" s="71" t="s">
        <v>93</v>
      </c>
      <c r="D6" s="71" t="s">
        <v>74</v>
      </c>
      <c r="E6" s="75">
        <v>38278</v>
      </c>
      <c r="F6" s="79">
        <v>137196</v>
      </c>
    </row>
    <row r="7" spans="1:6" x14ac:dyDescent="0.25">
      <c r="A7" s="72">
        <v>46306</v>
      </c>
      <c r="B7" s="71" t="s">
        <v>475</v>
      </c>
      <c r="C7" s="71" t="s">
        <v>93</v>
      </c>
      <c r="D7" s="71" t="s">
        <v>74</v>
      </c>
      <c r="E7" s="75">
        <v>123696</v>
      </c>
      <c r="F7" s="79">
        <v>137080</v>
      </c>
    </row>
    <row r="8" spans="1:6" x14ac:dyDescent="0.25">
      <c r="A8" s="72">
        <v>46324</v>
      </c>
      <c r="B8" s="71" t="s">
        <v>493</v>
      </c>
      <c r="C8" s="71" t="s">
        <v>93</v>
      </c>
      <c r="D8" s="71" t="s">
        <v>74</v>
      </c>
      <c r="E8" s="75">
        <v>114840</v>
      </c>
      <c r="F8" s="79">
        <v>123227</v>
      </c>
    </row>
    <row r="9" spans="1:6" x14ac:dyDescent="0.25">
      <c r="A9" s="72">
        <v>46318</v>
      </c>
      <c r="B9" s="71" t="s">
        <v>487</v>
      </c>
      <c r="C9" s="71" t="s">
        <v>93</v>
      </c>
      <c r="D9" s="71" t="s">
        <v>123</v>
      </c>
      <c r="E9" s="75">
        <v>110674</v>
      </c>
      <c r="F9" s="79">
        <v>65203</v>
      </c>
    </row>
    <row r="10" spans="1:6" x14ac:dyDescent="0.25">
      <c r="A10" s="72">
        <v>46310</v>
      </c>
      <c r="B10" s="71" t="s">
        <v>479</v>
      </c>
      <c r="C10" s="71" t="s">
        <v>93</v>
      </c>
      <c r="D10" s="71" t="s">
        <v>87</v>
      </c>
      <c r="E10" s="75">
        <v>63893</v>
      </c>
      <c r="F10" s="79">
        <v>98878</v>
      </c>
    </row>
    <row r="11" spans="1:6" x14ac:dyDescent="0.25">
      <c r="A11" s="72">
        <v>46307</v>
      </c>
      <c r="B11" s="71" t="s">
        <v>476</v>
      </c>
      <c r="C11" s="71" t="s">
        <v>80</v>
      </c>
      <c r="D11" s="71" t="s">
        <v>74</v>
      </c>
      <c r="E11" s="75">
        <v>112397</v>
      </c>
      <c r="F11" s="79">
        <v>95302</v>
      </c>
    </row>
    <row r="12" spans="1:6" x14ac:dyDescent="0.25">
      <c r="A12" s="72">
        <v>46339</v>
      </c>
      <c r="B12" s="71" t="s">
        <v>508</v>
      </c>
      <c r="C12" s="71" t="s">
        <v>80</v>
      </c>
      <c r="D12" s="71" t="s">
        <v>123</v>
      </c>
      <c r="E12" s="75">
        <v>20000</v>
      </c>
      <c r="F12" s="79">
        <v>41504</v>
      </c>
    </row>
    <row r="13" spans="1:6" x14ac:dyDescent="0.25">
      <c r="A13" s="72">
        <v>46327</v>
      </c>
      <c r="B13" s="73" t="s">
        <v>496</v>
      </c>
      <c r="C13" s="71" t="s">
        <v>80</v>
      </c>
      <c r="D13" s="71" t="s">
        <v>57</v>
      </c>
      <c r="E13" s="75">
        <v>124733</v>
      </c>
      <c r="F13" s="79">
        <v>82504</v>
      </c>
    </row>
    <row r="14" spans="1:6" x14ac:dyDescent="0.25">
      <c r="A14" s="72">
        <v>46311</v>
      </c>
      <c r="B14" s="71" t="s">
        <v>480</v>
      </c>
      <c r="C14" s="71" t="s">
        <v>80</v>
      </c>
      <c r="D14" s="71" t="s">
        <v>123</v>
      </c>
      <c r="E14" s="75">
        <v>141093</v>
      </c>
      <c r="F14" s="79">
        <v>40851</v>
      </c>
    </row>
    <row r="15" spans="1:6" x14ac:dyDescent="0.25">
      <c r="A15" s="72">
        <v>46312</v>
      </c>
      <c r="B15" s="74" t="s">
        <v>481</v>
      </c>
      <c r="C15" s="71" t="s">
        <v>45</v>
      </c>
      <c r="D15" s="71" t="s">
        <v>87</v>
      </c>
      <c r="E15" s="75">
        <v>79597</v>
      </c>
      <c r="F15" s="79">
        <v>76421</v>
      </c>
    </row>
    <row r="16" spans="1:6" x14ac:dyDescent="0.25">
      <c r="A16" s="72">
        <v>46320</v>
      </c>
      <c r="B16" s="71" t="s">
        <v>489</v>
      </c>
      <c r="C16" s="71" t="s">
        <v>45</v>
      </c>
      <c r="D16" s="71" t="s">
        <v>123</v>
      </c>
      <c r="E16" s="75">
        <v>45458</v>
      </c>
      <c r="F16" s="79">
        <v>70512</v>
      </c>
    </row>
    <row r="17" spans="1:6" x14ac:dyDescent="0.25">
      <c r="A17" s="72">
        <v>46335</v>
      </c>
      <c r="B17" s="71" t="s">
        <v>504</v>
      </c>
      <c r="C17" s="71" t="s">
        <v>45</v>
      </c>
      <c r="D17" s="71" t="s">
        <v>87</v>
      </c>
      <c r="E17" s="75">
        <v>46915</v>
      </c>
      <c r="F17" s="79">
        <v>139061</v>
      </c>
    </row>
    <row r="18" spans="1:6" x14ac:dyDescent="0.25">
      <c r="A18" s="72">
        <v>46325</v>
      </c>
      <c r="B18" s="73" t="s">
        <v>494</v>
      </c>
      <c r="C18" s="71" t="s">
        <v>45</v>
      </c>
      <c r="D18" s="71" t="s">
        <v>57</v>
      </c>
      <c r="E18" s="75">
        <v>56417</v>
      </c>
      <c r="F18" s="79">
        <v>100589</v>
      </c>
    </row>
    <row r="19" spans="1:6" x14ac:dyDescent="0.25">
      <c r="A19" s="72">
        <v>46313</v>
      </c>
      <c r="B19" s="71" t="s">
        <v>482</v>
      </c>
      <c r="C19" s="71" t="s">
        <v>45</v>
      </c>
      <c r="D19" s="71" t="s">
        <v>57</v>
      </c>
      <c r="E19" s="75">
        <v>135072</v>
      </c>
      <c r="F19" s="79">
        <v>84118</v>
      </c>
    </row>
    <row r="20" spans="1:6" x14ac:dyDescent="0.25">
      <c r="A20" s="72">
        <v>46337</v>
      </c>
      <c r="B20" s="71" t="s">
        <v>506</v>
      </c>
      <c r="C20" s="71" t="s">
        <v>45</v>
      </c>
      <c r="D20" s="71" t="s">
        <v>87</v>
      </c>
      <c r="E20" s="75">
        <v>113172</v>
      </c>
      <c r="F20" s="79">
        <v>48326</v>
      </c>
    </row>
    <row r="21" spans="1:6" x14ac:dyDescent="0.25">
      <c r="A21" s="70">
        <v>46309</v>
      </c>
      <c r="B21" s="71" t="s">
        <v>478</v>
      </c>
      <c r="C21" s="71" t="s">
        <v>45</v>
      </c>
      <c r="D21" s="71" t="s">
        <v>74</v>
      </c>
      <c r="E21" s="75">
        <v>108563</v>
      </c>
      <c r="F21" s="79">
        <v>66062</v>
      </c>
    </row>
    <row r="22" spans="1:6" x14ac:dyDescent="0.25">
      <c r="A22" s="72">
        <v>46332</v>
      </c>
      <c r="B22" s="71" t="s">
        <v>501</v>
      </c>
      <c r="C22" s="71" t="s">
        <v>45</v>
      </c>
      <c r="D22" s="71" t="s">
        <v>123</v>
      </c>
      <c r="E22" s="75">
        <v>53301</v>
      </c>
      <c r="F22" s="79">
        <v>72325</v>
      </c>
    </row>
    <row r="23" spans="1:6" x14ac:dyDescent="0.25">
      <c r="A23" s="72">
        <v>46330</v>
      </c>
      <c r="B23" s="71" t="s">
        <v>499</v>
      </c>
      <c r="C23" s="71" t="s">
        <v>45</v>
      </c>
      <c r="D23" s="71" t="s">
        <v>123</v>
      </c>
      <c r="E23" s="75">
        <v>62869</v>
      </c>
      <c r="F23" s="79">
        <v>125909</v>
      </c>
    </row>
    <row r="24" spans="1:6" x14ac:dyDescent="0.25">
      <c r="A24" s="72">
        <v>46305</v>
      </c>
      <c r="B24" s="73" t="s">
        <v>474</v>
      </c>
      <c r="C24" s="71" t="s">
        <v>185</v>
      </c>
      <c r="D24" s="71" t="s">
        <v>57</v>
      </c>
      <c r="E24" s="75">
        <v>64256</v>
      </c>
      <c r="F24" s="79">
        <v>58289</v>
      </c>
    </row>
    <row r="25" spans="1:6" x14ac:dyDescent="0.25">
      <c r="A25" s="72">
        <v>46315</v>
      </c>
      <c r="B25" s="71" t="s">
        <v>484</v>
      </c>
      <c r="C25" s="71" t="s">
        <v>185</v>
      </c>
      <c r="D25" s="71" t="s">
        <v>123</v>
      </c>
      <c r="E25" s="75">
        <v>20000</v>
      </c>
      <c r="F25" s="79">
        <v>74671</v>
      </c>
    </row>
    <row r="26" spans="1:6" x14ac:dyDescent="0.25">
      <c r="A26" s="72">
        <v>46323</v>
      </c>
      <c r="B26" s="71" t="s">
        <v>492</v>
      </c>
      <c r="C26" s="71" t="s">
        <v>185</v>
      </c>
      <c r="D26" s="71" t="s">
        <v>57</v>
      </c>
      <c r="E26" s="75">
        <v>122841</v>
      </c>
      <c r="F26" s="79">
        <v>74993</v>
      </c>
    </row>
    <row r="27" spans="1:6" x14ac:dyDescent="0.25">
      <c r="A27" s="72">
        <v>46329</v>
      </c>
      <c r="B27" s="74" t="s">
        <v>498</v>
      </c>
      <c r="C27" s="71" t="s">
        <v>185</v>
      </c>
      <c r="D27" s="71" t="s">
        <v>87</v>
      </c>
      <c r="E27" s="75">
        <v>70093</v>
      </c>
      <c r="F27" s="79">
        <v>48675</v>
      </c>
    </row>
    <row r="28" spans="1:6" x14ac:dyDescent="0.25">
      <c r="A28" s="72">
        <v>46331</v>
      </c>
      <c r="B28" s="71" t="s">
        <v>500</v>
      </c>
      <c r="C28" s="71" t="s">
        <v>126</v>
      </c>
      <c r="D28" s="71" t="s">
        <v>87</v>
      </c>
      <c r="E28" s="75">
        <v>119259</v>
      </c>
      <c r="F28" s="79">
        <v>100142</v>
      </c>
    </row>
    <row r="29" spans="1:6" x14ac:dyDescent="0.25">
      <c r="A29" s="72">
        <v>46338</v>
      </c>
      <c r="B29" s="71" t="s">
        <v>507</v>
      </c>
      <c r="C29" s="71" t="s">
        <v>126</v>
      </c>
      <c r="D29" s="71" t="s">
        <v>87</v>
      </c>
      <c r="E29" s="75">
        <v>113104</v>
      </c>
      <c r="F29" s="79">
        <v>101348</v>
      </c>
    </row>
    <row r="30" spans="1:6" x14ac:dyDescent="0.25">
      <c r="A30" s="72">
        <v>46317</v>
      </c>
      <c r="B30" s="71" t="s">
        <v>486</v>
      </c>
      <c r="C30" s="71" t="s">
        <v>126</v>
      </c>
      <c r="D30" s="71" t="s">
        <v>74</v>
      </c>
      <c r="E30" s="75">
        <v>20000</v>
      </c>
      <c r="F30" s="79">
        <v>78427</v>
      </c>
    </row>
    <row r="31" spans="1:6" x14ac:dyDescent="0.25">
      <c r="A31" s="72">
        <v>46334</v>
      </c>
      <c r="B31" s="71" t="s">
        <v>503</v>
      </c>
      <c r="C31" s="71" t="s">
        <v>126</v>
      </c>
      <c r="D31" s="71" t="s">
        <v>87</v>
      </c>
      <c r="E31" s="75">
        <v>82447</v>
      </c>
      <c r="F31" s="79">
        <v>68746</v>
      </c>
    </row>
    <row r="32" spans="1:6" x14ac:dyDescent="0.25">
      <c r="A32" s="72">
        <v>46326</v>
      </c>
      <c r="B32" s="73" t="s">
        <v>495</v>
      </c>
      <c r="C32" s="71" t="s">
        <v>126</v>
      </c>
      <c r="D32" s="71" t="s">
        <v>123</v>
      </c>
      <c r="E32" s="75">
        <v>118886</v>
      </c>
      <c r="F32" s="79">
        <v>130198</v>
      </c>
    </row>
    <row r="33" spans="1:6" x14ac:dyDescent="0.25">
      <c r="A33" s="72">
        <v>46316</v>
      </c>
      <c r="B33" s="71" t="s">
        <v>485</v>
      </c>
      <c r="C33" s="71" t="s">
        <v>134</v>
      </c>
      <c r="D33" s="71" t="s">
        <v>87</v>
      </c>
      <c r="E33" s="75">
        <v>105284</v>
      </c>
      <c r="F33" s="79">
        <v>56361</v>
      </c>
    </row>
    <row r="34" spans="1:6" x14ac:dyDescent="0.25">
      <c r="A34" s="72">
        <v>46328</v>
      </c>
      <c r="B34" s="71" t="s">
        <v>497</v>
      </c>
      <c r="C34" s="71" t="s">
        <v>134</v>
      </c>
      <c r="D34" s="71" t="s">
        <v>57</v>
      </c>
      <c r="E34" s="75">
        <v>142715</v>
      </c>
      <c r="F34" s="79">
        <v>44207</v>
      </c>
    </row>
    <row r="35" spans="1:6" x14ac:dyDescent="0.25">
      <c r="A35" s="72">
        <v>46314</v>
      </c>
      <c r="B35" s="73" t="s">
        <v>483</v>
      </c>
      <c r="C35" s="71" t="s">
        <v>134</v>
      </c>
      <c r="D35" s="71" t="s">
        <v>74</v>
      </c>
      <c r="E35" s="75">
        <v>84797</v>
      </c>
      <c r="F35" s="79">
        <v>52676</v>
      </c>
    </row>
    <row r="36" spans="1:6" x14ac:dyDescent="0.25">
      <c r="A36" s="72">
        <v>46308</v>
      </c>
      <c r="B36" s="71" t="s">
        <v>477</v>
      </c>
      <c r="C36" s="71" t="s">
        <v>134</v>
      </c>
      <c r="D36" s="71" t="s">
        <v>74</v>
      </c>
      <c r="E36" s="75">
        <v>47280</v>
      </c>
      <c r="F36" s="79">
        <v>68657</v>
      </c>
    </row>
    <row r="37" spans="1:6" x14ac:dyDescent="0.25">
      <c r="A37" s="72">
        <v>46321</v>
      </c>
      <c r="B37" s="71" t="s">
        <v>490</v>
      </c>
      <c r="C37" s="71" t="s">
        <v>134</v>
      </c>
      <c r="D37" s="71" t="s">
        <v>87</v>
      </c>
      <c r="E37" s="75">
        <v>71434</v>
      </c>
      <c r="F37" s="79">
        <v>99429</v>
      </c>
    </row>
    <row r="38" spans="1:6" x14ac:dyDescent="0.25">
      <c r="A38" s="72">
        <v>46336</v>
      </c>
      <c r="B38" s="71" t="s">
        <v>505</v>
      </c>
      <c r="C38" s="71" t="s">
        <v>134</v>
      </c>
      <c r="D38" s="71" t="s">
        <v>74</v>
      </c>
      <c r="E38" s="75">
        <v>55033</v>
      </c>
      <c r="F38" s="79">
        <v>122240</v>
      </c>
    </row>
  </sheetData>
  <autoFilter ref="A1:F38" xr:uid="{0A195CE7-5595-4350-96E0-F8F4BB758022}">
    <sortState xmlns:xlrd2="http://schemas.microsoft.com/office/spreadsheetml/2017/richdata2" ref="A2:F38">
      <sortCondition descending="1" ref="C2:C38" customList="finance,hr,marketing,sales"/>
    </sortState>
  </autoFilter>
  <sortState xmlns:xlrd2="http://schemas.microsoft.com/office/spreadsheetml/2017/richdata2" ref="A2:F40">
    <sortCondition ref="B2:B40" customList="HR,Marketing,Sales,IT,Operations"/>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F3C7-EE6B-4068-8E40-038489F16F3F}">
  <dimension ref="A1:F39"/>
  <sheetViews>
    <sheetView zoomScale="85" zoomScaleNormal="85" workbookViewId="0">
      <selection activeCell="H14" sqref="H14"/>
    </sheetView>
  </sheetViews>
  <sheetFormatPr defaultRowHeight="15" x14ac:dyDescent="0.25"/>
  <cols>
    <col min="1" max="1" width="9.28515625" bestFit="1" customWidth="1"/>
    <col min="2" max="2" width="19" customWidth="1"/>
    <col min="3" max="3" width="15" customWidth="1"/>
    <col min="4" max="4" width="9.85546875" customWidth="1"/>
    <col min="5" max="5" width="12.7109375" customWidth="1"/>
    <col min="6" max="6" width="14.140625" customWidth="1"/>
  </cols>
  <sheetData>
    <row r="1" spans="1:6" ht="15.75" x14ac:dyDescent="0.25">
      <c r="A1" s="82" t="s">
        <v>469</v>
      </c>
      <c r="B1" s="83" t="s">
        <v>470</v>
      </c>
      <c r="C1" s="83" t="s">
        <v>6</v>
      </c>
      <c r="D1" s="83" t="s">
        <v>36</v>
      </c>
      <c r="E1" s="82" t="s">
        <v>471</v>
      </c>
      <c r="F1" s="84" t="s">
        <v>472</v>
      </c>
    </row>
    <row r="2" spans="1:6" x14ac:dyDescent="0.25">
      <c r="A2" s="80">
        <v>46340</v>
      </c>
      <c r="B2" s="80" t="s">
        <v>509</v>
      </c>
      <c r="C2" s="80" t="s">
        <v>93</v>
      </c>
      <c r="D2" s="80" t="s">
        <v>74</v>
      </c>
      <c r="E2" s="80">
        <v>124353</v>
      </c>
      <c r="F2" s="81">
        <v>109163</v>
      </c>
    </row>
    <row r="3" spans="1:6" x14ac:dyDescent="0.25">
      <c r="A3" s="80">
        <v>46322</v>
      </c>
      <c r="B3" s="80" t="s">
        <v>491</v>
      </c>
      <c r="C3" s="80" t="s">
        <v>93</v>
      </c>
      <c r="D3" s="80" t="s">
        <v>123</v>
      </c>
      <c r="E3" s="80">
        <v>56319</v>
      </c>
      <c r="F3" s="81">
        <v>88520</v>
      </c>
    </row>
    <row r="4" spans="1:6" x14ac:dyDescent="0.25">
      <c r="A4" s="80">
        <v>46319</v>
      </c>
      <c r="B4" s="80" t="s">
        <v>488</v>
      </c>
      <c r="C4" s="80" t="s">
        <v>93</v>
      </c>
      <c r="D4" s="80" t="s">
        <v>74</v>
      </c>
      <c r="E4" s="80">
        <v>41006</v>
      </c>
      <c r="F4" s="81">
        <v>126673</v>
      </c>
    </row>
    <row r="5" spans="1:6" x14ac:dyDescent="0.25">
      <c r="A5" s="80">
        <v>46333</v>
      </c>
      <c r="B5" s="80" t="s">
        <v>502</v>
      </c>
      <c r="C5" s="80" t="s">
        <v>93</v>
      </c>
      <c r="D5" s="80" t="s">
        <v>123</v>
      </c>
      <c r="E5" s="80">
        <v>132912</v>
      </c>
      <c r="F5" s="81">
        <v>116622</v>
      </c>
    </row>
    <row r="6" spans="1:6" x14ac:dyDescent="0.25">
      <c r="A6" s="80">
        <v>46275</v>
      </c>
      <c r="B6" s="80" t="s">
        <v>473</v>
      </c>
      <c r="C6" s="80" t="s">
        <v>93</v>
      </c>
      <c r="D6" s="80" t="s">
        <v>74</v>
      </c>
      <c r="E6" s="80">
        <v>38278</v>
      </c>
      <c r="F6" s="81">
        <v>137196</v>
      </c>
    </row>
    <row r="7" spans="1:6" x14ac:dyDescent="0.25">
      <c r="A7" s="80">
        <v>46306</v>
      </c>
      <c r="B7" s="80" t="s">
        <v>475</v>
      </c>
      <c r="C7" s="80" t="s">
        <v>93</v>
      </c>
      <c r="D7" s="80" t="s">
        <v>74</v>
      </c>
      <c r="E7" s="80">
        <v>123696</v>
      </c>
      <c r="F7" s="81">
        <v>137080</v>
      </c>
    </row>
    <row r="8" spans="1:6" x14ac:dyDescent="0.25">
      <c r="A8" s="80">
        <v>46324</v>
      </c>
      <c r="B8" s="80" t="s">
        <v>493</v>
      </c>
      <c r="C8" s="80" t="s">
        <v>93</v>
      </c>
      <c r="D8" s="80" t="s">
        <v>74</v>
      </c>
      <c r="E8" s="80">
        <v>114840</v>
      </c>
      <c r="F8" s="81">
        <v>123227</v>
      </c>
    </row>
    <row r="9" spans="1:6" x14ac:dyDescent="0.25">
      <c r="A9" s="80">
        <v>46318</v>
      </c>
      <c r="B9" s="80" t="s">
        <v>487</v>
      </c>
      <c r="C9" s="80" t="s">
        <v>93</v>
      </c>
      <c r="D9" s="80" t="s">
        <v>123</v>
      </c>
      <c r="E9" s="80">
        <v>110674</v>
      </c>
      <c r="F9" s="81">
        <v>65203</v>
      </c>
    </row>
    <row r="10" spans="1:6" x14ac:dyDescent="0.25">
      <c r="A10" s="80">
        <v>46310</v>
      </c>
      <c r="B10" s="80" t="s">
        <v>479</v>
      </c>
      <c r="C10" s="80" t="s">
        <v>93</v>
      </c>
      <c r="D10" s="80" t="s">
        <v>87</v>
      </c>
      <c r="E10" s="80">
        <v>63893</v>
      </c>
      <c r="F10" s="81">
        <v>98878</v>
      </c>
    </row>
    <row r="11" spans="1:6" x14ac:dyDescent="0.25">
      <c r="A11" s="80">
        <v>46307</v>
      </c>
      <c r="B11" s="80" t="s">
        <v>476</v>
      </c>
      <c r="C11" s="80" t="s">
        <v>80</v>
      </c>
      <c r="D11" s="80" t="s">
        <v>74</v>
      </c>
      <c r="E11" s="80">
        <v>112397</v>
      </c>
      <c r="F11" s="81">
        <v>95302</v>
      </c>
    </row>
    <row r="12" spans="1:6" x14ac:dyDescent="0.25">
      <c r="A12" s="80">
        <v>46339</v>
      </c>
      <c r="B12" s="80" t="s">
        <v>508</v>
      </c>
      <c r="C12" s="80" t="s">
        <v>80</v>
      </c>
      <c r="D12" s="80" t="s">
        <v>123</v>
      </c>
      <c r="E12" s="80">
        <v>20000</v>
      </c>
      <c r="F12" s="81">
        <v>41504</v>
      </c>
    </row>
    <row r="13" spans="1:6" x14ac:dyDescent="0.25">
      <c r="A13" s="80">
        <v>46327</v>
      </c>
      <c r="B13" s="80" t="s">
        <v>496</v>
      </c>
      <c r="C13" s="80" t="s">
        <v>80</v>
      </c>
      <c r="D13" s="80" t="s">
        <v>57</v>
      </c>
      <c r="E13" s="80">
        <v>124733</v>
      </c>
      <c r="F13" s="81">
        <v>82504</v>
      </c>
    </row>
    <row r="14" spans="1:6" x14ac:dyDescent="0.25">
      <c r="A14" s="80">
        <v>46311</v>
      </c>
      <c r="B14" s="80" t="s">
        <v>480</v>
      </c>
      <c r="C14" s="80" t="s">
        <v>80</v>
      </c>
      <c r="D14" s="80" t="s">
        <v>123</v>
      </c>
      <c r="E14" s="80">
        <v>141093</v>
      </c>
      <c r="F14" s="81">
        <v>40851</v>
      </c>
    </row>
    <row r="15" spans="1:6" x14ac:dyDescent="0.25">
      <c r="A15" s="80">
        <v>46312</v>
      </c>
      <c r="B15" s="80" t="s">
        <v>481</v>
      </c>
      <c r="C15" s="80" t="s">
        <v>45</v>
      </c>
      <c r="D15" s="80" t="s">
        <v>87</v>
      </c>
      <c r="E15" s="80">
        <v>79597</v>
      </c>
      <c r="F15" s="81">
        <v>76421</v>
      </c>
    </row>
    <row r="16" spans="1:6" x14ac:dyDescent="0.25">
      <c r="A16" s="80">
        <v>46320</v>
      </c>
      <c r="B16" s="80" t="s">
        <v>489</v>
      </c>
      <c r="C16" s="80" t="s">
        <v>45</v>
      </c>
      <c r="D16" s="80" t="s">
        <v>123</v>
      </c>
      <c r="E16" s="80">
        <v>45458</v>
      </c>
      <c r="F16" s="81">
        <v>70512</v>
      </c>
    </row>
    <row r="17" spans="1:6" x14ac:dyDescent="0.25">
      <c r="A17" s="80">
        <v>46335</v>
      </c>
      <c r="B17" s="80" t="s">
        <v>504</v>
      </c>
      <c r="C17" s="80" t="s">
        <v>45</v>
      </c>
      <c r="D17" s="80" t="s">
        <v>87</v>
      </c>
      <c r="E17" s="80">
        <v>46915</v>
      </c>
      <c r="F17" s="81">
        <v>139061</v>
      </c>
    </row>
    <row r="18" spans="1:6" x14ac:dyDescent="0.25">
      <c r="A18" s="80">
        <v>46325</v>
      </c>
      <c r="B18" s="80" t="s">
        <v>494</v>
      </c>
      <c r="C18" s="80" t="s">
        <v>45</v>
      </c>
      <c r="D18" s="80" t="s">
        <v>57</v>
      </c>
      <c r="E18" s="80">
        <v>56417</v>
      </c>
      <c r="F18" s="81">
        <v>100589</v>
      </c>
    </row>
    <row r="19" spans="1:6" x14ac:dyDescent="0.25">
      <c r="A19" s="80">
        <v>46313</v>
      </c>
      <c r="B19" s="80" t="s">
        <v>482</v>
      </c>
      <c r="C19" s="80" t="s">
        <v>45</v>
      </c>
      <c r="D19" s="80" t="s">
        <v>57</v>
      </c>
      <c r="E19" s="80">
        <v>135072</v>
      </c>
      <c r="F19" s="81">
        <v>84118</v>
      </c>
    </row>
    <row r="20" spans="1:6" x14ac:dyDescent="0.25">
      <c r="A20" s="80">
        <v>46337</v>
      </c>
      <c r="B20" s="80" t="s">
        <v>506</v>
      </c>
      <c r="C20" s="80" t="s">
        <v>45</v>
      </c>
      <c r="D20" s="80" t="s">
        <v>87</v>
      </c>
      <c r="E20" s="80">
        <v>113172</v>
      </c>
      <c r="F20" s="81">
        <v>48326</v>
      </c>
    </row>
    <row r="21" spans="1:6" x14ac:dyDescent="0.25">
      <c r="A21" s="80">
        <v>46309</v>
      </c>
      <c r="B21" s="80" t="s">
        <v>478</v>
      </c>
      <c r="C21" s="80" t="s">
        <v>45</v>
      </c>
      <c r="D21" s="80" t="s">
        <v>74</v>
      </c>
      <c r="E21" s="80">
        <v>108563</v>
      </c>
      <c r="F21" s="81">
        <v>66062</v>
      </c>
    </row>
    <row r="22" spans="1:6" x14ac:dyDescent="0.25">
      <c r="A22" s="80">
        <v>46332</v>
      </c>
      <c r="B22" s="80" t="s">
        <v>501</v>
      </c>
      <c r="C22" s="80" t="s">
        <v>45</v>
      </c>
      <c r="D22" s="80" t="s">
        <v>123</v>
      </c>
      <c r="E22" s="80">
        <v>53301</v>
      </c>
      <c r="F22" s="81">
        <v>72325</v>
      </c>
    </row>
    <row r="23" spans="1:6" x14ac:dyDescent="0.25">
      <c r="A23" s="80">
        <v>46330</v>
      </c>
      <c r="B23" s="80" t="s">
        <v>499</v>
      </c>
      <c r="C23" s="80" t="s">
        <v>45</v>
      </c>
      <c r="D23" s="80" t="s">
        <v>123</v>
      </c>
      <c r="E23" s="80">
        <v>62869</v>
      </c>
      <c r="F23" s="81">
        <v>125909</v>
      </c>
    </row>
    <row r="24" spans="1:6" x14ac:dyDescent="0.25">
      <c r="A24" s="80">
        <v>46305</v>
      </c>
      <c r="B24" s="80" t="s">
        <v>474</v>
      </c>
      <c r="C24" s="80" t="s">
        <v>185</v>
      </c>
      <c r="D24" s="80" t="s">
        <v>57</v>
      </c>
      <c r="E24" s="80">
        <v>64256</v>
      </c>
      <c r="F24" s="81">
        <v>58289</v>
      </c>
    </row>
    <row r="25" spans="1:6" x14ac:dyDescent="0.25">
      <c r="A25" s="80">
        <v>46315</v>
      </c>
      <c r="B25" s="80" t="s">
        <v>484</v>
      </c>
      <c r="C25" s="80" t="s">
        <v>185</v>
      </c>
      <c r="D25" s="80" t="s">
        <v>123</v>
      </c>
      <c r="E25" s="80">
        <v>20000</v>
      </c>
      <c r="F25" s="81">
        <v>74671</v>
      </c>
    </row>
    <row r="26" spans="1:6" x14ac:dyDescent="0.25">
      <c r="A26" s="80">
        <v>46323</v>
      </c>
      <c r="B26" s="80" t="s">
        <v>492</v>
      </c>
      <c r="C26" s="80" t="s">
        <v>185</v>
      </c>
      <c r="D26" s="80" t="s">
        <v>57</v>
      </c>
      <c r="E26" s="80">
        <v>122841</v>
      </c>
      <c r="F26" s="81">
        <v>74993</v>
      </c>
    </row>
    <row r="27" spans="1:6" x14ac:dyDescent="0.25">
      <c r="A27" s="80">
        <v>46329</v>
      </c>
      <c r="B27" s="80" t="s">
        <v>498</v>
      </c>
      <c r="C27" s="80" t="s">
        <v>185</v>
      </c>
      <c r="D27" s="80" t="s">
        <v>87</v>
      </c>
      <c r="E27" s="80">
        <v>70093</v>
      </c>
      <c r="F27" s="81">
        <v>48675</v>
      </c>
    </row>
    <row r="28" spans="1:6" x14ac:dyDescent="0.25">
      <c r="A28" s="80">
        <v>46331</v>
      </c>
      <c r="B28" s="80" t="s">
        <v>500</v>
      </c>
      <c r="C28" s="80" t="s">
        <v>126</v>
      </c>
      <c r="D28" s="80" t="s">
        <v>87</v>
      </c>
      <c r="E28" s="80">
        <v>119259</v>
      </c>
      <c r="F28" s="81">
        <v>100142</v>
      </c>
    </row>
    <row r="29" spans="1:6" x14ac:dyDescent="0.25">
      <c r="A29" s="80">
        <v>46338</v>
      </c>
      <c r="B29" s="80" t="s">
        <v>507</v>
      </c>
      <c r="C29" s="80" t="s">
        <v>126</v>
      </c>
      <c r="D29" s="80" t="s">
        <v>87</v>
      </c>
      <c r="E29" s="80">
        <v>113104</v>
      </c>
      <c r="F29" s="81">
        <v>101348</v>
      </c>
    </row>
    <row r="30" spans="1:6" x14ac:dyDescent="0.25">
      <c r="A30" s="80">
        <v>46317</v>
      </c>
      <c r="B30" s="80" t="s">
        <v>486</v>
      </c>
      <c r="C30" s="80" t="s">
        <v>126</v>
      </c>
      <c r="D30" s="80" t="s">
        <v>74</v>
      </c>
      <c r="E30" s="80">
        <v>20000</v>
      </c>
      <c r="F30" s="81">
        <v>78427</v>
      </c>
    </row>
    <row r="31" spans="1:6" x14ac:dyDescent="0.25">
      <c r="A31" s="80">
        <v>46334</v>
      </c>
      <c r="B31" s="80" t="s">
        <v>503</v>
      </c>
      <c r="C31" s="80" t="s">
        <v>126</v>
      </c>
      <c r="D31" s="80" t="s">
        <v>87</v>
      </c>
      <c r="E31" s="80">
        <v>82447</v>
      </c>
      <c r="F31" s="81">
        <v>68746</v>
      </c>
    </row>
    <row r="32" spans="1:6" x14ac:dyDescent="0.25">
      <c r="A32" s="80">
        <v>46326</v>
      </c>
      <c r="B32" s="80" t="s">
        <v>495</v>
      </c>
      <c r="C32" s="80" t="s">
        <v>126</v>
      </c>
      <c r="D32" s="80" t="s">
        <v>123</v>
      </c>
      <c r="E32" s="80">
        <v>118886</v>
      </c>
      <c r="F32" s="81">
        <v>130198</v>
      </c>
    </row>
    <row r="33" spans="1:6" x14ac:dyDescent="0.25">
      <c r="A33" s="80">
        <v>46316</v>
      </c>
      <c r="B33" s="80" t="s">
        <v>485</v>
      </c>
      <c r="C33" s="80" t="s">
        <v>134</v>
      </c>
      <c r="D33" s="80" t="s">
        <v>87</v>
      </c>
      <c r="E33" s="80">
        <v>105284</v>
      </c>
      <c r="F33" s="81">
        <v>56361</v>
      </c>
    </row>
    <row r="34" spans="1:6" x14ac:dyDescent="0.25">
      <c r="A34" s="80">
        <v>46328</v>
      </c>
      <c r="B34" s="80" t="s">
        <v>497</v>
      </c>
      <c r="C34" s="80" t="s">
        <v>134</v>
      </c>
      <c r="D34" s="80" t="s">
        <v>57</v>
      </c>
      <c r="E34" s="80">
        <v>142715</v>
      </c>
      <c r="F34" s="81">
        <v>44207</v>
      </c>
    </row>
    <row r="35" spans="1:6" x14ac:dyDescent="0.25">
      <c r="A35" s="80">
        <v>46314</v>
      </c>
      <c r="B35" s="80" t="s">
        <v>483</v>
      </c>
      <c r="C35" s="80" t="s">
        <v>134</v>
      </c>
      <c r="D35" s="80" t="s">
        <v>74</v>
      </c>
      <c r="E35" s="80">
        <v>84797</v>
      </c>
      <c r="F35" s="81">
        <v>52676</v>
      </c>
    </row>
    <row r="36" spans="1:6" x14ac:dyDescent="0.25">
      <c r="A36" s="80">
        <v>46308</v>
      </c>
      <c r="B36" s="80" t="s">
        <v>477</v>
      </c>
      <c r="C36" s="80" t="s">
        <v>134</v>
      </c>
      <c r="D36" s="80" t="s">
        <v>74</v>
      </c>
      <c r="E36" s="80">
        <v>47280</v>
      </c>
      <c r="F36" s="81">
        <v>68657</v>
      </c>
    </row>
    <row r="37" spans="1:6" x14ac:dyDescent="0.25">
      <c r="A37" s="80">
        <v>46321</v>
      </c>
      <c r="B37" s="80" t="s">
        <v>490</v>
      </c>
      <c r="C37" s="80" t="s">
        <v>134</v>
      </c>
      <c r="D37" s="80" t="s">
        <v>87</v>
      </c>
      <c r="E37" s="80">
        <v>71434</v>
      </c>
      <c r="F37" s="81">
        <v>99429</v>
      </c>
    </row>
    <row r="38" spans="1:6" x14ac:dyDescent="0.25">
      <c r="A38" s="85">
        <v>46336</v>
      </c>
      <c r="B38" s="85" t="s">
        <v>505</v>
      </c>
      <c r="C38" s="85" t="s">
        <v>134</v>
      </c>
      <c r="D38" s="85" t="s">
        <v>74</v>
      </c>
      <c r="E38" s="85">
        <v>55033</v>
      </c>
      <c r="F38" s="86">
        <v>122240</v>
      </c>
    </row>
    <row r="39" spans="1:6" x14ac:dyDescent="0.25">
      <c r="A39" s="85"/>
      <c r="B39" s="85"/>
      <c r="C39" s="85"/>
      <c r="D39" s="85"/>
      <c r="E39" s="85"/>
      <c r="F39" s="86">
        <f>SUM(F2:F38)</f>
        <v>3225105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7575B-E48B-49BA-BB44-D55569617ED5}">
  <dimension ref="B1:H81"/>
  <sheetViews>
    <sheetView zoomScale="40" zoomScaleNormal="40" workbookViewId="0">
      <selection activeCell="C1" sqref="C1"/>
    </sheetView>
  </sheetViews>
  <sheetFormatPr defaultRowHeight="15" x14ac:dyDescent="0.25"/>
  <cols>
    <col min="2" max="2" width="22.140625" bestFit="1" customWidth="1"/>
    <col min="3" max="3" width="114.42578125" bestFit="1" customWidth="1"/>
    <col min="4" max="4" width="119.7109375" bestFit="1" customWidth="1"/>
    <col min="5" max="5" width="87.5703125" customWidth="1"/>
    <col min="6" max="6" width="72" customWidth="1"/>
    <col min="7" max="7" width="106.85546875" bestFit="1" customWidth="1"/>
  </cols>
  <sheetData>
    <row r="1" spans="3:8" x14ac:dyDescent="0.25">
      <c r="C1" s="95" t="s">
        <v>525</v>
      </c>
      <c r="D1" s="95" t="s">
        <v>524</v>
      </c>
      <c r="E1" s="95" t="s">
        <v>523</v>
      </c>
      <c r="F1" s="95" t="s">
        <v>526</v>
      </c>
      <c r="G1" s="96" t="s">
        <v>527</v>
      </c>
    </row>
    <row r="2" spans="3:8" x14ac:dyDescent="0.25">
      <c r="C2" s="97">
        <v>1</v>
      </c>
      <c r="D2" s="97">
        <v>1</v>
      </c>
      <c r="E2" s="97">
        <v>15</v>
      </c>
      <c r="F2" s="97">
        <v>2</v>
      </c>
      <c r="G2" s="98">
        <v>10000</v>
      </c>
      <c r="H2" s="87"/>
    </row>
    <row r="3" spans="3:8" x14ac:dyDescent="0.25">
      <c r="C3" s="97">
        <v>2</v>
      </c>
      <c r="D3" s="97">
        <v>3</v>
      </c>
      <c r="E3" s="97">
        <v>12</v>
      </c>
      <c r="F3" s="97">
        <v>4</v>
      </c>
      <c r="G3" s="98">
        <v>1000</v>
      </c>
    </row>
    <row r="4" spans="3:8" x14ac:dyDescent="0.25">
      <c r="C4" s="97">
        <v>3</v>
      </c>
      <c r="D4" s="97">
        <v>5</v>
      </c>
      <c r="E4" s="97">
        <v>9</v>
      </c>
      <c r="F4" s="97">
        <v>8</v>
      </c>
      <c r="G4" s="98">
        <v>100.00000000000001</v>
      </c>
    </row>
    <row r="5" spans="3:8" x14ac:dyDescent="0.25">
      <c r="C5" s="97">
        <v>4</v>
      </c>
      <c r="D5" s="97">
        <v>7</v>
      </c>
      <c r="E5" s="97">
        <v>6</v>
      </c>
      <c r="F5" s="97">
        <v>16</v>
      </c>
      <c r="G5" s="98">
        <v>10.000000000000002</v>
      </c>
    </row>
    <row r="6" spans="3:8" x14ac:dyDescent="0.25">
      <c r="C6" s="97">
        <v>5</v>
      </c>
      <c r="D6" s="97">
        <v>9</v>
      </c>
      <c r="E6" s="97">
        <v>3</v>
      </c>
      <c r="F6" s="97">
        <v>32</v>
      </c>
      <c r="G6" s="98">
        <v>1.0000000000000004</v>
      </c>
    </row>
    <row r="7" spans="3:8" x14ac:dyDescent="0.25">
      <c r="C7" s="97">
        <v>6</v>
      </c>
      <c r="D7" s="97">
        <v>11</v>
      </c>
      <c r="E7" s="97"/>
      <c r="F7" s="97"/>
      <c r="G7" s="98"/>
    </row>
    <row r="8" spans="3:8" x14ac:dyDescent="0.25">
      <c r="C8" s="97">
        <v>7</v>
      </c>
      <c r="D8" s="97">
        <v>13</v>
      </c>
      <c r="E8" s="97"/>
      <c r="F8" s="97"/>
      <c r="G8" s="98"/>
    </row>
    <row r="9" spans="3:8" x14ac:dyDescent="0.25">
      <c r="C9" s="97">
        <v>8</v>
      </c>
      <c r="D9" s="97">
        <v>15</v>
      </c>
      <c r="E9" s="97"/>
      <c r="F9" s="97"/>
      <c r="G9" s="98"/>
    </row>
    <row r="10" spans="3:8" x14ac:dyDescent="0.25">
      <c r="C10" s="97">
        <v>9</v>
      </c>
      <c r="D10" s="97"/>
      <c r="E10" s="97"/>
      <c r="F10" s="97"/>
      <c r="G10" s="98"/>
    </row>
    <row r="11" spans="3:8" x14ac:dyDescent="0.25">
      <c r="C11" s="97">
        <v>10</v>
      </c>
      <c r="D11" s="97"/>
      <c r="E11" s="97"/>
      <c r="F11" s="97"/>
      <c r="G11" s="98"/>
    </row>
    <row r="12" spans="3:8" x14ac:dyDescent="0.25">
      <c r="C12" s="97">
        <v>11</v>
      </c>
      <c r="D12" s="97"/>
      <c r="E12" s="97"/>
      <c r="F12" s="97"/>
      <c r="G12" s="98"/>
    </row>
    <row r="13" spans="3:8" x14ac:dyDescent="0.25">
      <c r="C13" s="97">
        <v>12</v>
      </c>
      <c r="D13" s="97"/>
      <c r="E13" s="97"/>
      <c r="F13" s="97"/>
      <c r="G13" s="98"/>
    </row>
    <row r="14" spans="3:8" x14ac:dyDescent="0.25">
      <c r="C14" s="97">
        <v>13</v>
      </c>
      <c r="D14" s="97"/>
      <c r="E14" s="97"/>
      <c r="F14" s="97"/>
      <c r="G14" s="98"/>
    </row>
    <row r="15" spans="3:8" x14ac:dyDescent="0.25">
      <c r="C15" s="97">
        <v>14</v>
      </c>
      <c r="D15" s="97"/>
      <c r="E15" s="97"/>
      <c r="F15" s="97"/>
      <c r="G15" s="98"/>
    </row>
    <row r="16" spans="3:8" x14ac:dyDescent="0.25">
      <c r="C16" s="97">
        <v>15</v>
      </c>
      <c r="D16" s="97"/>
      <c r="E16" s="97"/>
      <c r="F16" s="97"/>
      <c r="G16" s="98"/>
    </row>
    <row r="17" spans="3:7" x14ac:dyDescent="0.25">
      <c r="C17" s="97">
        <v>16</v>
      </c>
      <c r="D17" s="97"/>
      <c r="E17" s="97"/>
      <c r="F17" s="97"/>
      <c r="G17" s="98"/>
    </row>
    <row r="18" spans="3:7" x14ac:dyDescent="0.25">
      <c r="C18" s="97">
        <v>17</v>
      </c>
      <c r="D18" s="97"/>
      <c r="E18" s="97"/>
      <c r="F18" s="97"/>
      <c r="G18" s="98"/>
    </row>
    <row r="19" spans="3:7" x14ac:dyDescent="0.25">
      <c r="C19" s="97">
        <v>18</v>
      </c>
      <c r="D19" s="97"/>
      <c r="E19" s="97"/>
      <c r="F19" s="97"/>
      <c r="G19" s="98"/>
    </row>
    <row r="20" spans="3:7" x14ac:dyDescent="0.25">
      <c r="C20" s="97">
        <v>19</v>
      </c>
      <c r="D20" s="97"/>
      <c r="E20" s="97"/>
      <c r="F20" s="97"/>
      <c r="G20" s="98"/>
    </row>
    <row r="21" spans="3:7" x14ac:dyDescent="0.25">
      <c r="C21" s="97">
        <v>20</v>
      </c>
      <c r="D21" s="97"/>
      <c r="E21" s="97"/>
      <c r="F21" s="97"/>
      <c r="G21" s="98"/>
    </row>
    <row r="22" spans="3:7" x14ac:dyDescent="0.25">
      <c r="C22" s="97">
        <v>21</v>
      </c>
      <c r="D22" s="97"/>
      <c r="E22" s="97"/>
      <c r="F22" s="97"/>
      <c r="G22" s="98"/>
    </row>
    <row r="23" spans="3:7" x14ac:dyDescent="0.25">
      <c r="C23" s="97">
        <v>22</v>
      </c>
      <c r="D23" s="97"/>
      <c r="E23" s="97"/>
      <c r="F23" s="97"/>
      <c r="G23" s="98"/>
    </row>
    <row r="24" spans="3:7" x14ac:dyDescent="0.25">
      <c r="C24" s="97">
        <v>23</v>
      </c>
      <c r="D24" s="97"/>
      <c r="E24" s="97"/>
      <c r="F24" s="97"/>
      <c r="G24" s="98"/>
    </row>
    <row r="25" spans="3:7" x14ac:dyDescent="0.25">
      <c r="C25" s="97">
        <v>24</v>
      </c>
      <c r="D25" s="97"/>
      <c r="E25" s="97"/>
      <c r="F25" s="97"/>
      <c r="G25" s="98"/>
    </row>
    <row r="26" spans="3:7" x14ac:dyDescent="0.25">
      <c r="C26" s="97">
        <v>25</v>
      </c>
      <c r="D26" s="97"/>
      <c r="E26" s="97"/>
      <c r="F26" s="97"/>
      <c r="G26" s="98"/>
    </row>
    <row r="27" spans="3:7" x14ac:dyDescent="0.25">
      <c r="C27" s="97">
        <v>26</v>
      </c>
      <c r="D27" s="97"/>
      <c r="E27" s="97"/>
      <c r="F27" s="97"/>
      <c r="G27" s="98"/>
    </row>
    <row r="28" spans="3:7" x14ac:dyDescent="0.25">
      <c r="C28" s="97">
        <v>27</v>
      </c>
      <c r="D28" s="97"/>
      <c r="E28" s="97"/>
      <c r="F28" s="97"/>
      <c r="G28" s="98"/>
    </row>
    <row r="29" spans="3:7" x14ac:dyDescent="0.25">
      <c r="C29" s="97">
        <v>28</v>
      </c>
      <c r="D29" s="97"/>
      <c r="E29" s="97"/>
      <c r="F29" s="97"/>
      <c r="G29" s="98"/>
    </row>
    <row r="30" spans="3:7" x14ac:dyDescent="0.25">
      <c r="C30" s="97">
        <v>29</v>
      </c>
      <c r="D30" s="97"/>
      <c r="E30" s="97"/>
      <c r="F30" s="97"/>
      <c r="G30" s="98"/>
    </row>
    <row r="31" spans="3:7" x14ac:dyDescent="0.25">
      <c r="C31" s="97">
        <v>30</v>
      </c>
      <c r="D31" s="97"/>
      <c r="E31" s="97"/>
      <c r="F31" s="97"/>
      <c r="G31" s="98"/>
    </row>
    <row r="32" spans="3:7" x14ac:dyDescent="0.25">
      <c r="C32" s="97">
        <v>31</v>
      </c>
      <c r="D32" s="97"/>
      <c r="E32" s="97"/>
      <c r="F32" s="97"/>
      <c r="G32" s="98"/>
    </row>
    <row r="33" spans="3:7" x14ac:dyDescent="0.25">
      <c r="C33" s="97">
        <v>32</v>
      </c>
      <c r="D33" s="97"/>
      <c r="E33" s="97"/>
      <c r="F33" s="97"/>
      <c r="G33" s="98"/>
    </row>
    <row r="34" spans="3:7" x14ac:dyDescent="0.25">
      <c r="C34" s="97">
        <v>33</v>
      </c>
      <c r="D34" s="97"/>
      <c r="E34" s="97"/>
      <c r="F34" s="97"/>
      <c r="G34" s="98"/>
    </row>
    <row r="35" spans="3:7" x14ac:dyDescent="0.25">
      <c r="C35" s="97">
        <v>34</v>
      </c>
      <c r="D35" s="97"/>
      <c r="E35" s="97"/>
      <c r="F35" s="97"/>
      <c r="G35" s="98"/>
    </row>
    <row r="36" spans="3:7" x14ac:dyDescent="0.25">
      <c r="C36" s="97">
        <v>35</v>
      </c>
      <c r="D36" s="97"/>
      <c r="E36" s="97"/>
      <c r="F36" s="97"/>
      <c r="G36" s="98"/>
    </row>
    <row r="37" spans="3:7" x14ac:dyDescent="0.25">
      <c r="C37" s="97">
        <v>36</v>
      </c>
      <c r="D37" s="97"/>
      <c r="E37" s="97"/>
      <c r="F37" s="97"/>
      <c r="G37" s="98"/>
    </row>
    <row r="38" spans="3:7" x14ac:dyDescent="0.25">
      <c r="C38" s="97">
        <v>37</v>
      </c>
      <c r="D38" s="97"/>
      <c r="E38" s="97"/>
      <c r="F38" s="97"/>
      <c r="G38" s="98"/>
    </row>
    <row r="39" spans="3:7" x14ac:dyDescent="0.25">
      <c r="C39" s="97">
        <v>38</v>
      </c>
      <c r="D39" s="97"/>
      <c r="E39" s="97"/>
      <c r="F39" s="97"/>
      <c r="G39" s="98"/>
    </row>
    <row r="40" spans="3:7" x14ac:dyDescent="0.25">
      <c r="C40" s="97">
        <v>39</v>
      </c>
      <c r="D40" s="97"/>
      <c r="E40" s="97"/>
      <c r="F40" s="97"/>
      <c r="G40" s="98"/>
    </row>
    <row r="41" spans="3:7" x14ac:dyDescent="0.25">
      <c r="C41" s="97">
        <v>40</v>
      </c>
      <c r="D41" s="97"/>
      <c r="E41" s="97"/>
      <c r="F41" s="97"/>
      <c r="G41" s="98"/>
    </row>
    <row r="42" spans="3:7" x14ac:dyDescent="0.25">
      <c r="C42" s="97">
        <v>41</v>
      </c>
      <c r="D42" s="97"/>
      <c r="E42" s="97"/>
      <c r="F42" s="97"/>
      <c r="G42" s="98"/>
    </row>
    <row r="43" spans="3:7" x14ac:dyDescent="0.25">
      <c r="C43" s="97">
        <v>42</v>
      </c>
      <c r="D43" s="97"/>
      <c r="E43" s="97"/>
      <c r="F43" s="97"/>
      <c r="G43" s="98"/>
    </row>
    <row r="44" spans="3:7" x14ac:dyDescent="0.25">
      <c r="C44" s="97">
        <v>43</v>
      </c>
      <c r="D44" s="97"/>
      <c r="E44" s="97"/>
      <c r="F44" s="97"/>
      <c r="G44" s="98"/>
    </row>
    <row r="45" spans="3:7" x14ac:dyDescent="0.25">
      <c r="C45" s="97">
        <v>44</v>
      </c>
      <c r="D45" s="97"/>
      <c r="E45" s="97"/>
      <c r="F45" s="97"/>
      <c r="G45" s="98"/>
    </row>
    <row r="46" spans="3:7" x14ac:dyDescent="0.25">
      <c r="C46" s="97">
        <v>45</v>
      </c>
      <c r="D46" s="97"/>
      <c r="E46" s="97"/>
      <c r="F46" s="97"/>
      <c r="G46" s="98"/>
    </row>
    <row r="47" spans="3:7" x14ac:dyDescent="0.25">
      <c r="C47" s="97">
        <v>46</v>
      </c>
      <c r="D47" s="97"/>
      <c r="E47" s="97"/>
      <c r="F47" s="97"/>
      <c r="G47" s="98"/>
    </row>
    <row r="48" spans="3:7" x14ac:dyDescent="0.25">
      <c r="C48" s="97">
        <v>47</v>
      </c>
      <c r="D48" s="97"/>
      <c r="E48" s="97"/>
      <c r="F48" s="97"/>
      <c r="G48" s="98"/>
    </row>
    <row r="49" spans="3:8" x14ac:dyDescent="0.25">
      <c r="C49" s="97">
        <v>48</v>
      </c>
      <c r="D49" s="97"/>
      <c r="E49" s="97"/>
      <c r="F49" s="97"/>
      <c r="G49" s="98"/>
    </row>
    <row r="50" spans="3:8" x14ac:dyDescent="0.25">
      <c r="C50" s="97">
        <v>49</v>
      </c>
      <c r="D50" s="97"/>
      <c r="E50" s="97"/>
      <c r="F50" s="97"/>
      <c r="G50" s="98"/>
    </row>
    <row r="51" spans="3:8" x14ac:dyDescent="0.25">
      <c r="C51" s="99">
        <v>50</v>
      </c>
      <c r="D51" s="99"/>
      <c r="E51" s="99"/>
      <c r="F51" s="99"/>
      <c r="G51" s="100"/>
    </row>
    <row r="58" spans="3:8" ht="15.75" thickBot="1" x14ac:dyDescent="0.3"/>
    <row r="59" spans="3:8" x14ac:dyDescent="0.25">
      <c r="C59" s="184" t="s">
        <v>528</v>
      </c>
      <c r="D59" s="185"/>
      <c r="E59" s="185"/>
      <c r="F59" s="185"/>
      <c r="G59" s="185"/>
      <c r="H59" s="88"/>
    </row>
    <row r="60" spans="3:8" x14ac:dyDescent="0.25">
      <c r="C60" s="91" cm="1">
        <f t="array" ref="C60:G64">_xlfn.SEQUENCE(5,5,1,5)</f>
        <v>1</v>
      </c>
      <c r="D60" s="92">
        <v>6</v>
      </c>
      <c r="E60" s="92">
        <v>11</v>
      </c>
      <c r="F60" s="92">
        <v>16</v>
      </c>
      <c r="G60" s="92">
        <v>21</v>
      </c>
      <c r="H60" s="89"/>
    </row>
    <row r="61" spans="3:8" x14ac:dyDescent="0.25">
      <c r="C61" s="91">
        <v>26</v>
      </c>
      <c r="D61" s="92">
        <v>31</v>
      </c>
      <c r="E61" s="92">
        <v>36</v>
      </c>
      <c r="F61" s="92">
        <v>41</v>
      </c>
      <c r="G61" s="92">
        <v>46</v>
      </c>
      <c r="H61" s="89"/>
    </row>
    <row r="62" spans="3:8" x14ac:dyDescent="0.25">
      <c r="C62" s="91">
        <v>51</v>
      </c>
      <c r="D62" s="92">
        <v>56</v>
      </c>
      <c r="E62" s="92">
        <v>61</v>
      </c>
      <c r="F62" s="92">
        <v>66</v>
      </c>
      <c r="G62" s="92">
        <v>71</v>
      </c>
      <c r="H62" s="89"/>
    </row>
    <row r="63" spans="3:8" x14ac:dyDescent="0.25">
      <c r="C63" s="91">
        <v>76</v>
      </c>
      <c r="D63" s="92">
        <v>81</v>
      </c>
      <c r="E63" s="92">
        <v>86</v>
      </c>
      <c r="F63" s="92">
        <v>91</v>
      </c>
      <c r="G63" s="92">
        <v>96</v>
      </c>
      <c r="H63" s="89"/>
    </row>
    <row r="64" spans="3:8" ht="15.75" thickBot="1" x14ac:dyDescent="0.3">
      <c r="C64" s="93">
        <v>101</v>
      </c>
      <c r="D64" s="94">
        <v>106</v>
      </c>
      <c r="E64" s="94">
        <v>111</v>
      </c>
      <c r="F64" s="94">
        <v>116</v>
      </c>
      <c r="G64" s="94">
        <v>121</v>
      </c>
      <c r="H64" s="90"/>
    </row>
    <row r="72" spans="2:6" x14ac:dyDescent="0.25">
      <c r="B72" s="103" t="s">
        <v>529</v>
      </c>
      <c r="C72" s="103" t="s">
        <v>530</v>
      </c>
      <c r="D72" s="103" t="s">
        <v>531</v>
      </c>
    </row>
    <row r="73" spans="2:6" x14ac:dyDescent="0.25">
      <c r="B73" s="104">
        <v>46307</v>
      </c>
      <c r="C73" s="104">
        <v>46307</v>
      </c>
      <c r="D73" s="104">
        <v>46307</v>
      </c>
    </row>
    <row r="74" spans="2:6" x14ac:dyDescent="0.25">
      <c r="B74" s="104">
        <v>46308</v>
      </c>
      <c r="C74" s="104">
        <v>46308</v>
      </c>
      <c r="D74" s="104">
        <v>46308</v>
      </c>
    </row>
    <row r="75" spans="2:6" x14ac:dyDescent="0.25">
      <c r="B75" s="104">
        <v>46309</v>
      </c>
      <c r="C75" s="104">
        <v>46309</v>
      </c>
      <c r="D75" s="104">
        <v>46309</v>
      </c>
    </row>
    <row r="76" spans="2:6" x14ac:dyDescent="0.25">
      <c r="B76" s="104">
        <v>46310</v>
      </c>
      <c r="C76" s="104">
        <v>46310</v>
      </c>
      <c r="D76" s="104">
        <v>46310</v>
      </c>
    </row>
    <row r="77" spans="2:6" x14ac:dyDescent="0.25">
      <c r="B77" s="104">
        <v>46311</v>
      </c>
      <c r="C77" s="104">
        <v>46311</v>
      </c>
      <c r="D77" s="104">
        <v>46311</v>
      </c>
    </row>
    <row r="78" spans="2:6" x14ac:dyDescent="0.25">
      <c r="B78" s="104">
        <v>46312</v>
      </c>
      <c r="C78" s="104">
        <v>46312</v>
      </c>
      <c r="D78" s="104">
        <v>46314</v>
      </c>
      <c r="E78" s="101"/>
      <c r="F78" s="101"/>
    </row>
    <row r="79" spans="2:6" x14ac:dyDescent="0.25">
      <c r="B79" s="92"/>
      <c r="C79" s="104">
        <v>46313</v>
      </c>
      <c r="D79" s="104">
        <v>46315</v>
      </c>
    </row>
    <row r="80" spans="2:6" x14ac:dyDescent="0.25">
      <c r="B80" s="92"/>
      <c r="C80" s="104">
        <v>46314</v>
      </c>
      <c r="D80" s="92"/>
    </row>
    <row r="81" spans="2:4" x14ac:dyDescent="0.25">
      <c r="B81" s="92"/>
      <c r="C81" s="104">
        <v>46315</v>
      </c>
      <c r="D81" s="92"/>
    </row>
  </sheetData>
  <mergeCells count="1">
    <mergeCell ref="C59:G5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CA9B-599E-4E01-93D8-9B26DF567D80}">
  <dimension ref="A1:O180"/>
  <sheetViews>
    <sheetView topLeftCell="A56" zoomScale="55" zoomScaleNormal="55" workbookViewId="0">
      <selection activeCell="C49" sqref="C49"/>
    </sheetView>
  </sheetViews>
  <sheetFormatPr defaultRowHeight="15" x14ac:dyDescent="0.25"/>
  <cols>
    <col min="1" max="1" width="10.7109375" bestFit="1" customWidth="1"/>
    <col min="2" max="2" width="12.7109375" bestFit="1" customWidth="1"/>
    <col min="3" max="3" width="18.7109375" bestFit="1" customWidth="1"/>
    <col min="4" max="4" width="11.7109375" bestFit="1" customWidth="1"/>
    <col min="5" max="5" width="7.42578125" bestFit="1" customWidth="1"/>
    <col min="6" max="6" width="10" bestFit="1" customWidth="1"/>
    <col min="7" max="7" width="11" bestFit="1" customWidth="1"/>
    <col min="8" max="8" width="10.42578125" bestFit="1" customWidth="1"/>
    <col min="9" max="9" width="9.28515625" bestFit="1" customWidth="1"/>
  </cols>
  <sheetData>
    <row r="1" spans="1:10" x14ac:dyDescent="0.25">
      <c r="A1" s="106" t="s">
        <v>469</v>
      </c>
      <c r="B1" s="106" t="s">
        <v>0</v>
      </c>
      <c r="C1" s="106" t="s">
        <v>470</v>
      </c>
      <c r="D1" s="106" t="s">
        <v>6</v>
      </c>
      <c r="E1" s="106" t="s">
        <v>36</v>
      </c>
      <c r="F1" s="106" t="s">
        <v>471</v>
      </c>
      <c r="G1" s="106" t="s">
        <v>472</v>
      </c>
      <c r="H1" s="106" t="s">
        <v>532</v>
      </c>
      <c r="I1" s="106" t="s">
        <v>533</v>
      </c>
      <c r="J1" s="107" t="s">
        <v>533</v>
      </c>
    </row>
    <row r="2" spans="1:10" x14ac:dyDescent="0.25">
      <c r="A2" s="109">
        <v>46308</v>
      </c>
      <c r="B2" s="105" t="s">
        <v>40</v>
      </c>
      <c r="C2" s="105" t="s">
        <v>473</v>
      </c>
      <c r="D2" s="105" t="s">
        <v>93</v>
      </c>
      <c r="E2" s="105" t="s">
        <v>57</v>
      </c>
      <c r="F2" s="105">
        <v>38278</v>
      </c>
      <c r="G2" s="105">
        <v>137196</v>
      </c>
      <c r="H2" s="108">
        <f>F2-G2</f>
        <v>-98918</v>
      </c>
      <c r="I2" s="108" t="str">
        <f>IF(F2&gt;=G2,"Achieved","Pending")</f>
        <v>Pending</v>
      </c>
      <c r="J2" s="110" t="b">
        <f>AND(H2&gt;0,G2&gt;50000)</f>
        <v>0</v>
      </c>
    </row>
    <row r="3" spans="1:10" x14ac:dyDescent="0.25">
      <c r="A3" s="109">
        <v>46309</v>
      </c>
      <c r="B3" s="105" t="s">
        <v>58</v>
      </c>
      <c r="C3" s="105" t="s">
        <v>474</v>
      </c>
      <c r="D3" s="105" t="s">
        <v>185</v>
      </c>
      <c r="E3" s="105" t="s">
        <v>74</v>
      </c>
      <c r="F3" s="105">
        <v>64256</v>
      </c>
      <c r="G3" s="105">
        <v>58289</v>
      </c>
      <c r="H3" s="108">
        <f t="shared" ref="H3:H51" si="0">F3-G3</f>
        <v>5967</v>
      </c>
      <c r="I3" s="108" t="str">
        <f t="shared" ref="I3:I51" si="1">IF(F3&gt;=G3,"Achieved","Pending")</f>
        <v>Achieved</v>
      </c>
      <c r="J3" s="110" t="b">
        <f t="shared" ref="J3:J51" si="2">AND(H3&gt;0,G3&gt;50000)</f>
        <v>1</v>
      </c>
    </row>
    <row r="4" spans="1:10" x14ac:dyDescent="0.25">
      <c r="A4" s="109">
        <v>46310</v>
      </c>
      <c r="B4" s="105" t="s">
        <v>75</v>
      </c>
      <c r="C4" s="105" t="s">
        <v>475</v>
      </c>
      <c r="D4" s="105" t="s">
        <v>93</v>
      </c>
      <c r="E4" s="105" t="s">
        <v>87</v>
      </c>
      <c r="F4" s="105">
        <v>123696</v>
      </c>
      <c r="G4" s="105">
        <v>137080</v>
      </c>
      <c r="H4" s="108">
        <f t="shared" si="0"/>
        <v>-13384</v>
      </c>
      <c r="I4" s="108" t="str">
        <f t="shared" si="1"/>
        <v>Pending</v>
      </c>
      <c r="J4" s="110" t="b">
        <f t="shared" si="2"/>
        <v>0</v>
      </c>
    </row>
    <row r="5" spans="1:10" x14ac:dyDescent="0.25">
      <c r="A5" s="109">
        <v>46311</v>
      </c>
      <c r="B5" s="105" t="s">
        <v>88</v>
      </c>
      <c r="C5" s="105" t="s">
        <v>476</v>
      </c>
      <c r="D5" s="105" t="s">
        <v>80</v>
      </c>
      <c r="E5" s="105" t="s">
        <v>103</v>
      </c>
      <c r="F5" s="105">
        <v>112397</v>
      </c>
      <c r="G5" s="105">
        <v>95302</v>
      </c>
      <c r="H5" s="108">
        <f t="shared" si="0"/>
        <v>17095</v>
      </c>
      <c r="I5" s="108" t="str">
        <f t="shared" si="1"/>
        <v>Achieved</v>
      </c>
      <c r="J5" s="110" t="b">
        <f t="shared" si="2"/>
        <v>1</v>
      </c>
    </row>
    <row r="6" spans="1:10" x14ac:dyDescent="0.25">
      <c r="A6" s="109">
        <v>46312</v>
      </c>
      <c r="B6" s="105" t="s">
        <v>104</v>
      </c>
      <c r="C6" s="105" t="s">
        <v>477</v>
      </c>
      <c r="D6" s="105" t="s">
        <v>134</v>
      </c>
      <c r="E6" s="105" t="s">
        <v>74</v>
      </c>
      <c r="F6" s="105">
        <v>47280</v>
      </c>
      <c r="G6" s="105">
        <v>68657</v>
      </c>
      <c r="H6" s="108">
        <f t="shared" si="0"/>
        <v>-21377</v>
      </c>
      <c r="I6" s="108" t="str">
        <f t="shared" si="1"/>
        <v>Pending</v>
      </c>
      <c r="J6" s="110" t="b">
        <f t="shared" si="2"/>
        <v>0</v>
      </c>
    </row>
    <row r="7" spans="1:10" x14ac:dyDescent="0.25">
      <c r="A7" s="109">
        <v>46313</v>
      </c>
      <c r="B7" s="105" t="s">
        <v>114</v>
      </c>
      <c r="C7" s="105" t="s">
        <v>478</v>
      </c>
      <c r="D7" s="105" t="s">
        <v>45</v>
      </c>
      <c r="E7" s="105" t="s">
        <v>123</v>
      </c>
      <c r="F7" s="105">
        <v>108563</v>
      </c>
      <c r="G7" s="105">
        <v>66062</v>
      </c>
      <c r="H7" s="108">
        <f t="shared" si="0"/>
        <v>42501</v>
      </c>
      <c r="I7" s="108" t="str">
        <f t="shared" si="1"/>
        <v>Achieved</v>
      </c>
      <c r="J7" s="110" t="b">
        <f t="shared" si="2"/>
        <v>1</v>
      </c>
    </row>
    <row r="8" spans="1:10" x14ac:dyDescent="0.25">
      <c r="A8" s="109">
        <v>46314</v>
      </c>
      <c r="B8" s="105" t="s">
        <v>124</v>
      </c>
      <c r="C8" s="105" t="s">
        <v>479</v>
      </c>
      <c r="D8" s="105" t="s">
        <v>93</v>
      </c>
      <c r="E8" s="105" t="s">
        <v>57</v>
      </c>
      <c r="F8" s="105">
        <v>63893</v>
      </c>
      <c r="G8" s="105">
        <v>98878</v>
      </c>
      <c r="H8" s="108">
        <f t="shared" si="0"/>
        <v>-34985</v>
      </c>
      <c r="I8" s="108" t="str">
        <f t="shared" si="1"/>
        <v>Pending</v>
      </c>
      <c r="J8" s="110" t="b">
        <f t="shared" si="2"/>
        <v>0</v>
      </c>
    </row>
    <row r="9" spans="1:10" x14ac:dyDescent="0.25">
      <c r="A9" s="109">
        <v>46315</v>
      </c>
      <c r="B9" s="105" t="s">
        <v>132</v>
      </c>
      <c r="C9" s="105" t="s">
        <v>480</v>
      </c>
      <c r="D9" s="105" t="s">
        <v>80</v>
      </c>
      <c r="E9" s="105" t="s">
        <v>103</v>
      </c>
      <c r="F9" s="105">
        <v>141093</v>
      </c>
      <c r="G9" s="105">
        <v>40851</v>
      </c>
      <c r="H9" s="108">
        <f t="shared" si="0"/>
        <v>100242</v>
      </c>
      <c r="I9" s="108" t="str">
        <f t="shared" si="1"/>
        <v>Achieved</v>
      </c>
      <c r="J9" s="110" t="b">
        <f t="shared" si="2"/>
        <v>0</v>
      </c>
    </row>
    <row r="10" spans="1:10" x14ac:dyDescent="0.25">
      <c r="A10" s="109">
        <v>46316</v>
      </c>
      <c r="B10" s="105" t="s">
        <v>141</v>
      </c>
      <c r="C10" s="105" t="s">
        <v>481</v>
      </c>
      <c r="D10" s="105" t="s">
        <v>45</v>
      </c>
      <c r="E10" s="105" t="s">
        <v>123</v>
      </c>
      <c r="F10" s="105">
        <v>79597</v>
      </c>
      <c r="G10" s="105">
        <v>76421</v>
      </c>
      <c r="H10" s="108">
        <f t="shared" si="0"/>
        <v>3176</v>
      </c>
      <c r="I10" s="108" t="str">
        <f t="shared" si="1"/>
        <v>Achieved</v>
      </c>
      <c r="J10" s="110" t="b">
        <f t="shared" si="2"/>
        <v>1</v>
      </c>
    </row>
    <row r="11" spans="1:10" x14ac:dyDescent="0.25">
      <c r="A11" s="109">
        <v>46317</v>
      </c>
      <c r="B11" s="105" t="s">
        <v>151</v>
      </c>
      <c r="C11" s="105" t="s">
        <v>482</v>
      </c>
      <c r="D11" s="105" t="s">
        <v>45</v>
      </c>
      <c r="E11" s="105" t="s">
        <v>87</v>
      </c>
      <c r="F11" s="105">
        <v>135072</v>
      </c>
      <c r="G11" s="105">
        <v>84118</v>
      </c>
      <c r="H11" s="108">
        <f t="shared" si="0"/>
        <v>50954</v>
      </c>
      <c r="I11" s="111" t="e" cm="1">
        <f t="array" aca="1" ref="I11" ca="1">IFabc(F11&gt;=G11,"Achieved","Pending")</f>
        <v>#NAME?</v>
      </c>
      <c r="J11" s="110" t="b">
        <f t="shared" si="2"/>
        <v>1</v>
      </c>
    </row>
    <row r="12" spans="1:10" x14ac:dyDescent="0.25">
      <c r="A12" s="109">
        <v>46318</v>
      </c>
      <c r="B12" s="105" t="s">
        <v>68</v>
      </c>
      <c r="C12" s="105" t="s">
        <v>483</v>
      </c>
      <c r="D12" s="105" t="s">
        <v>134</v>
      </c>
      <c r="E12" s="105" t="s">
        <v>57</v>
      </c>
      <c r="F12" s="105">
        <v>84797</v>
      </c>
      <c r="G12" s="105">
        <v>52676</v>
      </c>
      <c r="H12" s="108">
        <f t="shared" si="0"/>
        <v>32121</v>
      </c>
      <c r="I12" s="108" t="str">
        <f t="shared" si="1"/>
        <v>Achieved</v>
      </c>
      <c r="J12" s="110" t="b">
        <f t="shared" si="2"/>
        <v>1</v>
      </c>
    </row>
    <row r="13" spans="1:10" x14ac:dyDescent="0.25">
      <c r="A13" s="109">
        <v>46319</v>
      </c>
      <c r="B13" s="105" t="s">
        <v>163</v>
      </c>
      <c r="C13" s="105" t="s">
        <v>484</v>
      </c>
      <c r="D13" s="105" t="s">
        <v>185</v>
      </c>
      <c r="E13" s="105" t="s">
        <v>123</v>
      </c>
      <c r="F13" s="105">
        <v>20000</v>
      </c>
      <c r="G13" s="105">
        <v>74671</v>
      </c>
      <c r="H13" s="108">
        <f t="shared" si="0"/>
        <v>-54671</v>
      </c>
      <c r="I13" s="108" t="str">
        <f t="shared" si="1"/>
        <v>Pending</v>
      </c>
      <c r="J13" s="110" t="b">
        <f t="shared" si="2"/>
        <v>0</v>
      </c>
    </row>
    <row r="14" spans="1:10" x14ac:dyDescent="0.25">
      <c r="A14" s="109">
        <v>46320</v>
      </c>
      <c r="B14" s="105" t="s">
        <v>170</v>
      </c>
      <c r="C14" s="105" t="s">
        <v>485</v>
      </c>
      <c r="D14" s="105" t="s">
        <v>134</v>
      </c>
      <c r="E14" s="105" t="s">
        <v>123</v>
      </c>
      <c r="F14" s="105">
        <v>105284</v>
      </c>
      <c r="G14" s="105">
        <v>56361</v>
      </c>
      <c r="H14" s="108">
        <f t="shared" si="0"/>
        <v>48923</v>
      </c>
      <c r="I14" s="108" t="str">
        <f t="shared" si="1"/>
        <v>Achieved</v>
      </c>
      <c r="J14" s="110" t="b">
        <f t="shared" si="2"/>
        <v>1</v>
      </c>
    </row>
    <row r="15" spans="1:10" x14ac:dyDescent="0.25">
      <c r="A15" s="109">
        <v>46321</v>
      </c>
      <c r="B15" s="105" t="s">
        <v>175</v>
      </c>
      <c r="C15" s="105" t="s">
        <v>486</v>
      </c>
      <c r="D15" s="105" t="s">
        <v>126</v>
      </c>
      <c r="E15" s="105" t="s">
        <v>57</v>
      </c>
      <c r="F15" s="105">
        <v>20000</v>
      </c>
      <c r="G15" s="105">
        <v>78427</v>
      </c>
      <c r="H15" s="108">
        <f t="shared" si="0"/>
        <v>-58427</v>
      </c>
      <c r="I15" s="108" t="str">
        <f t="shared" si="1"/>
        <v>Pending</v>
      </c>
      <c r="J15" s="110" t="b">
        <f t="shared" si="2"/>
        <v>0</v>
      </c>
    </row>
    <row r="16" spans="1:10" x14ac:dyDescent="0.25">
      <c r="A16" s="109">
        <v>46322</v>
      </c>
      <c r="B16" s="105" t="s">
        <v>180</v>
      </c>
      <c r="C16" s="105" t="s">
        <v>487</v>
      </c>
      <c r="D16" s="105" t="s">
        <v>93</v>
      </c>
      <c r="E16" s="105" t="s">
        <v>87</v>
      </c>
      <c r="F16" s="105">
        <v>110674</v>
      </c>
      <c r="G16" s="105">
        <v>65203</v>
      </c>
      <c r="H16" s="108">
        <f t="shared" si="0"/>
        <v>45471</v>
      </c>
      <c r="I16" s="108" t="str">
        <f t="shared" si="1"/>
        <v>Achieved</v>
      </c>
      <c r="J16" s="110" t="b">
        <f t="shared" si="2"/>
        <v>1</v>
      </c>
    </row>
    <row r="17" spans="1:10" x14ac:dyDescent="0.25">
      <c r="A17" s="109">
        <v>46323</v>
      </c>
      <c r="B17" s="105" t="s">
        <v>129</v>
      </c>
      <c r="C17" s="105" t="s">
        <v>488</v>
      </c>
      <c r="D17" s="105" t="s">
        <v>93</v>
      </c>
      <c r="E17" s="105" t="s">
        <v>103</v>
      </c>
      <c r="F17" s="105">
        <v>41006</v>
      </c>
      <c r="G17" s="105">
        <v>126673</v>
      </c>
      <c r="H17" s="108">
        <f t="shared" si="0"/>
        <v>-85667</v>
      </c>
      <c r="I17" s="108" t="str">
        <f t="shared" si="1"/>
        <v>Pending</v>
      </c>
      <c r="J17" s="110" t="b">
        <f t="shared" si="2"/>
        <v>0</v>
      </c>
    </row>
    <row r="18" spans="1:10" x14ac:dyDescent="0.25">
      <c r="A18" s="109">
        <v>46324</v>
      </c>
      <c r="B18" s="105" t="s">
        <v>190</v>
      </c>
      <c r="C18" s="105" t="s">
        <v>489</v>
      </c>
      <c r="D18" s="105" t="s">
        <v>45</v>
      </c>
      <c r="E18" s="105" t="s">
        <v>57</v>
      </c>
      <c r="F18" s="105">
        <v>45458</v>
      </c>
      <c r="G18" s="105">
        <v>70512</v>
      </c>
      <c r="H18" s="108">
        <f t="shared" si="0"/>
        <v>-25054</v>
      </c>
      <c r="I18" s="108" t="str">
        <f t="shared" si="1"/>
        <v>Pending</v>
      </c>
      <c r="J18" s="110" t="b">
        <f t="shared" si="2"/>
        <v>0</v>
      </c>
    </row>
    <row r="19" spans="1:10" x14ac:dyDescent="0.25">
      <c r="A19" s="109">
        <v>46325</v>
      </c>
      <c r="B19" s="105" t="s">
        <v>195</v>
      </c>
      <c r="C19" s="105" t="s">
        <v>490</v>
      </c>
      <c r="D19" s="105" t="s">
        <v>134</v>
      </c>
      <c r="E19" s="105" t="s">
        <v>87</v>
      </c>
      <c r="F19" s="105">
        <v>71434</v>
      </c>
      <c r="G19" s="105">
        <v>99429</v>
      </c>
      <c r="H19" s="108">
        <f t="shared" si="0"/>
        <v>-27995</v>
      </c>
      <c r="I19" s="108" t="str">
        <f t="shared" si="1"/>
        <v>Pending</v>
      </c>
      <c r="J19" s="110" t="b">
        <f t="shared" si="2"/>
        <v>0</v>
      </c>
    </row>
    <row r="20" spans="1:10" x14ac:dyDescent="0.25">
      <c r="A20" s="109">
        <v>46326</v>
      </c>
      <c r="B20" s="105" t="s">
        <v>200</v>
      </c>
      <c r="C20" s="105" t="s">
        <v>491</v>
      </c>
      <c r="D20" s="105" t="s">
        <v>93</v>
      </c>
      <c r="E20" s="105" t="s">
        <v>123</v>
      </c>
      <c r="F20" s="105">
        <v>56319</v>
      </c>
      <c r="G20" s="105">
        <v>88520</v>
      </c>
      <c r="H20" s="108">
        <f t="shared" si="0"/>
        <v>-32201</v>
      </c>
      <c r="I20" s="108" t="str">
        <f t="shared" si="1"/>
        <v>Pending</v>
      </c>
      <c r="J20" s="110" t="b">
        <f t="shared" si="2"/>
        <v>0</v>
      </c>
    </row>
    <row r="21" spans="1:10" x14ac:dyDescent="0.25">
      <c r="A21" s="109">
        <v>46327</v>
      </c>
      <c r="B21" s="105" t="s">
        <v>205</v>
      </c>
      <c r="C21" s="105" t="s">
        <v>492</v>
      </c>
      <c r="D21" s="105" t="s">
        <v>185</v>
      </c>
      <c r="E21" s="105" t="s">
        <v>123</v>
      </c>
      <c r="F21" s="105">
        <v>122841</v>
      </c>
      <c r="G21" s="105">
        <v>74993</v>
      </c>
      <c r="H21" s="108">
        <f t="shared" si="0"/>
        <v>47848</v>
      </c>
      <c r="I21" s="108" t="str">
        <f t="shared" si="1"/>
        <v>Achieved</v>
      </c>
      <c r="J21" s="110" t="b">
        <f t="shared" si="2"/>
        <v>1</v>
      </c>
    </row>
    <row r="22" spans="1:10" x14ac:dyDescent="0.25">
      <c r="A22" s="109">
        <v>46328</v>
      </c>
      <c r="B22" s="105" t="s">
        <v>210</v>
      </c>
      <c r="C22" s="105" t="s">
        <v>493</v>
      </c>
      <c r="D22" s="105" t="s">
        <v>93</v>
      </c>
      <c r="E22" s="105" t="s">
        <v>74</v>
      </c>
      <c r="F22" s="105">
        <v>114840</v>
      </c>
      <c r="G22" s="105">
        <v>123227</v>
      </c>
      <c r="H22" s="108">
        <f t="shared" si="0"/>
        <v>-8387</v>
      </c>
      <c r="I22" s="111" t="e" cm="1">
        <f t="array" aca="1" ref="I22" ca="1">IFabc(F22&gt;=G22,"Achieved","Pending")</f>
        <v>#NAME?</v>
      </c>
      <c r="J22" s="110" t="b">
        <f t="shared" si="2"/>
        <v>0</v>
      </c>
    </row>
    <row r="23" spans="1:10" x14ac:dyDescent="0.25">
      <c r="A23" s="109">
        <v>46329</v>
      </c>
      <c r="B23" s="105" t="s">
        <v>215</v>
      </c>
      <c r="C23" s="105" t="s">
        <v>494</v>
      </c>
      <c r="D23" s="105" t="s">
        <v>45</v>
      </c>
      <c r="E23" s="105" t="s">
        <v>74</v>
      </c>
      <c r="F23" s="105">
        <v>56417</v>
      </c>
      <c r="G23" s="105">
        <v>100589</v>
      </c>
      <c r="H23" s="108">
        <f t="shared" si="0"/>
        <v>-44172</v>
      </c>
      <c r="I23" s="108" t="str">
        <f t="shared" si="1"/>
        <v>Pending</v>
      </c>
      <c r="J23" s="110" t="b">
        <f t="shared" si="2"/>
        <v>0</v>
      </c>
    </row>
    <row r="24" spans="1:10" x14ac:dyDescent="0.25">
      <c r="A24" s="109">
        <v>46330</v>
      </c>
      <c r="B24" s="105" t="s">
        <v>209</v>
      </c>
      <c r="C24" s="105" t="s">
        <v>495</v>
      </c>
      <c r="D24" s="105" t="s">
        <v>126</v>
      </c>
      <c r="E24" s="105" t="s">
        <v>87</v>
      </c>
      <c r="F24" s="105">
        <v>118886</v>
      </c>
      <c r="G24" s="105">
        <v>130198</v>
      </c>
      <c r="H24" s="108">
        <f t="shared" si="0"/>
        <v>-11312</v>
      </c>
      <c r="I24" s="108" t="str">
        <f t="shared" si="1"/>
        <v>Pending</v>
      </c>
      <c r="J24" s="110" t="b">
        <f t="shared" si="2"/>
        <v>0</v>
      </c>
    </row>
    <row r="25" spans="1:10" x14ac:dyDescent="0.25">
      <c r="A25" s="109">
        <v>46331</v>
      </c>
      <c r="B25" s="105" t="s">
        <v>223</v>
      </c>
      <c r="C25" s="105" t="s">
        <v>496</v>
      </c>
      <c r="D25" s="105" t="s">
        <v>80</v>
      </c>
      <c r="E25" s="105" t="s">
        <v>103</v>
      </c>
      <c r="F25" s="105">
        <v>124733</v>
      </c>
      <c r="G25" s="105">
        <v>82504</v>
      </c>
      <c r="H25" s="108">
        <f t="shared" si="0"/>
        <v>42229</v>
      </c>
      <c r="I25" s="108" t="str">
        <f t="shared" si="1"/>
        <v>Achieved</v>
      </c>
      <c r="J25" s="110" t="b">
        <f t="shared" si="2"/>
        <v>1</v>
      </c>
    </row>
    <row r="26" spans="1:10" x14ac:dyDescent="0.25">
      <c r="A26" s="109">
        <v>46332</v>
      </c>
      <c r="B26" s="105" t="s">
        <v>227</v>
      </c>
      <c r="C26" s="105" t="s">
        <v>497</v>
      </c>
      <c r="D26" s="105" t="s">
        <v>134</v>
      </c>
      <c r="E26" s="105" t="s">
        <v>123</v>
      </c>
      <c r="F26" s="105">
        <v>142715</v>
      </c>
      <c r="G26" s="105">
        <v>44207</v>
      </c>
      <c r="H26" s="108">
        <f t="shared" si="0"/>
        <v>98508</v>
      </c>
      <c r="I26" s="108" t="str">
        <f t="shared" si="1"/>
        <v>Achieved</v>
      </c>
      <c r="J26" s="110" t="b">
        <f t="shared" si="2"/>
        <v>0</v>
      </c>
    </row>
    <row r="27" spans="1:10" x14ac:dyDescent="0.25">
      <c r="A27" s="109">
        <v>46333</v>
      </c>
      <c r="B27" s="105" t="s">
        <v>222</v>
      </c>
      <c r="C27" s="105" t="s">
        <v>498</v>
      </c>
      <c r="D27" s="105" t="s">
        <v>185</v>
      </c>
      <c r="E27" s="105" t="s">
        <v>87</v>
      </c>
      <c r="F27" s="105">
        <v>70093</v>
      </c>
      <c r="G27" s="105">
        <v>48675</v>
      </c>
      <c r="H27" s="108">
        <f t="shared" si="0"/>
        <v>21418</v>
      </c>
      <c r="I27" s="108" t="str">
        <f t="shared" si="1"/>
        <v>Achieved</v>
      </c>
      <c r="J27" s="110" t="b">
        <f t="shared" si="2"/>
        <v>0</v>
      </c>
    </row>
    <row r="28" spans="1:10" x14ac:dyDescent="0.25">
      <c r="A28" s="109">
        <v>46334</v>
      </c>
      <c r="B28" s="105" t="s">
        <v>110</v>
      </c>
      <c r="C28" s="105" t="s">
        <v>499</v>
      </c>
      <c r="D28" s="105" t="s">
        <v>45</v>
      </c>
      <c r="E28" s="105" t="s">
        <v>87</v>
      </c>
      <c r="F28" s="105">
        <v>62869</v>
      </c>
      <c r="G28" s="105">
        <v>125909</v>
      </c>
      <c r="H28" s="108">
        <f t="shared" si="0"/>
        <v>-63040</v>
      </c>
      <c r="I28" s="108" t="str">
        <f t="shared" si="1"/>
        <v>Pending</v>
      </c>
      <c r="J28" s="110" t="b">
        <f t="shared" si="2"/>
        <v>0</v>
      </c>
    </row>
    <row r="29" spans="1:10" x14ac:dyDescent="0.25">
      <c r="A29" s="109">
        <v>46335</v>
      </c>
      <c r="B29" s="105" t="s">
        <v>138</v>
      </c>
      <c r="C29" s="105" t="s">
        <v>500</v>
      </c>
      <c r="D29" s="105" t="s">
        <v>126</v>
      </c>
      <c r="E29" s="105" t="s">
        <v>123</v>
      </c>
      <c r="F29" s="105">
        <v>119259</v>
      </c>
      <c r="G29" s="105">
        <v>100142</v>
      </c>
      <c r="H29" s="108">
        <f t="shared" si="0"/>
        <v>19117</v>
      </c>
      <c r="I29" s="111" t="e" cm="1">
        <f t="array" aca="1" ref="I29" ca="1">IFabc(F29&gt;=G29,"Achieved","Pending")</f>
        <v>#NAME?</v>
      </c>
      <c r="J29" s="110" t="b">
        <f t="shared" si="2"/>
        <v>1</v>
      </c>
    </row>
    <row r="30" spans="1:10" x14ac:dyDescent="0.25">
      <c r="A30" s="109">
        <v>46336</v>
      </c>
      <c r="B30" s="105" t="s">
        <v>243</v>
      </c>
      <c r="C30" s="105" t="s">
        <v>501</v>
      </c>
      <c r="D30" s="105" t="s">
        <v>45</v>
      </c>
      <c r="E30" s="105" t="s">
        <v>103</v>
      </c>
      <c r="F30" s="105">
        <v>53301</v>
      </c>
      <c r="G30" s="105">
        <v>72325</v>
      </c>
      <c r="H30" s="108">
        <f t="shared" si="0"/>
        <v>-19024</v>
      </c>
      <c r="I30" s="108" t="str">
        <f t="shared" si="1"/>
        <v>Pending</v>
      </c>
      <c r="J30" s="110" t="b">
        <f t="shared" si="2"/>
        <v>0</v>
      </c>
    </row>
    <row r="31" spans="1:10" x14ac:dyDescent="0.25">
      <c r="A31" s="109">
        <v>46337</v>
      </c>
      <c r="B31" s="105" t="s">
        <v>247</v>
      </c>
      <c r="C31" s="105" t="s">
        <v>502</v>
      </c>
      <c r="D31" s="105" t="s">
        <v>93</v>
      </c>
      <c r="E31" s="105" t="s">
        <v>74</v>
      </c>
      <c r="F31" s="105">
        <v>132912</v>
      </c>
      <c r="G31" s="105">
        <v>116622</v>
      </c>
      <c r="H31" s="108">
        <f t="shared" si="0"/>
        <v>16290</v>
      </c>
      <c r="I31" s="108" t="str">
        <f t="shared" si="1"/>
        <v>Achieved</v>
      </c>
      <c r="J31" s="110" t="b">
        <f t="shared" si="2"/>
        <v>1</v>
      </c>
    </row>
    <row r="32" spans="1:10" x14ac:dyDescent="0.25">
      <c r="A32" s="109">
        <v>46338</v>
      </c>
      <c r="B32" s="105" t="s">
        <v>251</v>
      </c>
      <c r="C32" s="105" t="s">
        <v>503</v>
      </c>
      <c r="D32" s="105" t="s">
        <v>126</v>
      </c>
      <c r="E32" s="105" t="s">
        <v>87</v>
      </c>
      <c r="F32" s="105">
        <v>82447</v>
      </c>
      <c r="G32" s="105">
        <v>68746</v>
      </c>
      <c r="H32" s="108">
        <f t="shared" si="0"/>
        <v>13701</v>
      </c>
      <c r="I32" s="108" t="str">
        <f t="shared" si="1"/>
        <v>Achieved</v>
      </c>
      <c r="J32" s="110" t="b">
        <f t="shared" si="2"/>
        <v>1</v>
      </c>
    </row>
    <row r="33" spans="1:10" x14ac:dyDescent="0.25">
      <c r="A33" s="109">
        <v>46339</v>
      </c>
      <c r="B33" s="105" t="s">
        <v>255</v>
      </c>
      <c r="C33" s="105" t="s">
        <v>504</v>
      </c>
      <c r="D33" s="105" t="s">
        <v>45</v>
      </c>
      <c r="E33" s="105" t="s">
        <v>123</v>
      </c>
      <c r="F33" s="105">
        <v>46915</v>
      </c>
      <c r="G33" s="105">
        <v>139061</v>
      </c>
      <c r="H33" s="108">
        <f t="shared" si="0"/>
        <v>-92146</v>
      </c>
      <c r="I33" s="108" t="str">
        <f t="shared" si="1"/>
        <v>Pending</v>
      </c>
      <c r="J33" s="110" t="b">
        <f t="shared" si="2"/>
        <v>0</v>
      </c>
    </row>
    <row r="34" spans="1:10" x14ac:dyDescent="0.25">
      <c r="A34" s="109">
        <v>46340</v>
      </c>
      <c r="B34" s="105" t="s">
        <v>258</v>
      </c>
      <c r="C34" s="105" t="s">
        <v>505</v>
      </c>
      <c r="D34" s="105" t="s">
        <v>134</v>
      </c>
      <c r="E34" s="105" t="s">
        <v>123</v>
      </c>
      <c r="F34" s="105">
        <v>55033</v>
      </c>
      <c r="G34" s="105">
        <v>122240</v>
      </c>
      <c r="H34" s="108">
        <f t="shared" si="0"/>
        <v>-67207</v>
      </c>
      <c r="I34" s="108" t="str">
        <f t="shared" si="1"/>
        <v>Pending</v>
      </c>
      <c r="J34" s="110" t="b">
        <f t="shared" si="2"/>
        <v>0</v>
      </c>
    </row>
    <row r="35" spans="1:10" x14ac:dyDescent="0.25">
      <c r="A35" s="109">
        <v>46341</v>
      </c>
      <c r="B35" s="105" t="s">
        <v>168</v>
      </c>
      <c r="C35" s="105" t="s">
        <v>506</v>
      </c>
      <c r="D35" s="105" t="s">
        <v>45</v>
      </c>
      <c r="E35" s="105" t="s">
        <v>74</v>
      </c>
      <c r="F35" s="105">
        <v>113172</v>
      </c>
      <c r="G35" s="105">
        <v>48326</v>
      </c>
      <c r="H35" s="108">
        <f t="shared" si="0"/>
        <v>64846</v>
      </c>
      <c r="I35" s="108" t="str">
        <f t="shared" si="1"/>
        <v>Achieved</v>
      </c>
      <c r="J35" s="110" t="b">
        <f t="shared" si="2"/>
        <v>0</v>
      </c>
    </row>
    <row r="36" spans="1:10" x14ac:dyDescent="0.25">
      <c r="A36" s="109">
        <v>46342</v>
      </c>
      <c r="B36" s="105" t="s">
        <v>240</v>
      </c>
      <c r="C36" s="105" t="s">
        <v>507</v>
      </c>
      <c r="D36" s="105" t="s">
        <v>126</v>
      </c>
      <c r="E36" s="105" t="s">
        <v>74</v>
      </c>
      <c r="F36" s="105">
        <v>113104</v>
      </c>
      <c r="G36" s="105">
        <v>101348</v>
      </c>
      <c r="H36" s="108">
        <f t="shared" si="0"/>
        <v>11756</v>
      </c>
      <c r="I36" s="108" t="str">
        <f t="shared" si="1"/>
        <v>Achieved</v>
      </c>
      <c r="J36" s="110" t="b">
        <f t="shared" si="2"/>
        <v>1</v>
      </c>
    </row>
    <row r="37" spans="1:10" x14ac:dyDescent="0.25">
      <c r="A37" s="109">
        <v>46343</v>
      </c>
      <c r="B37" s="105" t="s">
        <v>271</v>
      </c>
      <c r="C37" s="105" t="s">
        <v>508</v>
      </c>
      <c r="D37" s="105" t="s">
        <v>80</v>
      </c>
      <c r="E37" s="105" t="s">
        <v>103</v>
      </c>
      <c r="F37" s="105">
        <v>20000</v>
      </c>
      <c r="G37" s="105">
        <v>41504</v>
      </c>
      <c r="H37" s="108">
        <f t="shared" si="0"/>
        <v>-21504</v>
      </c>
      <c r="I37" s="108" t="str">
        <f t="shared" si="1"/>
        <v>Pending</v>
      </c>
      <c r="J37" s="110" t="b">
        <f t="shared" si="2"/>
        <v>0</v>
      </c>
    </row>
    <row r="38" spans="1:10" x14ac:dyDescent="0.25">
      <c r="A38" s="109">
        <v>46344</v>
      </c>
      <c r="B38" s="105" t="s">
        <v>275</v>
      </c>
      <c r="C38" s="105" t="s">
        <v>509</v>
      </c>
      <c r="D38" s="105" t="s">
        <v>93</v>
      </c>
      <c r="E38" s="105" t="s">
        <v>57</v>
      </c>
      <c r="F38" s="105">
        <v>124353</v>
      </c>
      <c r="G38" s="105">
        <v>109163</v>
      </c>
      <c r="H38" s="108">
        <f t="shared" si="0"/>
        <v>15190</v>
      </c>
      <c r="I38" s="108" t="str">
        <f t="shared" si="1"/>
        <v>Achieved</v>
      </c>
      <c r="J38" s="110" t="b">
        <f t="shared" si="2"/>
        <v>1</v>
      </c>
    </row>
    <row r="39" spans="1:10" x14ac:dyDescent="0.25">
      <c r="A39" s="109">
        <v>46345</v>
      </c>
      <c r="B39" s="105" t="s">
        <v>194</v>
      </c>
      <c r="C39" s="105" t="s">
        <v>510</v>
      </c>
      <c r="D39" s="105" t="s">
        <v>185</v>
      </c>
      <c r="E39" s="105" t="s">
        <v>74</v>
      </c>
      <c r="F39" s="105">
        <v>49621</v>
      </c>
      <c r="G39" s="105">
        <v>78469</v>
      </c>
      <c r="H39" s="108">
        <f t="shared" si="0"/>
        <v>-28848</v>
      </c>
      <c r="I39" s="108" t="str">
        <f t="shared" si="1"/>
        <v>Pending</v>
      </c>
      <c r="J39" s="110" t="b">
        <f t="shared" si="2"/>
        <v>0</v>
      </c>
    </row>
    <row r="40" spans="1:10" x14ac:dyDescent="0.25">
      <c r="A40" s="109">
        <v>46346</v>
      </c>
      <c r="B40" s="105" t="s">
        <v>280</v>
      </c>
      <c r="C40" s="105" t="s">
        <v>511</v>
      </c>
      <c r="D40" s="105" t="s">
        <v>126</v>
      </c>
      <c r="E40" s="105" t="s">
        <v>103</v>
      </c>
      <c r="F40" s="105">
        <v>94470</v>
      </c>
      <c r="G40" s="105">
        <v>40425</v>
      </c>
      <c r="H40" s="108">
        <f t="shared" si="0"/>
        <v>54045</v>
      </c>
      <c r="I40" s="108" t="str">
        <f t="shared" si="1"/>
        <v>Achieved</v>
      </c>
      <c r="J40" s="110" t="b">
        <f t="shared" si="2"/>
        <v>0</v>
      </c>
    </row>
    <row r="41" spans="1:10" x14ac:dyDescent="0.25">
      <c r="A41" s="109">
        <v>46347</v>
      </c>
      <c r="B41" s="105" t="s">
        <v>283</v>
      </c>
      <c r="C41" s="105" t="s">
        <v>512</v>
      </c>
      <c r="D41" s="105" t="s">
        <v>93</v>
      </c>
      <c r="E41" s="105" t="s">
        <v>57</v>
      </c>
      <c r="F41" s="105">
        <v>100612</v>
      </c>
      <c r="G41" s="105">
        <v>139871</v>
      </c>
      <c r="H41" s="108">
        <f t="shared" si="0"/>
        <v>-39259</v>
      </c>
      <c r="I41" s="108" t="str">
        <f t="shared" si="1"/>
        <v>Pending</v>
      </c>
      <c r="J41" s="110" t="b">
        <f t="shared" si="2"/>
        <v>0</v>
      </c>
    </row>
    <row r="42" spans="1:10" x14ac:dyDescent="0.25">
      <c r="A42" s="109">
        <v>46348</v>
      </c>
      <c r="B42" s="105" t="s">
        <v>235</v>
      </c>
      <c r="C42" s="105" t="s">
        <v>513</v>
      </c>
      <c r="D42" s="105" t="s">
        <v>45</v>
      </c>
      <c r="E42" s="105" t="s">
        <v>123</v>
      </c>
      <c r="F42" s="105">
        <v>149100</v>
      </c>
      <c r="G42" s="105">
        <v>121959</v>
      </c>
      <c r="H42" s="108">
        <f t="shared" si="0"/>
        <v>27141</v>
      </c>
      <c r="I42" s="108" t="str">
        <f t="shared" si="1"/>
        <v>Achieved</v>
      </c>
      <c r="J42" s="110" t="b">
        <f t="shared" si="2"/>
        <v>1</v>
      </c>
    </row>
    <row r="43" spans="1:10" x14ac:dyDescent="0.25">
      <c r="A43" s="109">
        <v>46349</v>
      </c>
      <c r="B43" s="105" t="s">
        <v>289</v>
      </c>
      <c r="C43" s="105" t="s">
        <v>514</v>
      </c>
      <c r="D43" s="105" t="s">
        <v>185</v>
      </c>
      <c r="E43" s="105" t="s">
        <v>123</v>
      </c>
      <c r="F43" s="105">
        <v>55032</v>
      </c>
      <c r="G43" s="105">
        <v>89009</v>
      </c>
      <c r="H43" s="108">
        <f t="shared" si="0"/>
        <v>-33977</v>
      </c>
      <c r="I43" s="108" t="str">
        <f t="shared" si="1"/>
        <v>Pending</v>
      </c>
      <c r="J43" s="110" t="b">
        <f t="shared" si="2"/>
        <v>0</v>
      </c>
    </row>
    <row r="44" spans="1:10" x14ac:dyDescent="0.25">
      <c r="A44" s="109">
        <v>46350</v>
      </c>
      <c r="B44" s="105" t="s">
        <v>120</v>
      </c>
      <c r="C44" s="105" t="s">
        <v>515</v>
      </c>
      <c r="D44" s="105" t="s">
        <v>45</v>
      </c>
      <c r="E44" s="105" t="s">
        <v>57</v>
      </c>
      <c r="F44" s="105">
        <v>113504</v>
      </c>
      <c r="G44" s="105">
        <v>82487</v>
      </c>
      <c r="H44" s="108">
        <f t="shared" si="0"/>
        <v>31017</v>
      </c>
      <c r="I44" s="108" t="str">
        <f t="shared" si="1"/>
        <v>Achieved</v>
      </c>
      <c r="J44" s="110" t="b">
        <f t="shared" si="2"/>
        <v>1</v>
      </c>
    </row>
    <row r="45" spans="1:10" x14ac:dyDescent="0.25">
      <c r="A45" s="109">
        <v>46351</v>
      </c>
      <c r="B45" s="105" t="s">
        <v>295</v>
      </c>
      <c r="C45" s="105" t="s">
        <v>516</v>
      </c>
      <c r="D45" s="105" t="s">
        <v>126</v>
      </c>
      <c r="E45" s="105" t="s">
        <v>57</v>
      </c>
      <c r="F45" s="105">
        <v>49662</v>
      </c>
      <c r="G45" s="105">
        <v>87576</v>
      </c>
      <c r="H45" s="108">
        <f t="shared" si="0"/>
        <v>-37914</v>
      </c>
      <c r="I45" s="108" t="str">
        <f t="shared" si="1"/>
        <v>Pending</v>
      </c>
      <c r="J45" s="110" t="b">
        <f t="shared" si="2"/>
        <v>0</v>
      </c>
    </row>
    <row r="46" spans="1:10" x14ac:dyDescent="0.25">
      <c r="A46" s="109">
        <v>46352</v>
      </c>
      <c r="B46" s="105" t="s">
        <v>286</v>
      </c>
      <c r="C46" s="105" t="s">
        <v>517</v>
      </c>
      <c r="D46" s="105" t="s">
        <v>185</v>
      </c>
      <c r="E46" s="105" t="s">
        <v>123</v>
      </c>
      <c r="F46" s="105">
        <v>42592</v>
      </c>
      <c r="G46" s="105">
        <v>71571</v>
      </c>
      <c r="H46" s="108">
        <f t="shared" si="0"/>
        <v>-28979</v>
      </c>
      <c r="I46" s="108" t="str">
        <f t="shared" si="1"/>
        <v>Pending</v>
      </c>
      <c r="J46" s="110" t="b">
        <f t="shared" si="2"/>
        <v>0</v>
      </c>
    </row>
    <row r="47" spans="1:10" x14ac:dyDescent="0.25">
      <c r="A47" s="109">
        <v>46353</v>
      </c>
      <c r="B47" s="105" t="s">
        <v>300</v>
      </c>
      <c r="C47" s="105" t="s">
        <v>518</v>
      </c>
      <c r="D47" s="105" t="s">
        <v>80</v>
      </c>
      <c r="E47" s="105" t="s">
        <v>103</v>
      </c>
      <c r="F47" s="105">
        <v>46226</v>
      </c>
      <c r="G47" s="105">
        <v>135932</v>
      </c>
      <c r="H47" s="108">
        <f t="shared" si="0"/>
        <v>-89706</v>
      </c>
      <c r="I47" s="108" t="str">
        <f t="shared" si="1"/>
        <v>Pending</v>
      </c>
      <c r="J47" s="110" t="b">
        <f t="shared" si="2"/>
        <v>0</v>
      </c>
    </row>
    <row r="48" spans="1:10" x14ac:dyDescent="0.25">
      <c r="A48" s="109">
        <v>46354</v>
      </c>
      <c r="B48" s="105" t="s">
        <v>304</v>
      </c>
      <c r="C48" s="105" t="s">
        <v>519</v>
      </c>
      <c r="D48" s="105" t="s">
        <v>126</v>
      </c>
      <c r="E48" s="105" t="s">
        <v>87</v>
      </c>
      <c r="F48" s="105">
        <v>20000</v>
      </c>
      <c r="G48" s="105">
        <v>109822</v>
      </c>
      <c r="H48" s="108">
        <f t="shared" si="0"/>
        <v>-89822</v>
      </c>
      <c r="I48" s="108" t="str">
        <f t="shared" si="1"/>
        <v>Pending</v>
      </c>
      <c r="J48" s="110" t="b">
        <f t="shared" si="2"/>
        <v>0</v>
      </c>
    </row>
    <row r="49" spans="1:10" x14ac:dyDescent="0.25">
      <c r="A49" s="109">
        <v>46355</v>
      </c>
      <c r="B49" s="105" t="s">
        <v>308</v>
      </c>
      <c r="C49" s="105" t="s">
        <v>520</v>
      </c>
      <c r="D49" s="105" t="s">
        <v>45</v>
      </c>
      <c r="E49" s="105" t="s">
        <v>87</v>
      </c>
      <c r="F49" s="105">
        <v>121474</v>
      </c>
      <c r="G49" s="105">
        <v>102296</v>
      </c>
      <c r="H49" s="108">
        <f t="shared" si="0"/>
        <v>19178</v>
      </c>
      <c r="I49" s="108" t="str">
        <f t="shared" si="1"/>
        <v>Achieved</v>
      </c>
      <c r="J49" s="110" t="b">
        <f t="shared" si="2"/>
        <v>1</v>
      </c>
    </row>
    <row r="50" spans="1:10" x14ac:dyDescent="0.25">
      <c r="A50" s="109">
        <v>46356</v>
      </c>
      <c r="B50" s="105" t="s">
        <v>231</v>
      </c>
      <c r="C50" s="105" t="s">
        <v>521</v>
      </c>
      <c r="D50" s="105" t="s">
        <v>80</v>
      </c>
      <c r="E50" s="105" t="s">
        <v>87</v>
      </c>
      <c r="F50" s="105">
        <v>69741</v>
      </c>
      <c r="G50" s="105">
        <v>109163</v>
      </c>
      <c r="H50" s="108">
        <f t="shared" si="0"/>
        <v>-39422</v>
      </c>
      <c r="I50" s="108" t="str">
        <f t="shared" si="1"/>
        <v>Pending</v>
      </c>
      <c r="J50" s="110" t="b">
        <f t="shared" si="2"/>
        <v>0</v>
      </c>
    </row>
    <row r="51" spans="1:10" x14ac:dyDescent="0.25">
      <c r="A51" s="109">
        <v>46357</v>
      </c>
      <c r="B51" s="105" t="s">
        <v>314</v>
      </c>
      <c r="C51" s="105" t="s">
        <v>522</v>
      </c>
      <c r="D51" s="105" t="s">
        <v>80</v>
      </c>
      <c r="E51" s="105" t="s">
        <v>123</v>
      </c>
      <c r="F51" s="105">
        <v>62760</v>
      </c>
      <c r="G51" s="105">
        <v>110686</v>
      </c>
      <c r="H51" s="108">
        <f t="shared" si="0"/>
        <v>-47926</v>
      </c>
      <c r="I51" s="108" t="str">
        <f t="shared" si="1"/>
        <v>Pending</v>
      </c>
      <c r="J51" s="110" t="b">
        <f t="shared" si="2"/>
        <v>0</v>
      </c>
    </row>
    <row r="55" spans="1:10" ht="15.75" thickBot="1" x14ac:dyDescent="0.3"/>
    <row r="56" spans="1:10" x14ac:dyDescent="0.25">
      <c r="A56" s="118" t="s">
        <v>469</v>
      </c>
      <c r="B56" s="119" t="s">
        <v>0</v>
      </c>
      <c r="C56" s="119" t="s">
        <v>470</v>
      </c>
      <c r="D56" s="119" t="s">
        <v>6</v>
      </c>
      <c r="E56" s="119" t="s">
        <v>36</v>
      </c>
      <c r="F56" s="119" t="s">
        <v>471</v>
      </c>
      <c r="G56" s="119" t="s">
        <v>472</v>
      </c>
      <c r="H56" s="119" t="s">
        <v>532</v>
      </c>
      <c r="I56" s="119" t="s">
        <v>533</v>
      </c>
      <c r="J56" s="120" t="s">
        <v>533</v>
      </c>
    </row>
    <row r="57" spans="1:10" x14ac:dyDescent="0.25">
      <c r="A57" s="121">
        <v>46308</v>
      </c>
      <c r="B57" s="53" t="s">
        <v>40</v>
      </c>
      <c r="C57" s="53" t="s">
        <v>473</v>
      </c>
      <c r="D57" s="53" t="s">
        <v>93</v>
      </c>
      <c r="E57" s="53" t="s">
        <v>57</v>
      </c>
      <c r="F57" s="53">
        <v>38278</v>
      </c>
      <c r="G57" s="53">
        <v>137196</v>
      </c>
      <c r="H57" s="53">
        <f>F57-G57</f>
        <v>-98918</v>
      </c>
      <c r="I57" s="53" t="str">
        <f>IF(F57&gt;=G57,"Achieved","Pending")</f>
        <v>Pending</v>
      </c>
      <c r="J57" s="123" t="b">
        <v>0</v>
      </c>
    </row>
    <row r="58" spans="1:10" x14ac:dyDescent="0.25">
      <c r="A58" s="122">
        <v>46309</v>
      </c>
      <c r="B58" s="53" t="s">
        <v>58</v>
      </c>
      <c r="C58" s="53" t="s">
        <v>474</v>
      </c>
      <c r="D58" s="53" t="s">
        <v>185</v>
      </c>
      <c r="E58" s="53" t="s">
        <v>74</v>
      </c>
      <c r="F58" s="53">
        <v>64256</v>
      </c>
      <c r="G58" s="53">
        <v>58289</v>
      </c>
      <c r="H58" s="53">
        <f t="shared" ref="H58:H106" si="3">F58-G58</f>
        <v>5967</v>
      </c>
      <c r="I58" s="53" t="str">
        <f t="shared" ref="I58:I65" si="4">IF(F58&gt;=G58,"Achieved","Pending")</f>
        <v>Achieved</v>
      </c>
      <c r="J58" s="123" t="b">
        <v>1</v>
      </c>
    </row>
    <row r="59" spans="1:10" x14ac:dyDescent="0.25">
      <c r="A59" s="122">
        <v>46310</v>
      </c>
      <c r="B59" s="53" t="s">
        <v>75</v>
      </c>
      <c r="C59" s="53" t="s">
        <v>475</v>
      </c>
      <c r="D59" s="53" t="s">
        <v>93</v>
      </c>
      <c r="E59" s="53" t="s">
        <v>87</v>
      </c>
      <c r="F59" s="53">
        <v>123696</v>
      </c>
      <c r="G59" s="53">
        <v>137080</v>
      </c>
      <c r="H59" s="53">
        <f t="shared" si="3"/>
        <v>-13384</v>
      </c>
      <c r="I59" s="53" t="str">
        <f t="shared" si="4"/>
        <v>Pending</v>
      </c>
      <c r="J59" s="123" t="b">
        <v>0</v>
      </c>
    </row>
    <row r="60" spans="1:10" x14ac:dyDescent="0.25">
      <c r="A60" s="122">
        <v>46311</v>
      </c>
      <c r="B60" s="53" t="s">
        <v>88</v>
      </c>
      <c r="C60" s="53" t="s">
        <v>476</v>
      </c>
      <c r="D60" s="53" t="s">
        <v>80</v>
      </c>
      <c r="E60" s="53" t="s">
        <v>103</v>
      </c>
      <c r="F60" s="53">
        <v>112397</v>
      </c>
      <c r="G60" s="53">
        <v>95302</v>
      </c>
      <c r="H60" s="53">
        <f t="shared" si="3"/>
        <v>17095</v>
      </c>
      <c r="I60" s="53" t="str">
        <f t="shared" si="4"/>
        <v>Achieved</v>
      </c>
      <c r="J60" s="123" t="b">
        <v>1</v>
      </c>
    </row>
    <row r="61" spans="1:10" x14ac:dyDescent="0.25">
      <c r="A61" s="122">
        <v>46312</v>
      </c>
      <c r="B61" s="53" t="s">
        <v>104</v>
      </c>
      <c r="C61" s="53" t="s">
        <v>477</v>
      </c>
      <c r="D61" s="53" t="s">
        <v>134</v>
      </c>
      <c r="E61" s="53" t="s">
        <v>74</v>
      </c>
      <c r="F61" s="53">
        <v>47280</v>
      </c>
      <c r="G61" s="53">
        <v>68657</v>
      </c>
      <c r="H61" s="53">
        <f t="shared" si="3"/>
        <v>-21377</v>
      </c>
      <c r="I61" s="53" t="str">
        <f t="shared" si="4"/>
        <v>Pending</v>
      </c>
      <c r="J61" s="123" t="b">
        <v>0</v>
      </c>
    </row>
    <row r="62" spans="1:10" x14ac:dyDescent="0.25">
      <c r="A62" s="122">
        <v>46313</v>
      </c>
      <c r="B62" s="53" t="s">
        <v>114</v>
      </c>
      <c r="C62" s="53" t="s">
        <v>478</v>
      </c>
      <c r="D62" s="53" t="s">
        <v>45</v>
      </c>
      <c r="E62" s="53" t="s">
        <v>123</v>
      </c>
      <c r="F62" s="53">
        <v>108563</v>
      </c>
      <c r="G62" s="53">
        <v>66062</v>
      </c>
      <c r="H62" s="53">
        <f t="shared" si="3"/>
        <v>42501</v>
      </c>
      <c r="I62" s="53" t="str">
        <f t="shared" si="4"/>
        <v>Achieved</v>
      </c>
      <c r="J62" s="123" t="b">
        <v>1</v>
      </c>
    </row>
    <row r="63" spans="1:10" x14ac:dyDescent="0.25">
      <c r="A63" s="122">
        <v>46314</v>
      </c>
      <c r="B63" s="53" t="s">
        <v>124</v>
      </c>
      <c r="C63" s="53" t="s">
        <v>479</v>
      </c>
      <c r="D63" s="53" t="s">
        <v>93</v>
      </c>
      <c r="E63" s="53" t="s">
        <v>57</v>
      </c>
      <c r="F63" s="53">
        <v>63893</v>
      </c>
      <c r="G63" s="53">
        <v>98878</v>
      </c>
      <c r="H63" s="53">
        <f t="shared" si="3"/>
        <v>-34985</v>
      </c>
      <c r="I63" s="53" t="str">
        <f t="shared" si="4"/>
        <v>Pending</v>
      </c>
      <c r="J63" s="123" t="b">
        <v>0</v>
      </c>
    </row>
    <row r="64" spans="1:10" x14ac:dyDescent="0.25">
      <c r="A64" s="122">
        <v>46315</v>
      </c>
      <c r="B64" s="53" t="s">
        <v>132</v>
      </c>
      <c r="C64" s="53" t="s">
        <v>480</v>
      </c>
      <c r="D64" s="53" t="s">
        <v>80</v>
      </c>
      <c r="E64" s="53" t="s">
        <v>103</v>
      </c>
      <c r="F64" s="53">
        <v>141093</v>
      </c>
      <c r="G64" s="53">
        <v>40851</v>
      </c>
      <c r="H64" s="53">
        <f t="shared" si="3"/>
        <v>100242</v>
      </c>
      <c r="I64" s="53" t="str">
        <f t="shared" si="4"/>
        <v>Achieved</v>
      </c>
      <c r="J64" s="123" t="b">
        <v>0</v>
      </c>
    </row>
    <row r="65" spans="1:10" x14ac:dyDescent="0.25">
      <c r="A65" s="122">
        <v>46316</v>
      </c>
      <c r="B65" s="53" t="s">
        <v>141</v>
      </c>
      <c r="C65" s="53" t="s">
        <v>481</v>
      </c>
      <c r="D65" s="53" t="s">
        <v>45</v>
      </c>
      <c r="E65" s="53" t="s">
        <v>123</v>
      </c>
      <c r="F65" s="53">
        <v>79597</v>
      </c>
      <c r="G65" s="53">
        <v>76421</v>
      </c>
      <c r="H65" s="53">
        <f t="shared" si="3"/>
        <v>3176</v>
      </c>
      <c r="I65" s="53" t="str">
        <f t="shared" si="4"/>
        <v>Achieved</v>
      </c>
      <c r="J65" s="123" t="b">
        <v>1</v>
      </c>
    </row>
    <row r="66" spans="1:10" x14ac:dyDescent="0.25">
      <c r="A66" s="122">
        <v>46317</v>
      </c>
      <c r="B66" s="53" t="s">
        <v>151</v>
      </c>
      <c r="C66" s="53" t="s">
        <v>482</v>
      </c>
      <c r="D66" s="53" t="s">
        <v>45</v>
      </c>
      <c r="E66" s="53" t="s">
        <v>87</v>
      </c>
      <c r="F66" s="53">
        <v>135072</v>
      </c>
      <c r="G66" s="53">
        <v>84118</v>
      </c>
      <c r="H66" s="53">
        <f t="shared" si="3"/>
        <v>50954</v>
      </c>
      <c r="I66" s="125" t="e" cm="1">
        <f t="array" aca="1" ref="I66" ca="1">IFabc(F66&gt;=G66,"Achieved","Pending")</f>
        <v>#NAME?</v>
      </c>
      <c r="J66" s="123" t="b">
        <v>1</v>
      </c>
    </row>
    <row r="67" spans="1:10" x14ac:dyDescent="0.25">
      <c r="A67" s="122">
        <v>46318</v>
      </c>
      <c r="B67" s="53" t="s">
        <v>68</v>
      </c>
      <c r="C67" s="53" t="s">
        <v>483</v>
      </c>
      <c r="D67" s="53" t="s">
        <v>134</v>
      </c>
      <c r="E67" s="53" t="s">
        <v>57</v>
      </c>
      <c r="F67" s="53">
        <v>84797</v>
      </c>
      <c r="G67" s="53">
        <v>52676</v>
      </c>
      <c r="H67" s="53">
        <f t="shared" si="3"/>
        <v>32121</v>
      </c>
      <c r="I67" s="53" t="str">
        <f t="shared" ref="I67:I76" si="5">IF(F67&gt;=G67,"Achieved","Pending")</f>
        <v>Achieved</v>
      </c>
      <c r="J67" s="123" t="b">
        <v>1</v>
      </c>
    </row>
    <row r="68" spans="1:10" x14ac:dyDescent="0.25">
      <c r="A68" s="122">
        <v>46319</v>
      </c>
      <c r="B68" s="53" t="s">
        <v>163</v>
      </c>
      <c r="C68" s="53" t="s">
        <v>484</v>
      </c>
      <c r="D68" s="53" t="s">
        <v>185</v>
      </c>
      <c r="E68" s="53" t="s">
        <v>123</v>
      </c>
      <c r="F68" s="53">
        <v>20000</v>
      </c>
      <c r="G68" s="53">
        <v>74671</v>
      </c>
      <c r="H68" s="53">
        <f t="shared" si="3"/>
        <v>-54671</v>
      </c>
      <c r="I68" s="53" t="str">
        <f t="shared" si="5"/>
        <v>Pending</v>
      </c>
      <c r="J68" s="123" t="b">
        <v>0</v>
      </c>
    </row>
    <row r="69" spans="1:10" x14ac:dyDescent="0.25">
      <c r="A69" s="122">
        <v>46320</v>
      </c>
      <c r="B69" s="53" t="s">
        <v>170</v>
      </c>
      <c r="C69" s="53" t="s">
        <v>485</v>
      </c>
      <c r="D69" s="53" t="s">
        <v>134</v>
      </c>
      <c r="E69" s="53" t="s">
        <v>123</v>
      </c>
      <c r="F69" s="53">
        <v>105284</v>
      </c>
      <c r="G69" s="53">
        <v>56361</v>
      </c>
      <c r="H69" s="53">
        <f t="shared" si="3"/>
        <v>48923</v>
      </c>
      <c r="I69" s="53" t="str">
        <f t="shared" si="5"/>
        <v>Achieved</v>
      </c>
      <c r="J69" s="123" t="b">
        <v>1</v>
      </c>
    </row>
    <row r="70" spans="1:10" x14ac:dyDescent="0.25">
      <c r="A70" s="122">
        <v>46321</v>
      </c>
      <c r="B70" s="53" t="s">
        <v>175</v>
      </c>
      <c r="C70" s="53" t="s">
        <v>486</v>
      </c>
      <c r="D70" s="53" t="s">
        <v>126</v>
      </c>
      <c r="E70" s="53" t="s">
        <v>57</v>
      </c>
      <c r="F70" s="53">
        <v>20000</v>
      </c>
      <c r="G70" s="53">
        <v>78427</v>
      </c>
      <c r="H70" s="53">
        <f t="shared" si="3"/>
        <v>-58427</v>
      </c>
      <c r="I70" s="53" t="str">
        <f t="shared" si="5"/>
        <v>Pending</v>
      </c>
      <c r="J70" s="123" t="b">
        <v>0</v>
      </c>
    </row>
    <row r="71" spans="1:10" x14ac:dyDescent="0.25">
      <c r="A71" s="122">
        <v>46322</v>
      </c>
      <c r="B71" s="53" t="s">
        <v>180</v>
      </c>
      <c r="C71" s="53" t="s">
        <v>487</v>
      </c>
      <c r="D71" s="53" t="s">
        <v>93</v>
      </c>
      <c r="E71" s="53" t="s">
        <v>87</v>
      </c>
      <c r="F71" s="53">
        <v>110674</v>
      </c>
      <c r="G71" s="53">
        <v>65203</v>
      </c>
      <c r="H71" s="53">
        <f t="shared" si="3"/>
        <v>45471</v>
      </c>
      <c r="I71" s="53" t="str">
        <f t="shared" si="5"/>
        <v>Achieved</v>
      </c>
      <c r="J71" s="123" t="b">
        <v>1</v>
      </c>
    </row>
    <row r="72" spans="1:10" x14ac:dyDescent="0.25">
      <c r="A72" s="122">
        <v>46323</v>
      </c>
      <c r="B72" s="53" t="s">
        <v>129</v>
      </c>
      <c r="C72" s="53" t="s">
        <v>488</v>
      </c>
      <c r="D72" s="53" t="s">
        <v>93</v>
      </c>
      <c r="E72" s="53" t="s">
        <v>103</v>
      </c>
      <c r="F72" s="53">
        <v>41006</v>
      </c>
      <c r="G72" s="53">
        <v>126673</v>
      </c>
      <c r="H72" s="53">
        <f t="shared" si="3"/>
        <v>-85667</v>
      </c>
      <c r="I72" s="53" t="str">
        <f t="shared" si="5"/>
        <v>Pending</v>
      </c>
      <c r="J72" s="123" t="b">
        <v>0</v>
      </c>
    </row>
    <row r="73" spans="1:10" x14ac:dyDescent="0.25">
      <c r="A73" s="122">
        <v>46324</v>
      </c>
      <c r="B73" s="53" t="s">
        <v>190</v>
      </c>
      <c r="C73" s="53" t="s">
        <v>489</v>
      </c>
      <c r="D73" s="53" t="s">
        <v>45</v>
      </c>
      <c r="E73" s="53" t="s">
        <v>57</v>
      </c>
      <c r="F73" s="53">
        <v>45458</v>
      </c>
      <c r="G73" s="53">
        <v>70512</v>
      </c>
      <c r="H73" s="53">
        <f t="shared" si="3"/>
        <v>-25054</v>
      </c>
      <c r="I73" s="53" t="str">
        <f t="shared" si="5"/>
        <v>Pending</v>
      </c>
      <c r="J73" s="123" t="b">
        <v>0</v>
      </c>
    </row>
    <row r="74" spans="1:10" x14ac:dyDescent="0.25">
      <c r="A74" s="122">
        <v>46325</v>
      </c>
      <c r="B74" s="53" t="s">
        <v>195</v>
      </c>
      <c r="C74" s="53" t="s">
        <v>490</v>
      </c>
      <c r="D74" s="53" t="s">
        <v>134</v>
      </c>
      <c r="E74" s="53" t="s">
        <v>87</v>
      </c>
      <c r="F74" s="53">
        <v>71434</v>
      </c>
      <c r="G74" s="53">
        <v>99429</v>
      </c>
      <c r="H74" s="53">
        <f t="shared" si="3"/>
        <v>-27995</v>
      </c>
      <c r="I74" s="53" t="str">
        <f t="shared" si="5"/>
        <v>Pending</v>
      </c>
      <c r="J74" s="123" t="b">
        <v>0</v>
      </c>
    </row>
    <row r="75" spans="1:10" x14ac:dyDescent="0.25">
      <c r="A75" s="122">
        <v>46326</v>
      </c>
      <c r="B75" s="53" t="s">
        <v>200</v>
      </c>
      <c r="C75" s="53" t="s">
        <v>491</v>
      </c>
      <c r="D75" s="53" t="s">
        <v>93</v>
      </c>
      <c r="E75" s="53" t="s">
        <v>123</v>
      </c>
      <c r="F75" s="53">
        <v>56319</v>
      </c>
      <c r="G75" s="53">
        <v>88520</v>
      </c>
      <c r="H75" s="53">
        <f t="shared" si="3"/>
        <v>-32201</v>
      </c>
      <c r="I75" s="53" t="str">
        <f t="shared" si="5"/>
        <v>Pending</v>
      </c>
      <c r="J75" s="123" t="b">
        <v>0</v>
      </c>
    </row>
    <row r="76" spans="1:10" x14ac:dyDescent="0.25">
      <c r="A76" s="122">
        <v>46327</v>
      </c>
      <c r="B76" s="53" t="s">
        <v>205</v>
      </c>
      <c r="C76" s="53" t="s">
        <v>492</v>
      </c>
      <c r="D76" s="53" t="s">
        <v>185</v>
      </c>
      <c r="E76" s="53" t="s">
        <v>123</v>
      </c>
      <c r="F76" s="53">
        <v>122841</v>
      </c>
      <c r="G76" s="53">
        <v>74993</v>
      </c>
      <c r="H76" s="53">
        <f t="shared" si="3"/>
        <v>47848</v>
      </c>
      <c r="I76" s="53" t="str">
        <f t="shared" si="5"/>
        <v>Achieved</v>
      </c>
      <c r="J76" s="123" t="b">
        <v>1</v>
      </c>
    </row>
    <row r="77" spans="1:10" x14ac:dyDescent="0.25">
      <c r="A77" s="122">
        <v>46328</v>
      </c>
      <c r="B77" s="53" t="s">
        <v>210</v>
      </c>
      <c r="C77" s="53" t="s">
        <v>493</v>
      </c>
      <c r="D77" s="53" t="s">
        <v>93</v>
      </c>
      <c r="E77" s="53" t="s">
        <v>74</v>
      </c>
      <c r="F77" s="53">
        <v>114840</v>
      </c>
      <c r="G77" s="53">
        <v>123227</v>
      </c>
      <c r="H77" s="53">
        <f t="shared" si="3"/>
        <v>-8387</v>
      </c>
      <c r="I77" s="125" t="e" cm="1">
        <f t="array" aca="1" ref="I77" ca="1">IFabc(F77&gt;=G77,"Achieved","Pending")</f>
        <v>#NAME?</v>
      </c>
      <c r="J77" s="123" t="b">
        <v>0</v>
      </c>
    </row>
    <row r="78" spans="1:10" x14ac:dyDescent="0.25">
      <c r="A78" s="122">
        <v>46329</v>
      </c>
      <c r="B78" s="53" t="s">
        <v>215</v>
      </c>
      <c r="C78" s="53" t="s">
        <v>494</v>
      </c>
      <c r="D78" s="53" t="s">
        <v>45</v>
      </c>
      <c r="E78" s="53" t="s">
        <v>74</v>
      </c>
      <c r="F78" s="53">
        <v>56417</v>
      </c>
      <c r="G78" s="53">
        <v>100589</v>
      </c>
      <c r="H78" s="53">
        <f t="shared" si="3"/>
        <v>-44172</v>
      </c>
      <c r="I78" s="53" t="str">
        <f t="shared" ref="I78:I83" si="6">IF(F78&gt;=G78,"Achieved","Pending")</f>
        <v>Pending</v>
      </c>
      <c r="J78" s="123" t="b">
        <v>0</v>
      </c>
    </row>
    <row r="79" spans="1:10" x14ac:dyDescent="0.25">
      <c r="A79" s="122">
        <v>46330</v>
      </c>
      <c r="B79" s="53" t="s">
        <v>209</v>
      </c>
      <c r="C79" s="53" t="s">
        <v>495</v>
      </c>
      <c r="D79" s="53" t="s">
        <v>126</v>
      </c>
      <c r="E79" s="53" t="s">
        <v>87</v>
      </c>
      <c r="F79" s="53">
        <v>118886</v>
      </c>
      <c r="G79" s="53">
        <v>130198</v>
      </c>
      <c r="H79" s="53">
        <f t="shared" si="3"/>
        <v>-11312</v>
      </c>
      <c r="I79" s="53" t="str">
        <f t="shared" si="6"/>
        <v>Pending</v>
      </c>
      <c r="J79" s="123" t="b">
        <v>0</v>
      </c>
    </row>
    <row r="80" spans="1:10" x14ac:dyDescent="0.25">
      <c r="A80" s="122">
        <v>46331</v>
      </c>
      <c r="B80" s="53" t="s">
        <v>223</v>
      </c>
      <c r="C80" s="53" t="s">
        <v>496</v>
      </c>
      <c r="D80" s="53" t="s">
        <v>80</v>
      </c>
      <c r="E80" s="53" t="s">
        <v>103</v>
      </c>
      <c r="F80" s="53">
        <v>124733</v>
      </c>
      <c r="G80" s="53">
        <v>82504</v>
      </c>
      <c r="H80" s="53">
        <f t="shared" si="3"/>
        <v>42229</v>
      </c>
      <c r="I80" s="53" t="str">
        <f t="shared" si="6"/>
        <v>Achieved</v>
      </c>
      <c r="J80" s="123" t="b">
        <v>1</v>
      </c>
    </row>
    <row r="81" spans="1:10" x14ac:dyDescent="0.25">
      <c r="A81" s="122">
        <v>46332</v>
      </c>
      <c r="B81" s="53" t="s">
        <v>227</v>
      </c>
      <c r="C81" s="53" t="s">
        <v>497</v>
      </c>
      <c r="D81" s="53" t="s">
        <v>134</v>
      </c>
      <c r="E81" s="53" t="s">
        <v>123</v>
      </c>
      <c r="F81" s="53">
        <v>142715</v>
      </c>
      <c r="G81" s="53">
        <v>44207</v>
      </c>
      <c r="H81" s="53">
        <f t="shared" si="3"/>
        <v>98508</v>
      </c>
      <c r="I81" s="53" t="str">
        <f t="shared" si="6"/>
        <v>Achieved</v>
      </c>
      <c r="J81" s="123" t="b">
        <v>0</v>
      </c>
    </row>
    <row r="82" spans="1:10" x14ac:dyDescent="0.25">
      <c r="A82" s="122">
        <v>46333</v>
      </c>
      <c r="B82" s="53" t="s">
        <v>222</v>
      </c>
      <c r="C82" s="53" t="s">
        <v>498</v>
      </c>
      <c r="D82" s="53" t="s">
        <v>185</v>
      </c>
      <c r="E82" s="53" t="s">
        <v>87</v>
      </c>
      <c r="F82" s="53">
        <v>70093</v>
      </c>
      <c r="G82" s="53">
        <v>48675</v>
      </c>
      <c r="H82" s="53">
        <f t="shared" si="3"/>
        <v>21418</v>
      </c>
      <c r="I82" s="53" t="str">
        <f t="shared" si="6"/>
        <v>Achieved</v>
      </c>
      <c r="J82" s="123" t="b">
        <v>0</v>
      </c>
    </row>
    <row r="83" spans="1:10" x14ac:dyDescent="0.25">
      <c r="A83" s="122">
        <v>46334</v>
      </c>
      <c r="B83" s="53" t="s">
        <v>110</v>
      </c>
      <c r="C83" s="53" t="s">
        <v>499</v>
      </c>
      <c r="D83" s="53" t="s">
        <v>45</v>
      </c>
      <c r="E83" s="53" t="s">
        <v>87</v>
      </c>
      <c r="F83" s="53">
        <v>62869</v>
      </c>
      <c r="G83" s="53">
        <v>125909</v>
      </c>
      <c r="H83" s="53">
        <f t="shared" si="3"/>
        <v>-63040</v>
      </c>
      <c r="I83" s="53" t="str">
        <f t="shared" si="6"/>
        <v>Pending</v>
      </c>
      <c r="J83" s="123" t="b">
        <v>0</v>
      </c>
    </row>
    <row r="84" spans="1:10" x14ac:dyDescent="0.25">
      <c r="A84" s="122">
        <v>46335</v>
      </c>
      <c r="B84" s="53" t="s">
        <v>138</v>
      </c>
      <c r="C84" s="53" t="s">
        <v>500</v>
      </c>
      <c r="D84" s="53" t="s">
        <v>126</v>
      </c>
      <c r="E84" s="53" t="s">
        <v>123</v>
      </c>
      <c r="F84" s="53">
        <v>119259</v>
      </c>
      <c r="G84" s="53">
        <v>100142</v>
      </c>
      <c r="H84" s="53">
        <f t="shared" si="3"/>
        <v>19117</v>
      </c>
      <c r="I84" s="125" t="e" cm="1">
        <f t="array" aca="1" ref="I84" ca="1">IFabc(F84&gt;=G84,"Achieved","Pending")</f>
        <v>#NAME?</v>
      </c>
      <c r="J84" s="123" t="b">
        <v>1</v>
      </c>
    </row>
    <row r="85" spans="1:10" x14ac:dyDescent="0.25">
      <c r="A85" s="122">
        <v>46336</v>
      </c>
      <c r="B85" s="53" t="s">
        <v>243</v>
      </c>
      <c r="C85" s="53" t="s">
        <v>501</v>
      </c>
      <c r="D85" s="53" t="s">
        <v>45</v>
      </c>
      <c r="E85" s="53" t="s">
        <v>103</v>
      </c>
      <c r="F85" s="53">
        <v>53301</v>
      </c>
      <c r="G85" s="53">
        <v>72325</v>
      </c>
      <c r="H85" s="53">
        <f t="shared" si="3"/>
        <v>-19024</v>
      </c>
      <c r="I85" s="53" t="str">
        <f t="shared" ref="I85:I106" si="7">IF(F85&gt;=G85,"Achieved","Pending")</f>
        <v>Pending</v>
      </c>
      <c r="J85" s="123" t="b">
        <v>0</v>
      </c>
    </row>
    <row r="86" spans="1:10" x14ac:dyDescent="0.25">
      <c r="A86" s="122">
        <v>46337</v>
      </c>
      <c r="B86" s="53" t="s">
        <v>247</v>
      </c>
      <c r="C86" s="53" t="s">
        <v>502</v>
      </c>
      <c r="D86" s="53" t="s">
        <v>93</v>
      </c>
      <c r="E86" s="53" t="s">
        <v>74</v>
      </c>
      <c r="F86" s="53">
        <v>132912</v>
      </c>
      <c r="G86" s="53">
        <v>116622</v>
      </c>
      <c r="H86" s="53">
        <f t="shared" si="3"/>
        <v>16290</v>
      </c>
      <c r="I86" s="53" t="str">
        <f t="shared" si="7"/>
        <v>Achieved</v>
      </c>
      <c r="J86" s="123" t="b">
        <v>1</v>
      </c>
    </row>
    <row r="87" spans="1:10" x14ac:dyDescent="0.25">
      <c r="A87" s="122">
        <v>46338</v>
      </c>
      <c r="B87" s="53" t="s">
        <v>251</v>
      </c>
      <c r="C87" s="53" t="s">
        <v>503</v>
      </c>
      <c r="D87" s="53" t="s">
        <v>126</v>
      </c>
      <c r="E87" s="53" t="s">
        <v>87</v>
      </c>
      <c r="F87" s="53">
        <v>82447</v>
      </c>
      <c r="G87" s="53">
        <v>68746</v>
      </c>
      <c r="H87" s="53">
        <f t="shared" si="3"/>
        <v>13701</v>
      </c>
      <c r="I87" s="53" t="str">
        <f t="shared" si="7"/>
        <v>Achieved</v>
      </c>
      <c r="J87" s="123" t="b">
        <v>1</v>
      </c>
    </row>
    <row r="88" spans="1:10" x14ac:dyDescent="0.25">
      <c r="A88" s="122">
        <v>46339</v>
      </c>
      <c r="B88" s="53" t="s">
        <v>255</v>
      </c>
      <c r="C88" s="53" t="s">
        <v>504</v>
      </c>
      <c r="D88" s="53" t="s">
        <v>45</v>
      </c>
      <c r="E88" s="53" t="s">
        <v>123</v>
      </c>
      <c r="F88" s="53">
        <v>46915</v>
      </c>
      <c r="G88" s="53">
        <v>139061</v>
      </c>
      <c r="H88" s="53">
        <f t="shared" si="3"/>
        <v>-92146</v>
      </c>
      <c r="I88" s="53" t="str">
        <f t="shared" si="7"/>
        <v>Pending</v>
      </c>
      <c r="J88" s="123" t="b">
        <v>0</v>
      </c>
    </row>
    <row r="89" spans="1:10" x14ac:dyDescent="0.25">
      <c r="A89" s="122">
        <v>46340</v>
      </c>
      <c r="B89" s="53" t="s">
        <v>258</v>
      </c>
      <c r="C89" s="53" t="s">
        <v>505</v>
      </c>
      <c r="D89" s="53" t="s">
        <v>134</v>
      </c>
      <c r="E89" s="53" t="s">
        <v>123</v>
      </c>
      <c r="F89" s="53">
        <v>55033</v>
      </c>
      <c r="G89" s="53">
        <v>122240</v>
      </c>
      <c r="H89" s="53">
        <f t="shared" si="3"/>
        <v>-67207</v>
      </c>
      <c r="I89" s="53" t="str">
        <f t="shared" si="7"/>
        <v>Pending</v>
      </c>
      <c r="J89" s="123" t="b">
        <v>0</v>
      </c>
    </row>
    <row r="90" spans="1:10" x14ac:dyDescent="0.25">
      <c r="A90" s="122">
        <v>46341</v>
      </c>
      <c r="B90" s="53" t="s">
        <v>168</v>
      </c>
      <c r="C90" s="53" t="s">
        <v>506</v>
      </c>
      <c r="D90" s="53" t="s">
        <v>45</v>
      </c>
      <c r="E90" s="53" t="s">
        <v>74</v>
      </c>
      <c r="F90" s="53">
        <v>113172</v>
      </c>
      <c r="G90" s="53">
        <v>48326</v>
      </c>
      <c r="H90" s="53">
        <f t="shared" si="3"/>
        <v>64846</v>
      </c>
      <c r="I90" s="53" t="str">
        <f t="shared" si="7"/>
        <v>Achieved</v>
      </c>
      <c r="J90" s="123" t="b">
        <v>0</v>
      </c>
    </row>
    <row r="91" spans="1:10" x14ac:dyDescent="0.25">
      <c r="A91" s="122">
        <v>46342</v>
      </c>
      <c r="B91" s="53" t="s">
        <v>240</v>
      </c>
      <c r="C91" s="53" t="s">
        <v>507</v>
      </c>
      <c r="D91" s="53" t="s">
        <v>126</v>
      </c>
      <c r="E91" s="53" t="s">
        <v>74</v>
      </c>
      <c r="F91" s="53">
        <v>113104</v>
      </c>
      <c r="G91" s="53">
        <v>101348</v>
      </c>
      <c r="H91" s="53">
        <f t="shared" si="3"/>
        <v>11756</v>
      </c>
      <c r="I91" s="53" t="str">
        <f t="shared" si="7"/>
        <v>Achieved</v>
      </c>
      <c r="J91" s="123" t="b">
        <v>1</v>
      </c>
    </row>
    <row r="92" spans="1:10" x14ac:dyDescent="0.25">
      <c r="A92" s="122">
        <v>46343</v>
      </c>
      <c r="B92" s="53" t="s">
        <v>271</v>
      </c>
      <c r="C92" s="53" t="s">
        <v>508</v>
      </c>
      <c r="D92" s="53" t="s">
        <v>80</v>
      </c>
      <c r="E92" s="53" t="s">
        <v>103</v>
      </c>
      <c r="F92" s="53">
        <v>20000</v>
      </c>
      <c r="G92" s="53">
        <v>41504</v>
      </c>
      <c r="H92" s="53">
        <f t="shared" si="3"/>
        <v>-21504</v>
      </c>
      <c r="I92" s="53" t="str">
        <f t="shared" si="7"/>
        <v>Pending</v>
      </c>
      <c r="J92" s="123" t="b">
        <v>0</v>
      </c>
    </row>
    <row r="93" spans="1:10" x14ac:dyDescent="0.25">
      <c r="A93" s="122">
        <v>46344</v>
      </c>
      <c r="B93" s="53" t="s">
        <v>275</v>
      </c>
      <c r="C93" s="53" t="s">
        <v>509</v>
      </c>
      <c r="D93" s="53" t="s">
        <v>93</v>
      </c>
      <c r="E93" s="53" t="s">
        <v>57</v>
      </c>
      <c r="F93" s="53">
        <v>124353</v>
      </c>
      <c r="G93" s="53">
        <v>109163</v>
      </c>
      <c r="H93" s="53">
        <f t="shared" si="3"/>
        <v>15190</v>
      </c>
      <c r="I93" s="53" t="str">
        <f t="shared" si="7"/>
        <v>Achieved</v>
      </c>
      <c r="J93" s="123" t="b">
        <v>1</v>
      </c>
    </row>
    <row r="94" spans="1:10" x14ac:dyDescent="0.25">
      <c r="A94" s="122">
        <v>46345</v>
      </c>
      <c r="B94" s="53" t="s">
        <v>194</v>
      </c>
      <c r="C94" s="53" t="s">
        <v>510</v>
      </c>
      <c r="D94" s="53" t="s">
        <v>185</v>
      </c>
      <c r="E94" s="53" t="s">
        <v>74</v>
      </c>
      <c r="F94" s="53">
        <v>49621</v>
      </c>
      <c r="G94" s="53">
        <v>78469</v>
      </c>
      <c r="H94" s="53">
        <f t="shared" si="3"/>
        <v>-28848</v>
      </c>
      <c r="I94" s="53" t="str">
        <f t="shared" si="7"/>
        <v>Pending</v>
      </c>
      <c r="J94" s="123" t="b">
        <v>0</v>
      </c>
    </row>
    <row r="95" spans="1:10" x14ac:dyDescent="0.25">
      <c r="A95" s="122">
        <v>46346</v>
      </c>
      <c r="B95" s="53" t="s">
        <v>280</v>
      </c>
      <c r="C95" s="53" t="s">
        <v>511</v>
      </c>
      <c r="D95" s="53" t="s">
        <v>126</v>
      </c>
      <c r="E95" s="53" t="s">
        <v>103</v>
      </c>
      <c r="F95" s="53">
        <v>94470</v>
      </c>
      <c r="G95" s="53">
        <v>40425</v>
      </c>
      <c r="H95" s="53">
        <f t="shared" si="3"/>
        <v>54045</v>
      </c>
      <c r="I95" s="53" t="str">
        <f t="shared" si="7"/>
        <v>Achieved</v>
      </c>
      <c r="J95" s="123" t="b">
        <v>0</v>
      </c>
    </row>
    <row r="96" spans="1:10" x14ac:dyDescent="0.25">
      <c r="A96" s="122">
        <v>46347</v>
      </c>
      <c r="B96" s="53" t="s">
        <v>283</v>
      </c>
      <c r="C96" s="53" t="s">
        <v>512</v>
      </c>
      <c r="D96" s="53" t="s">
        <v>93</v>
      </c>
      <c r="E96" s="53" t="s">
        <v>57</v>
      </c>
      <c r="F96" s="53">
        <v>100612</v>
      </c>
      <c r="G96" s="53">
        <v>139871</v>
      </c>
      <c r="H96" s="53">
        <f t="shared" si="3"/>
        <v>-39259</v>
      </c>
      <c r="I96" s="53" t="str">
        <f t="shared" si="7"/>
        <v>Pending</v>
      </c>
      <c r="J96" s="123" t="b">
        <v>0</v>
      </c>
    </row>
    <row r="97" spans="1:10" x14ac:dyDescent="0.25">
      <c r="A97" s="122">
        <v>46348</v>
      </c>
      <c r="B97" s="53" t="s">
        <v>235</v>
      </c>
      <c r="C97" s="53" t="s">
        <v>513</v>
      </c>
      <c r="D97" s="53" t="s">
        <v>45</v>
      </c>
      <c r="E97" s="53" t="s">
        <v>123</v>
      </c>
      <c r="F97" s="53">
        <v>149100</v>
      </c>
      <c r="G97" s="53">
        <v>121959</v>
      </c>
      <c r="H97" s="53">
        <f t="shared" si="3"/>
        <v>27141</v>
      </c>
      <c r="I97" s="53" t="str">
        <f t="shared" si="7"/>
        <v>Achieved</v>
      </c>
      <c r="J97" s="123" t="b">
        <v>1</v>
      </c>
    </row>
    <row r="98" spans="1:10" x14ac:dyDescent="0.25">
      <c r="A98" s="122">
        <v>46349</v>
      </c>
      <c r="B98" s="53" t="s">
        <v>289</v>
      </c>
      <c r="C98" s="53" t="s">
        <v>514</v>
      </c>
      <c r="D98" s="53" t="s">
        <v>185</v>
      </c>
      <c r="E98" s="53" t="s">
        <v>123</v>
      </c>
      <c r="F98" s="53">
        <v>55032</v>
      </c>
      <c r="G98" s="53">
        <v>89009</v>
      </c>
      <c r="H98" s="53">
        <f t="shared" si="3"/>
        <v>-33977</v>
      </c>
      <c r="I98" s="53" t="str">
        <f t="shared" si="7"/>
        <v>Pending</v>
      </c>
      <c r="J98" s="123" t="b">
        <v>0</v>
      </c>
    </row>
    <row r="99" spans="1:10" x14ac:dyDescent="0.25">
      <c r="A99" s="122">
        <v>46350</v>
      </c>
      <c r="B99" s="53" t="s">
        <v>120</v>
      </c>
      <c r="C99" s="53" t="s">
        <v>515</v>
      </c>
      <c r="D99" s="53" t="s">
        <v>45</v>
      </c>
      <c r="E99" s="53" t="s">
        <v>57</v>
      </c>
      <c r="F99" s="53">
        <v>113504</v>
      </c>
      <c r="G99" s="53">
        <v>82487</v>
      </c>
      <c r="H99" s="53">
        <f t="shared" si="3"/>
        <v>31017</v>
      </c>
      <c r="I99" s="53" t="str">
        <f t="shared" si="7"/>
        <v>Achieved</v>
      </c>
      <c r="J99" s="123" t="b">
        <v>1</v>
      </c>
    </row>
    <row r="100" spans="1:10" x14ac:dyDescent="0.25">
      <c r="A100" s="122">
        <v>46351</v>
      </c>
      <c r="B100" s="53" t="s">
        <v>295</v>
      </c>
      <c r="C100" s="53" t="s">
        <v>516</v>
      </c>
      <c r="D100" s="53" t="s">
        <v>126</v>
      </c>
      <c r="E100" s="53" t="s">
        <v>57</v>
      </c>
      <c r="F100" s="53">
        <v>49662</v>
      </c>
      <c r="G100" s="53">
        <v>87576</v>
      </c>
      <c r="H100" s="53">
        <f t="shared" si="3"/>
        <v>-37914</v>
      </c>
      <c r="I100" s="53" t="str">
        <f t="shared" si="7"/>
        <v>Pending</v>
      </c>
      <c r="J100" s="123" t="b">
        <v>0</v>
      </c>
    </row>
    <row r="101" spans="1:10" x14ac:dyDescent="0.25">
      <c r="A101" s="122">
        <v>46352</v>
      </c>
      <c r="B101" s="53" t="s">
        <v>286</v>
      </c>
      <c r="C101" s="53" t="s">
        <v>517</v>
      </c>
      <c r="D101" s="53" t="s">
        <v>185</v>
      </c>
      <c r="E101" s="53" t="s">
        <v>123</v>
      </c>
      <c r="F101" s="53">
        <v>42592</v>
      </c>
      <c r="G101" s="53">
        <v>71571</v>
      </c>
      <c r="H101" s="53">
        <f t="shared" si="3"/>
        <v>-28979</v>
      </c>
      <c r="I101" s="53" t="str">
        <f t="shared" si="7"/>
        <v>Pending</v>
      </c>
      <c r="J101" s="123" t="b">
        <v>0</v>
      </c>
    </row>
    <row r="102" spans="1:10" x14ac:dyDescent="0.25">
      <c r="A102" s="122">
        <v>46353</v>
      </c>
      <c r="B102" s="53" t="s">
        <v>300</v>
      </c>
      <c r="C102" s="53" t="s">
        <v>518</v>
      </c>
      <c r="D102" s="53" t="s">
        <v>80</v>
      </c>
      <c r="E102" s="53" t="s">
        <v>103</v>
      </c>
      <c r="F102" s="53">
        <v>46226</v>
      </c>
      <c r="G102" s="53">
        <v>135932</v>
      </c>
      <c r="H102" s="53">
        <f t="shared" si="3"/>
        <v>-89706</v>
      </c>
      <c r="I102" s="53" t="str">
        <f t="shared" si="7"/>
        <v>Pending</v>
      </c>
      <c r="J102" s="123" t="b">
        <v>0</v>
      </c>
    </row>
    <row r="103" spans="1:10" x14ac:dyDescent="0.25">
      <c r="A103" s="122">
        <v>46354</v>
      </c>
      <c r="B103" s="53" t="s">
        <v>304</v>
      </c>
      <c r="C103" s="53" t="s">
        <v>519</v>
      </c>
      <c r="D103" s="53" t="s">
        <v>126</v>
      </c>
      <c r="E103" s="53" t="s">
        <v>87</v>
      </c>
      <c r="F103" s="53">
        <v>20000</v>
      </c>
      <c r="G103" s="53">
        <v>109822</v>
      </c>
      <c r="H103" s="53">
        <f t="shared" si="3"/>
        <v>-89822</v>
      </c>
      <c r="I103" s="53" t="str">
        <f t="shared" si="7"/>
        <v>Pending</v>
      </c>
      <c r="J103" s="123" t="b">
        <v>0</v>
      </c>
    </row>
    <row r="104" spans="1:10" x14ac:dyDescent="0.25">
      <c r="A104" s="122">
        <v>46355</v>
      </c>
      <c r="B104" s="53" t="s">
        <v>308</v>
      </c>
      <c r="C104" s="53" t="s">
        <v>520</v>
      </c>
      <c r="D104" s="53" t="s">
        <v>45</v>
      </c>
      <c r="E104" s="53" t="s">
        <v>87</v>
      </c>
      <c r="F104" s="53">
        <v>121474</v>
      </c>
      <c r="G104" s="53">
        <v>102296</v>
      </c>
      <c r="H104" s="53">
        <f t="shared" si="3"/>
        <v>19178</v>
      </c>
      <c r="I104" s="53" t="str">
        <f t="shared" si="7"/>
        <v>Achieved</v>
      </c>
      <c r="J104" s="123" t="b">
        <v>1</v>
      </c>
    </row>
    <row r="105" spans="1:10" x14ac:dyDescent="0.25">
      <c r="A105" s="122">
        <v>46356</v>
      </c>
      <c r="B105" s="53" t="s">
        <v>231</v>
      </c>
      <c r="C105" s="53" t="s">
        <v>521</v>
      </c>
      <c r="D105" s="53" t="s">
        <v>80</v>
      </c>
      <c r="E105" s="53" t="s">
        <v>87</v>
      </c>
      <c r="F105" s="53">
        <v>69741</v>
      </c>
      <c r="G105" s="53">
        <v>109163</v>
      </c>
      <c r="H105" s="53">
        <f t="shared" si="3"/>
        <v>-39422</v>
      </c>
      <c r="I105" s="53" t="str">
        <f t="shared" si="7"/>
        <v>Pending</v>
      </c>
      <c r="J105" s="123" t="b">
        <v>0</v>
      </c>
    </row>
    <row r="106" spans="1:10" ht="15.75" thickBot="1" x14ac:dyDescent="0.3">
      <c r="A106" s="122">
        <v>46357</v>
      </c>
      <c r="B106" s="58" t="s">
        <v>314</v>
      </c>
      <c r="C106" s="58" t="s">
        <v>522</v>
      </c>
      <c r="D106" s="58" t="s">
        <v>80</v>
      </c>
      <c r="E106" s="58" t="s">
        <v>123</v>
      </c>
      <c r="F106" s="58">
        <v>62760</v>
      </c>
      <c r="G106" s="58">
        <v>110686</v>
      </c>
      <c r="H106" s="58">
        <f t="shared" si="3"/>
        <v>-47926</v>
      </c>
      <c r="I106" s="58" t="str">
        <f t="shared" si="7"/>
        <v>Pending</v>
      </c>
      <c r="J106" s="124" t="b">
        <v>0</v>
      </c>
    </row>
    <row r="112" spans="1:10" ht="15.75" thickBot="1" x14ac:dyDescent="0.3"/>
    <row r="113" spans="1:10" x14ac:dyDescent="0.25">
      <c r="A113" s="126" t="s">
        <v>469</v>
      </c>
      <c r="B113" s="127" t="s">
        <v>0</v>
      </c>
      <c r="C113" s="127" t="s">
        <v>470</v>
      </c>
      <c r="D113" s="127" t="s">
        <v>6</v>
      </c>
      <c r="E113" s="127" t="s">
        <v>36</v>
      </c>
      <c r="F113" s="127" t="s">
        <v>471</v>
      </c>
      <c r="G113" s="127" t="s">
        <v>472</v>
      </c>
      <c r="H113" s="127" t="s">
        <v>532</v>
      </c>
      <c r="I113" s="127" t="s">
        <v>533</v>
      </c>
      <c r="J113" s="128" t="s">
        <v>533</v>
      </c>
    </row>
    <row r="114" spans="1:10" x14ac:dyDescent="0.25">
      <c r="A114" s="129">
        <v>46308</v>
      </c>
      <c r="B114" s="53" t="s">
        <v>40</v>
      </c>
      <c r="C114" s="53" t="s">
        <v>473</v>
      </c>
      <c r="D114" s="53" t="s">
        <v>93</v>
      </c>
      <c r="E114" s="53" t="s">
        <v>57</v>
      </c>
      <c r="F114" s="53">
        <v>38278</v>
      </c>
      <c r="G114" s="53">
        <v>137196</v>
      </c>
      <c r="H114" s="53">
        <f>F114-G114</f>
        <v>-98918</v>
      </c>
      <c r="I114" s="53" t="str">
        <f>IF(F114&gt;=G114,"Achieved","Pending")</f>
        <v>Pending</v>
      </c>
      <c r="J114" s="115" t="b">
        <v>0</v>
      </c>
    </row>
    <row r="115" spans="1:10" x14ac:dyDescent="0.25">
      <c r="A115" s="129">
        <v>46309</v>
      </c>
      <c r="B115" s="53" t="s">
        <v>58</v>
      </c>
      <c r="C115" s="53" t="s">
        <v>474</v>
      </c>
      <c r="D115" s="53" t="s">
        <v>185</v>
      </c>
      <c r="E115" s="53" t="s">
        <v>74</v>
      </c>
      <c r="F115" s="53">
        <v>64256</v>
      </c>
      <c r="G115" s="53">
        <v>58289</v>
      </c>
      <c r="H115" s="53">
        <f t="shared" ref="H115:H158" si="8">F115-G115</f>
        <v>5967</v>
      </c>
      <c r="I115" s="53" t="str">
        <f t="shared" ref="I115:I121" si="9">IF(F115&gt;=G115,"Achieved","Pending")</f>
        <v>Achieved</v>
      </c>
      <c r="J115" s="115" t="b">
        <v>1</v>
      </c>
    </row>
    <row r="116" spans="1:10" x14ac:dyDescent="0.25">
      <c r="A116" s="129">
        <v>46310</v>
      </c>
      <c r="B116" s="53" t="s">
        <v>75</v>
      </c>
      <c r="C116" s="53" t="s">
        <v>475</v>
      </c>
      <c r="D116" s="53" t="s">
        <v>93</v>
      </c>
      <c r="E116" s="53" t="s">
        <v>87</v>
      </c>
      <c r="F116" s="53">
        <v>123696</v>
      </c>
      <c r="G116" s="53">
        <v>137080</v>
      </c>
      <c r="H116" s="53">
        <f t="shared" si="8"/>
        <v>-13384</v>
      </c>
      <c r="I116" s="53" t="str">
        <f t="shared" si="9"/>
        <v>Pending</v>
      </c>
      <c r="J116" s="115" t="b">
        <v>0</v>
      </c>
    </row>
    <row r="117" spans="1:10" x14ac:dyDescent="0.25">
      <c r="A117" s="129">
        <v>46312</v>
      </c>
      <c r="B117" s="53" t="s">
        <v>104</v>
      </c>
      <c r="C117" s="53" t="s">
        <v>477</v>
      </c>
      <c r="D117" s="53" t="s">
        <v>134</v>
      </c>
      <c r="E117" s="53" t="s">
        <v>74</v>
      </c>
      <c r="F117" s="53">
        <v>47280</v>
      </c>
      <c r="G117" s="53">
        <v>68657</v>
      </c>
      <c r="H117" s="53">
        <f t="shared" si="8"/>
        <v>-21377</v>
      </c>
      <c r="I117" s="53" t="str">
        <f t="shared" si="9"/>
        <v>Pending</v>
      </c>
      <c r="J117" s="115" t="b">
        <v>0</v>
      </c>
    </row>
    <row r="118" spans="1:10" x14ac:dyDescent="0.25">
      <c r="A118" s="129">
        <v>46313</v>
      </c>
      <c r="B118" s="53" t="s">
        <v>114</v>
      </c>
      <c r="C118" s="53" t="s">
        <v>478</v>
      </c>
      <c r="D118" s="53" t="s">
        <v>45</v>
      </c>
      <c r="E118" s="53" t="s">
        <v>123</v>
      </c>
      <c r="F118" s="53">
        <v>108563</v>
      </c>
      <c r="G118" s="53">
        <v>66062</v>
      </c>
      <c r="H118" s="53">
        <f t="shared" si="8"/>
        <v>42501</v>
      </c>
      <c r="I118" s="53" t="str">
        <f t="shared" si="9"/>
        <v>Achieved</v>
      </c>
      <c r="J118" s="115" t="b">
        <v>1</v>
      </c>
    </row>
    <row r="119" spans="1:10" x14ac:dyDescent="0.25">
      <c r="A119" s="129">
        <v>46314</v>
      </c>
      <c r="B119" s="53" t="s">
        <v>124</v>
      </c>
      <c r="C119" s="53" t="s">
        <v>479</v>
      </c>
      <c r="D119" s="53" t="s">
        <v>93</v>
      </c>
      <c r="E119" s="53" t="s">
        <v>57</v>
      </c>
      <c r="F119" s="53">
        <v>63893</v>
      </c>
      <c r="G119" s="53">
        <v>98878</v>
      </c>
      <c r="H119" s="53">
        <f t="shared" si="8"/>
        <v>-34985</v>
      </c>
      <c r="I119" s="53" t="str">
        <f t="shared" si="9"/>
        <v>Pending</v>
      </c>
      <c r="J119" s="115" t="b">
        <v>0</v>
      </c>
    </row>
    <row r="120" spans="1:10" x14ac:dyDescent="0.25">
      <c r="A120" s="129">
        <v>46315</v>
      </c>
      <c r="B120" s="53" t="s">
        <v>132</v>
      </c>
      <c r="C120" s="53" t="s">
        <v>480</v>
      </c>
      <c r="D120" s="53" t="s">
        <v>80</v>
      </c>
      <c r="E120" s="53" t="s">
        <v>103</v>
      </c>
      <c r="F120" s="53">
        <v>141093</v>
      </c>
      <c r="G120" s="53">
        <v>40851</v>
      </c>
      <c r="H120" s="53">
        <f t="shared" si="8"/>
        <v>100242</v>
      </c>
      <c r="I120" s="53" t="str">
        <f t="shared" si="9"/>
        <v>Achieved</v>
      </c>
      <c r="J120" s="115" t="b">
        <v>0</v>
      </c>
    </row>
    <row r="121" spans="1:10" x14ac:dyDescent="0.25">
      <c r="A121" s="129">
        <v>46316</v>
      </c>
      <c r="B121" s="53" t="s">
        <v>141</v>
      </c>
      <c r="C121" s="53" t="s">
        <v>481</v>
      </c>
      <c r="D121" s="53" t="s">
        <v>45</v>
      </c>
      <c r="E121" s="53" t="s">
        <v>123</v>
      </c>
      <c r="F121" s="53">
        <v>79597</v>
      </c>
      <c r="G121" s="53">
        <v>76421</v>
      </c>
      <c r="H121" s="53">
        <f t="shared" si="8"/>
        <v>3176</v>
      </c>
      <c r="I121" s="53" t="str">
        <f t="shared" si="9"/>
        <v>Achieved</v>
      </c>
      <c r="J121" s="115" t="b">
        <v>1</v>
      </c>
    </row>
    <row r="122" spans="1:10" x14ac:dyDescent="0.25">
      <c r="A122" s="129">
        <v>46317</v>
      </c>
      <c r="B122" s="53" t="s">
        <v>151</v>
      </c>
      <c r="C122" s="53" t="s">
        <v>482</v>
      </c>
      <c r="D122" s="53" t="s">
        <v>45</v>
      </c>
      <c r="E122" s="53" t="s">
        <v>87</v>
      </c>
      <c r="F122" s="53">
        <v>135072</v>
      </c>
      <c r="G122" s="53">
        <v>84118</v>
      </c>
      <c r="H122" s="53">
        <f t="shared" si="8"/>
        <v>50954</v>
      </c>
      <c r="I122" s="53" t="e" cm="1">
        <f t="array" aca="1" ref="I122" ca="1">IFabc(F122&gt;=G122,"Achieved","Pending")</f>
        <v>#NAME?</v>
      </c>
      <c r="J122" s="115" t="b">
        <v>1</v>
      </c>
    </row>
    <row r="123" spans="1:10" x14ac:dyDescent="0.25">
      <c r="A123" s="129">
        <v>46318</v>
      </c>
      <c r="B123" s="53" t="s">
        <v>68</v>
      </c>
      <c r="C123" s="53" t="s">
        <v>483</v>
      </c>
      <c r="D123" s="53" t="s">
        <v>134</v>
      </c>
      <c r="E123" s="53" t="s">
        <v>57</v>
      </c>
      <c r="F123" s="53">
        <v>84797</v>
      </c>
      <c r="G123" s="53">
        <v>52676</v>
      </c>
      <c r="H123" s="53">
        <f t="shared" si="8"/>
        <v>32121</v>
      </c>
      <c r="I123" s="53" t="str">
        <f t="shared" ref="I123:I131" si="10">IF(F123&gt;=G123,"Achieved","Pending")</f>
        <v>Achieved</v>
      </c>
      <c r="J123" s="115" t="b">
        <v>1</v>
      </c>
    </row>
    <row r="124" spans="1:10" x14ac:dyDescent="0.25">
      <c r="A124" s="129">
        <v>46320</v>
      </c>
      <c r="B124" s="53" t="s">
        <v>170</v>
      </c>
      <c r="C124" s="53" t="s">
        <v>485</v>
      </c>
      <c r="D124" s="53" t="s">
        <v>134</v>
      </c>
      <c r="E124" s="53" t="s">
        <v>123</v>
      </c>
      <c r="F124" s="53">
        <v>105284</v>
      </c>
      <c r="G124" s="53">
        <v>56361</v>
      </c>
      <c r="H124" s="53">
        <f>F124-G124</f>
        <v>48923</v>
      </c>
      <c r="I124" s="53" t="str">
        <f>IF(F124&gt;=G124,"Achieved","Pending")</f>
        <v>Achieved</v>
      </c>
      <c r="J124" s="115" t="b">
        <v>1</v>
      </c>
    </row>
    <row r="125" spans="1:10" x14ac:dyDescent="0.25">
      <c r="A125" s="129">
        <v>46321</v>
      </c>
      <c r="B125" s="53" t="s">
        <v>175</v>
      </c>
      <c r="C125" s="53" t="s">
        <v>486</v>
      </c>
      <c r="D125" s="53" t="s">
        <v>126</v>
      </c>
      <c r="E125" s="53" t="s">
        <v>57</v>
      </c>
      <c r="F125" s="53">
        <v>20000</v>
      </c>
      <c r="G125" s="53">
        <v>78427</v>
      </c>
      <c r="H125" s="53">
        <f t="shared" si="8"/>
        <v>-58427</v>
      </c>
      <c r="I125" s="53" t="str">
        <f t="shared" si="10"/>
        <v>Pending</v>
      </c>
      <c r="J125" s="115" t="b">
        <v>0</v>
      </c>
    </row>
    <row r="126" spans="1:10" x14ac:dyDescent="0.25">
      <c r="A126" s="129">
        <v>46322</v>
      </c>
      <c r="B126" s="53" t="s">
        <v>180</v>
      </c>
      <c r="C126" s="53" t="s">
        <v>487</v>
      </c>
      <c r="D126" s="53" t="s">
        <v>93</v>
      </c>
      <c r="E126" s="53" t="s">
        <v>87</v>
      </c>
      <c r="F126" s="53">
        <v>110674</v>
      </c>
      <c r="G126" s="53">
        <v>65203</v>
      </c>
      <c r="H126" s="53">
        <f t="shared" si="8"/>
        <v>45471</v>
      </c>
      <c r="I126" s="53" t="str">
        <f t="shared" si="10"/>
        <v>Achieved</v>
      </c>
      <c r="J126" s="115" t="b">
        <v>1</v>
      </c>
    </row>
    <row r="127" spans="1:10" x14ac:dyDescent="0.25">
      <c r="A127" s="129">
        <v>46323</v>
      </c>
      <c r="B127" s="53" t="s">
        <v>129</v>
      </c>
      <c r="C127" s="53" t="s">
        <v>488</v>
      </c>
      <c r="D127" s="53" t="s">
        <v>93</v>
      </c>
      <c r="E127" s="53" t="s">
        <v>103</v>
      </c>
      <c r="F127" s="53">
        <v>41006</v>
      </c>
      <c r="G127" s="53">
        <v>126673</v>
      </c>
      <c r="H127" s="53">
        <f t="shared" si="8"/>
        <v>-85667</v>
      </c>
      <c r="I127" s="53" t="str">
        <f t="shared" si="10"/>
        <v>Pending</v>
      </c>
      <c r="J127" s="115" t="b">
        <v>0</v>
      </c>
    </row>
    <row r="128" spans="1:10" x14ac:dyDescent="0.25">
      <c r="A128" s="129">
        <v>46324</v>
      </c>
      <c r="B128" s="53" t="s">
        <v>190</v>
      </c>
      <c r="C128" s="53" t="s">
        <v>489</v>
      </c>
      <c r="D128" s="53" t="s">
        <v>45</v>
      </c>
      <c r="E128" s="53" t="s">
        <v>57</v>
      </c>
      <c r="F128" s="53">
        <v>45458</v>
      </c>
      <c r="G128" s="53">
        <v>70512</v>
      </c>
      <c r="H128" s="53">
        <f t="shared" si="8"/>
        <v>-25054</v>
      </c>
      <c r="I128" s="53" t="str">
        <f t="shared" si="10"/>
        <v>Pending</v>
      </c>
      <c r="J128" s="115" t="b">
        <v>0</v>
      </c>
    </row>
    <row r="129" spans="1:10" x14ac:dyDescent="0.25">
      <c r="A129" s="129">
        <v>46325</v>
      </c>
      <c r="B129" s="53" t="s">
        <v>195</v>
      </c>
      <c r="C129" s="53" t="s">
        <v>490</v>
      </c>
      <c r="D129" s="53" t="s">
        <v>134</v>
      </c>
      <c r="E129" s="53" t="s">
        <v>87</v>
      </c>
      <c r="F129" s="53">
        <v>71434</v>
      </c>
      <c r="G129" s="53">
        <v>99429</v>
      </c>
      <c r="H129" s="53">
        <f t="shared" si="8"/>
        <v>-27995</v>
      </c>
      <c r="I129" s="53" t="str">
        <f t="shared" si="10"/>
        <v>Pending</v>
      </c>
      <c r="J129" s="115" t="b">
        <v>0</v>
      </c>
    </row>
    <row r="130" spans="1:10" x14ac:dyDescent="0.25">
      <c r="A130" s="129">
        <v>46326</v>
      </c>
      <c r="B130" s="53" t="s">
        <v>200</v>
      </c>
      <c r="C130" s="53" t="s">
        <v>491</v>
      </c>
      <c r="D130" s="53" t="s">
        <v>93</v>
      </c>
      <c r="E130" s="53" t="s">
        <v>123</v>
      </c>
      <c r="F130" s="53">
        <v>56319</v>
      </c>
      <c r="G130" s="53">
        <v>88520</v>
      </c>
      <c r="H130" s="53">
        <f t="shared" si="8"/>
        <v>-32201</v>
      </c>
      <c r="I130" s="53" t="str">
        <f t="shared" si="10"/>
        <v>Pending</v>
      </c>
      <c r="J130" s="115" t="b">
        <v>0</v>
      </c>
    </row>
    <row r="131" spans="1:10" x14ac:dyDescent="0.25">
      <c r="A131" s="129">
        <v>46327</v>
      </c>
      <c r="B131" s="53" t="s">
        <v>205</v>
      </c>
      <c r="C131" s="53" t="s">
        <v>492</v>
      </c>
      <c r="D131" s="53" t="s">
        <v>185</v>
      </c>
      <c r="E131" s="53" t="s">
        <v>123</v>
      </c>
      <c r="F131" s="53">
        <v>122841</v>
      </c>
      <c r="G131" s="53">
        <v>74993</v>
      </c>
      <c r="H131" s="53">
        <f t="shared" si="8"/>
        <v>47848</v>
      </c>
      <c r="I131" s="53" t="str">
        <f t="shared" si="10"/>
        <v>Achieved</v>
      </c>
      <c r="J131" s="115" t="b">
        <v>1</v>
      </c>
    </row>
    <row r="132" spans="1:10" x14ac:dyDescent="0.25">
      <c r="A132" s="129">
        <v>46328</v>
      </c>
      <c r="B132" s="53" t="s">
        <v>210</v>
      </c>
      <c r="C132" s="53" t="s">
        <v>493</v>
      </c>
      <c r="D132" s="53" t="s">
        <v>93</v>
      </c>
      <c r="E132" s="53" t="s">
        <v>74</v>
      </c>
      <c r="F132" s="53">
        <v>114840</v>
      </c>
      <c r="G132" s="53">
        <v>123227</v>
      </c>
      <c r="H132" s="53">
        <f t="shared" si="8"/>
        <v>-8387</v>
      </c>
      <c r="I132" s="53" t="e" cm="1">
        <f t="array" aca="1" ref="I132" ca="1">IFabc(F132&gt;=G132,"Achieved","Pending")</f>
        <v>#NAME?</v>
      </c>
      <c r="J132" s="115" t="b">
        <v>0</v>
      </c>
    </row>
    <row r="133" spans="1:10" x14ac:dyDescent="0.25">
      <c r="A133" s="129">
        <v>46330</v>
      </c>
      <c r="B133" s="53" t="s">
        <v>209</v>
      </c>
      <c r="C133" s="53" t="s">
        <v>495</v>
      </c>
      <c r="D133" s="53" t="s">
        <v>126</v>
      </c>
      <c r="E133" s="53" t="s">
        <v>87</v>
      </c>
      <c r="F133" s="53">
        <v>118886</v>
      </c>
      <c r="G133" s="53">
        <v>130198</v>
      </c>
      <c r="H133" s="53">
        <f t="shared" si="8"/>
        <v>-11312</v>
      </c>
      <c r="I133" s="53" t="str">
        <f t="shared" ref="I133:I137" si="11">IF(F133&gt;=G133,"Achieved","Pending")</f>
        <v>Pending</v>
      </c>
      <c r="J133" s="115" t="b">
        <v>0</v>
      </c>
    </row>
    <row r="134" spans="1:10" x14ac:dyDescent="0.25">
      <c r="A134" s="129">
        <v>46331</v>
      </c>
      <c r="B134" s="53" t="s">
        <v>223</v>
      </c>
      <c r="C134" s="53" t="s">
        <v>496</v>
      </c>
      <c r="D134" s="53" t="s">
        <v>80</v>
      </c>
      <c r="E134" s="53" t="s">
        <v>103</v>
      </c>
      <c r="F134" s="53">
        <v>124733</v>
      </c>
      <c r="G134" s="53">
        <v>82504</v>
      </c>
      <c r="H134" s="53">
        <f t="shared" si="8"/>
        <v>42229</v>
      </c>
      <c r="I134" s="53" t="str">
        <f t="shared" si="11"/>
        <v>Achieved</v>
      </c>
      <c r="J134" s="115" t="b">
        <v>1</v>
      </c>
    </row>
    <row r="135" spans="1:10" x14ac:dyDescent="0.25">
      <c r="A135" s="129">
        <v>46332</v>
      </c>
      <c r="B135" s="53" t="s">
        <v>227</v>
      </c>
      <c r="C135" s="53" t="s">
        <v>497</v>
      </c>
      <c r="D135" s="53" t="s">
        <v>134</v>
      </c>
      <c r="E135" s="53" t="s">
        <v>123</v>
      </c>
      <c r="F135" s="53">
        <v>142715</v>
      </c>
      <c r="G135" s="53">
        <v>44207</v>
      </c>
      <c r="H135" s="53">
        <f t="shared" si="8"/>
        <v>98508</v>
      </c>
      <c r="I135" s="53" t="str">
        <f t="shared" si="11"/>
        <v>Achieved</v>
      </c>
      <c r="J135" s="115" t="b">
        <v>0</v>
      </c>
    </row>
    <row r="136" spans="1:10" x14ac:dyDescent="0.25">
      <c r="A136" s="129">
        <v>46333</v>
      </c>
      <c r="B136" s="53" t="s">
        <v>222</v>
      </c>
      <c r="C136" s="53" t="s">
        <v>498</v>
      </c>
      <c r="D136" s="53" t="s">
        <v>185</v>
      </c>
      <c r="E136" s="53" t="s">
        <v>87</v>
      </c>
      <c r="F136" s="53">
        <v>70093</v>
      </c>
      <c r="G136" s="53">
        <v>48675</v>
      </c>
      <c r="H136" s="53">
        <f t="shared" si="8"/>
        <v>21418</v>
      </c>
      <c r="I136" s="53" t="str">
        <f t="shared" si="11"/>
        <v>Achieved</v>
      </c>
      <c r="J136" s="115" t="b">
        <v>0</v>
      </c>
    </row>
    <row r="137" spans="1:10" x14ac:dyDescent="0.25">
      <c r="A137" s="129">
        <v>46334</v>
      </c>
      <c r="B137" s="53" t="s">
        <v>110</v>
      </c>
      <c r="C137" s="53" t="s">
        <v>499</v>
      </c>
      <c r="D137" s="53" t="s">
        <v>45</v>
      </c>
      <c r="E137" s="53" t="s">
        <v>87</v>
      </c>
      <c r="F137" s="53">
        <v>62869</v>
      </c>
      <c r="G137" s="53">
        <v>125909</v>
      </c>
      <c r="H137" s="53">
        <f t="shared" si="8"/>
        <v>-63040</v>
      </c>
      <c r="I137" s="53" t="str">
        <f t="shared" si="11"/>
        <v>Pending</v>
      </c>
      <c r="J137" s="115" t="b">
        <v>0</v>
      </c>
    </row>
    <row r="138" spans="1:10" x14ac:dyDescent="0.25">
      <c r="A138" s="129">
        <v>46335</v>
      </c>
      <c r="B138" s="53" t="s">
        <v>138</v>
      </c>
      <c r="C138" s="53" t="s">
        <v>500</v>
      </c>
      <c r="D138" s="53" t="s">
        <v>126</v>
      </c>
      <c r="E138" s="53" t="s">
        <v>123</v>
      </c>
      <c r="F138" s="53">
        <v>119259</v>
      </c>
      <c r="G138" s="53">
        <v>100142</v>
      </c>
      <c r="H138" s="53">
        <f t="shared" si="8"/>
        <v>19117</v>
      </c>
      <c r="I138" s="53" t="e" cm="1">
        <f t="array" aca="1" ref="I138" ca="1">IFabc(F138&gt;=G138,"Achieved","Pending")</f>
        <v>#NAME?</v>
      </c>
      <c r="J138" s="115" t="b">
        <v>1</v>
      </c>
    </row>
    <row r="139" spans="1:10" x14ac:dyDescent="0.25">
      <c r="A139" s="129">
        <v>46336</v>
      </c>
      <c r="B139" s="53" t="s">
        <v>243</v>
      </c>
      <c r="C139" s="53" t="s">
        <v>501</v>
      </c>
      <c r="D139" s="53" t="s">
        <v>45</v>
      </c>
      <c r="E139" s="53" t="s">
        <v>103</v>
      </c>
      <c r="F139" s="53">
        <v>53301</v>
      </c>
      <c r="G139" s="53">
        <v>72325</v>
      </c>
      <c r="H139" s="53">
        <f t="shared" si="8"/>
        <v>-19024</v>
      </c>
      <c r="I139" s="53" t="str">
        <f t="shared" ref="I139:I158" si="12">IF(F139&gt;=G139,"Achieved","Pending")</f>
        <v>Pending</v>
      </c>
      <c r="J139" s="115" t="b">
        <v>0</v>
      </c>
    </row>
    <row r="140" spans="1:10" x14ac:dyDescent="0.25">
      <c r="A140" s="129">
        <v>46338</v>
      </c>
      <c r="B140" s="53" t="s">
        <v>251</v>
      </c>
      <c r="C140" s="53" t="s">
        <v>503</v>
      </c>
      <c r="D140" s="53" t="s">
        <v>126</v>
      </c>
      <c r="E140" s="53" t="s">
        <v>87</v>
      </c>
      <c r="F140" s="53">
        <v>82447</v>
      </c>
      <c r="G140" s="53">
        <v>68746</v>
      </c>
      <c r="H140" s="53">
        <f t="shared" si="8"/>
        <v>13701</v>
      </c>
      <c r="I140" s="53" t="str">
        <f t="shared" si="12"/>
        <v>Achieved</v>
      </c>
      <c r="J140" s="115" t="b">
        <v>1</v>
      </c>
    </row>
    <row r="141" spans="1:10" x14ac:dyDescent="0.25">
      <c r="A141" s="129">
        <v>46339</v>
      </c>
      <c r="B141" s="53" t="s">
        <v>255</v>
      </c>
      <c r="C141" s="53" t="s">
        <v>504</v>
      </c>
      <c r="D141" s="53" t="s">
        <v>45</v>
      </c>
      <c r="E141" s="53" t="s">
        <v>123</v>
      </c>
      <c r="F141" s="53">
        <v>46915</v>
      </c>
      <c r="G141" s="53">
        <v>139061</v>
      </c>
      <c r="H141" s="53">
        <f t="shared" si="8"/>
        <v>-92146</v>
      </c>
      <c r="I141" s="53" t="str">
        <f t="shared" si="12"/>
        <v>Pending</v>
      </c>
      <c r="J141" s="115" t="b">
        <v>0</v>
      </c>
    </row>
    <row r="142" spans="1:10" x14ac:dyDescent="0.25">
      <c r="A142" s="129">
        <v>46340</v>
      </c>
      <c r="B142" s="53" t="s">
        <v>258</v>
      </c>
      <c r="C142" s="53" t="s">
        <v>505</v>
      </c>
      <c r="D142" s="53" t="s">
        <v>134</v>
      </c>
      <c r="E142" s="53" t="s">
        <v>123</v>
      </c>
      <c r="F142" s="53">
        <v>55033</v>
      </c>
      <c r="G142" s="53">
        <v>122240</v>
      </c>
      <c r="H142" s="53">
        <f t="shared" si="8"/>
        <v>-67207</v>
      </c>
      <c r="I142" s="53" t="str">
        <f t="shared" si="12"/>
        <v>Pending</v>
      </c>
      <c r="J142" s="115" t="b">
        <v>0</v>
      </c>
    </row>
    <row r="143" spans="1:10" x14ac:dyDescent="0.25">
      <c r="A143" s="129">
        <v>46341</v>
      </c>
      <c r="B143" s="53" t="s">
        <v>168</v>
      </c>
      <c r="C143" s="53" t="s">
        <v>506</v>
      </c>
      <c r="D143" s="53" t="s">
        <v>45</v>
      </c>
      <c r="E143" s="53" t="s">
        <v>74</v>
      </c>
      <c r="F143" s="53">
        <v>113172</v>
      </c>
      <c r="G143" s="53">
        <v>48326</v>
      </c>
      <c r="H143" s="53">
        <f t="shared" si="8"/>
        <v>64846</v>
      </c>
      <c r="I143" s="53" t="str">
        <f t="shared" si="12"/>
        <v>Achieved</v>
      </c>
      <c r="J143" s="115" t="b">
        <v>0</v>
      </c>
    </row>
    <row r="144" spans="1:10" x14ac:dyDescent="0.25">
      <c r="A144" s="129">
        <v>46342</v>
      </c>
      <c r="B144" s="53" t="s">
        <v>240</v>
      </c>
      <c r="C144" s="53" t="s">
        <v>507</v>
      </c>
      <c r="D144" s="53" t="s">
        <v>126</v>
      </c>
      <c r="E144" s="53" t="s">
        <v>74</v>
      </c>
      <c r="F144" s="53">
        <v>113104</v>
      </c>
      <c r="G144" s="53">
        <v>101348</v>
      </c>
      <c r="H144" s="53">
        <f t="shared" si="8"/>
        <v>11756</v>
      </c>
      <c r="I144" s="53" t="str">
        <f t="shared" si="12"/>
        <v>Achieved</v>
      </c>
      <c r="J144" s="115" t="b">
        <v>1</v>
      </c>
    </row>
    <row r="145" spans="1:10" x14ac:dyDescent="0.25">
      <c r="A145" s="129">
        <v>46343</v>
      </c>
      <c r="B145" s="53" t="s">
        <v>271</v>
      </c>
      <c r="C145" s="53" t="s">
        <v>508</v>
      </c>
      <c r="D145" s="53" t="s">
        <v>80</v>
      </c>
      <c r="E145" s="53" t="s">
        <v>103</v>
      </c>
      <c r="F145" s="53">
        <v>20000</v>
      </c>
      <c r="G145" s="53">
        <v>41504</v>
      </c>
      <c r="H145" s="53">
        <f t="shared" si="8"/>
        <v>-21504</v>
      </c>
      <c r="I145" s="53" t="str">
        <f t="shared" si="12"/>
        <v>Pending</v>
      </c>
      <c r="J145" s="115" t="b">
        <v>0</v>
      </c>
    </row>
    <row r="146" spans="1:10" x14ac:dyDescent="0.25">
      <c r="A146" s="129">
        <v>46344</v>
      </c>
      <c r="B146" s="53" t="s">
        <v>275</v>
      </c>
      <c r="C146" s="53" t="s">
        <v>509</v>
      </c>
      <c r="D146" s="53" t="s">
        <v>93</v>
      </c>
      <c r="E146" s="53" t="s">
        <v>57</v>
      </c>
      <c r="F146" s="53">
        <v>124353</v>
      </c>
      <c r="G146" s="53">
        <v>109163</v>
      </c>
      <c r="H146" s="53">
        <f t="shared" si="8"/>
        <v>15190</v>
      </c>
      <c r="I146" s="53" t="str">
        <f t="shared" si="12"/>
        <v>Achieved</v>
      </c>
      <c r="J146" s="115" t="b">
        <v>1</v>
      </c>
    </row>
    <row r="147" spans="1:10" x14ac:dyDescent="0.25">
      <c r="A147" s="129">
        <v>46345</v>
      </c>
      <c r="B147" s="53" t="s">
        <v>194</v>
      </c>
      <c r="C147" s="53" t="s">
        <v>510</v>
      </c>
      <c r="D147" s="53" t="s">
        <v>185</v>
      </c>
      <c r="E147" s="53" t="s">
        <v>74</v>
      </c>
      <c r="F147" s="53">
        <v>49621</v>
      </c>
      <c r="G147" s="53">
        <v>78469</v>
      </c>
      <c r="H147" s="53">
        <f t="shared" si="8"/>
        <v>-28848</v>
      </c>
      <c r="I147" s="53" t="str">
        <f t="shared" si="12"/>
        <v>Pending</v>
      </c>
      <c r="J147" s="115" t="b">
        <v>0</v>
      </c>
    </row>
    <row r="148" spans="1:10" x14ac:dyDescent="0.25">
      <c r="A148" s="129">
        <v>46346</v>
      </c>
      <c r="B148" s="53" t="s">
        <v>280</v>
      </c>
      <c r="C148" s="53" t="s">
        <v>511</v>
      </c>
      <c r="D148" s="53" t="s">
        <v>126</v>
      </c>
      <c r="E148" s="53" t="s">
        <v>103</v>
      </c>
      <c r="F148" s="53">
        <v>94470</v>
      </c>
      <c r="G148" s="53">
        <v>40425</v>
      </c>
      <c r="H148" s="53">
        <f t="shared" si="8"/>
        <v>54045</v>
      </c>
      <c r="I148" s="53" t="str">
        <f t="shared" si="12"/>
        <v>Achieved</v>
      </c>
      <c r="J148" s="115" t="b">
        <v>0</v>
      </c>
    </row>
    <row r="149" spans="1:10" x14ac:dyDescent="0.25">
      <c r="A149" s="129">
        <v>46347</v>
      </c>
      <c r="B149" s="53" t="s">
        <v>283</v>
      </c>
      <c r="C149" s="53" t="s">
        <v>512</v>
      </c>
      <c r="D149" s="53" t="s">
        <v>93</v>
      </c>
      <c r="E149" s="53" t="s">
        <v>57</v>
      </c>
      <c r="F149" s="53">
        <v>100612</v>
      </c>
      <c r="G149" s="53">
        <v>139871</v>
      </c>
      <c r="H149" s="53">
        <f t="shared" si="8"/>
        <v>-39259</v>
      </c>
      <c r="I149" s="53" t="str">
        <f t="shared" si="12"/>
        <v>Pending</v>
      </c>
      <c r="J149" s="115" t="b">
        <v>0</v>
      </c>
    </row>
    <row r="150" spans="1:10" x14ac:dyDescent="0.25">
      <c r="A150" s="129">
        <v>46348</v>
      </c>
      <c r="B150" s="53" t="s">
        <v>235</v>
      </c>
      <c r="C150" s="53" t="s">
        <v>513</v>
      </c>
      <c r="D150" s="53" t="s">
        <v>45</v>
      </c>
      <c r="E150" s="53" t="s">
        <v>123</v>
      </c>
      <c r="F150" s="53">
        <v>149100</v>
      </c>
      <c r="G150" s="53">
        <v>121959</v>
      </c>
      <c r="H150" s="53">
        <f t="shared" si="8"/>
        <v>27141</v>
      </c>
      <c r="I150" s="53" t="str">
        <f t="shared" si="12"/>
        <v>Achieved</v>
      </c>
      <c r="J150" s="115" t="b">
        <v>1</v>
      </c>
    </row>
    <row r="151" spans="1:10" x14ac:dyDescent="0.25">
      <c r="A151" s="129">
        <v>46350</v>
      </c>
      <c r="B151" s="53" t="s">
        <v>120</v>
      </c>
      <c r="C151" s="53" t="s">
        <v>515</v>
      </c>
      <c r="D151" s="53" t="s">
        <v>45</v>
      </c>
      <c r="E151" s="53" t="s">
        <v>57</v>
      </c>
      <c r="F151" s="53">
        <v>113504</v>
      </c>
      <c r="G151" s="53">
        <v>82487</v>
      </c>
      <c r="H151" s="53">
        <f t="shared" si="8"/>
        <v>31017</v>
      </c>
      <c r="I151" s="53" t="str">
        <f t="shared" si="12"/>
        <v>Achieved</v>
      </c>
      <c r="J151" s="115" t="b">
        <v>1</v>
      </c>
    </row>
    <row r="152" spans="1:10" x14ac:dyDescent="0.25">
      <c r="A152" s="129">
        <v>46351</v>
      </c>
      <c r="B152" s="53" t="s">
        <v>295</v>
      </c>
      <c r="C152" s="53" t="s">
        <v>516</v>
      </c>
      <c r="D152" s="53" t="s">
        <v>126</v>
      </c>
      <c r="E152" s="53" t="s">
        <v>57</v>
      </c>
      <c r="F152" s="53">
        <v>49662</v>
      </c>
      <c r="G152" s="53">
        <v>87576</v>
      </c>
      <c r="H152" s="53">
        <f t="shared" si="8"/>
        <v>-37914</v>
      </c>
      <c r="I152" s="53" t="str">
        <f t="shared" si="12"/>
        <v>Pending</v>
      </c>
      <c r="J152" s="115" t="b">
        <v>0</v>
      </c>
    </row>
    <row r="153" spans="1:10" x14ac:dyDescent="0.25">
      <c r="A153" s="129">
        <v>46352</v>
      </c>
      <c r="B153" s="53" t="s">
        <v>286</v>
      </c>
      <c r="C153" s="53" t="s">
        <v>517</v>
      </c>
      <c r="D153" s="53" t="s">
        <v>185</v>
      </c>
      <c r="E153" s="53" t="s">
        <v>123</v>
      </c>
      <c r="F153" s="53">
        <v>42592</v>
      </c>
      <c r="G153" s="53">
        <v>71571</v>
      </c>
      <c r="H153" s="53">
        <f t="shared" si="8"/>
        <v>-28979</v>
      </c>
      <c r="I153" s="53" t="str">
        <f t="shared" si="12"/>
        <v>Pending</v>
      </c>
      <c r="J153" s="115" t="b">
        <v>0</v>
      </c>
    </row>
    <row r="154" spans="1:10" x14ac:dyDescent="0.25">
      <c r="A154" s="129">
        <v>46353</v>
      </c>
      <c r="B154" s="53" t="s">
        <v>300</v>
      </c>
      <c r="C154" s="53" t="s">
        <v>518</v>
      </c>
      <c r="D154" s="53" t="s">
        <v>80</v>
      </c>
      <c r="E154" s="53" t="s">
        <v>103</v>
      </c>
      <c r="F154" s="53">
        <v>46226</v>
      </c>
      <c r="G154" s="53">
        <v>135932</v>
      </c>
      <c r="H154" s="53">
        <f t="shared" si="8"/>
        <v>-89706</v>
      </c>
      <c r="I154" s="53" t="str">
        <f t="shared" si="12"/>
        <v>Pending</v>
      </c>
      <c r="J154" s="115" t="b">
        <v>0</v>
      </c>
    </row>
    <row r="155" spans="1:10" x14ac:dyDescent="0.25">
      <c r="A155" s="129">
        <v>46354</v>
      </c>
      <c r="B155" s="53" t="s">
        <v>304</v>
      </c>
      <c r="C155" s="53" t="s">
        <v>519</v>
      </c>
      <c r="D155" s="53" t="s">
        <v>126</v>
      </c>
      <c r="E155" s="53" t="s">
        <v>87</v>
      </c>
      <c r="F155" s="53">
        <v>20000</v>
      </c>
      <c r="G155" s="53">
        <v>109822</v>
      </c>
      <c r="H155" s="53">
        <f t="shared" si="8"/>
        <v>-89822</v>
      </c>
      <c r="I155" s="53" t="str">
        <f t="shared" si="12"/>
        <v>Pending</v>
      </c>
      <c r="J155" s="115" t="b">
        <v>0</v>
      </c>
    </row>
    <row r="156" spans="1:10" x14ac:dyDescent="0.25">
      <c r="A156" s="129">
        <v>46355</v>
      </c>
      <c r="B156" s="53" t="s">
        <v>308</v>
      </c>
      <c r="C156" s="53" t="s">
        <v>520</v>
      </c>
      <c r="D156" s="53" t="s">
        <v>45</v>
      </c>
      <c r="E156" s="53" t="s">
        <v>87</v>
      </c>
      <c r="F156" s="53">
        <v>121474</v>
      </c>
      <c r="G156" s="53">
        <v>102296</v>
      </c>
      <c r="H156" s="53">
        <f t="shared" si="8"/>
        <v>19178</v>
      </c>
      <c r="I156" s="53" t="str">
        <f t="shared" si="12"/>
        <v>Achieved</v>
      </c>
      <c r="J156" s="115" t="b">
        <v>1</v>
      </c>
    </row>
    <row r="157" spans="1:10" x14ac:dyDescent="0.25">
      <c r="A157" s="129">
        <v>46356</v>
      </c>
      <c r="B157" s="53" t="s">
        <v>231</v>
      </c>
      <c r="C157" s="53" t="s">
        <v>521</v>
      </c>
      <c r="D157" s="53" t="s">
        <v>80</v>
      </c>
      <c r="E157" s="53" t="s">
        <v>87</v>
      </c>
      <c r="F157" s="53">
        <v>69741</v>
      </c>
      <c r="G157" s="53">
        <v>109163</v>
      </c>
      <c r="H157" s="53">
        <f t="shared" si="8"/>
        <v>-39422</v>
      </c>
      <c r="I157" s="53" t="str">
        <f t="shared" si="12"/>
        <v>Pending</v>
      </c>
      <c r="J157" s="115" t="b">
        <v>0</v>
      </c>
    </row>
    <row r="158" spans="1:10" ht="15.75" thickBot="1" x14ac:dyDescent="0.3">
      <c r="A158" s="130">
        <v>46357</v>
      </c>
      <c r="B158" s="58" t="s">
        <v>314</v>
      </c>
      <c r="C158" s="58" t="s">
        <v>522</v>
      </c>
      <c r="D158" s="58" t="s">
        <v>80</v>
      </c>
      <c r="E158" s="58" t="s">
        <v>123</v>
      </c>
      <c r="F158" s="58">
        <v>62760</v>
      </c>
      <c r="G158" s="58">
        <v>110686</v>
      </c>
      <c r="H158" s="58">
        <f t="shared" si="8"/>
        <v>-47926</v>
      </c>
      <c r="I158" s="58" t="str">
        <f t="shared" si="12"/>
        <v>Pending</v>
      </c>
      <c r="J158" s="117" t="b">
        <v>0</v>
      </c>
    </row>
    <row r="168" spans="1:15" ht="15.75" thickBot="1" x14ac:dyDescent="0.3"/>
    <row r="169" spans="1:15" x14ac:dyDescent="0.25">
      <c r="A169" s="186" t="s">
        <v>534</v>
      </c>
      <c r="B169" s="187"/>
      <c r="C169" s="187"/>
      <c r="D169" s="187"/>
      <c r="E169" s="187"/>
      <c r="F169" s="187"/>
      <c r="G169" s="187"/>
      <c r="H169" s="187"/>
      <c r="I169" s="187"/>
      <c r="J169" s="187"/>
      <c r="K169" s="187"/>
      <c r="L169" s="187"/>
      <c r="M169" s="187"/>
      <c r="N169" s="187"/>
      <c r="O169" s="188"/>
    </row>
    <row r="170" spans="1:15" ht="15.75" thickBot="1" x14ac:dyDescent="0.3">
      <c r="A170" s="189"/>
      <c r="B170" s="190"/>
      <c r="C170" s="190"/>
      <c r="D170" s="190"/>
      <c r="E170" s="190"/>
      <c r="F170" s="190"/>
      <c r="G170" s="190"/>
      <c r="H170" s="190"/>
      <c r="I170" s="190"/>
      <c r="J170" s="190"/>
      <c r="K170" s="190"/>
      <c r="L170" s="190"/>
      <c r="M170" s="190"/>
      <c r="N170" s="190"/>
      <c r="O170" s="191"/>
    </row>
    <row r="171" spans="1:15" x14ac:dyDescent="0.25">
      <c r="A171" s="112"/>
      <c r="B171" s="113"/>
      <c r="C171" s="113"/>
      <c r="D171" s="113"/>
      <c r="E171" s="113"/>
      <c r="F171" s="113"/>
      <c r="G171" s="113"/>
      <c r="H171" s="113"/>
      <c r="I171" s="131"/>
      <c r="J171" s="131"/>
      <c r="K171" s="131"/>
      <c r="L171" s="131"/>
      <c r="M171" s="131"/>
      <c r="N171" s="131"/>
      <c r="O171" s="88"/>
    </row>
    <row r="172" spans="1:15" x14ac:dyDescent="0.25">
      <c r="A172" s="114"/>
      <c r="B172" s="53">
        <v>2</v>
      </c>
      <c r="C172" s="53">
        <v>10</v>
      </c>
      <c r="D172" s="53"/>
      <c r="E172" s="53"/>
      <c r="F172" s="53"/>
      <c r="G172" s="53"/>
      <c r="H172" s="53"/>
      <c r="I172" s="102"/>
      <c r="J172" s="102"/>
      <c r="K172" s="102"/>
      <c r="L172" s="102"/>
      <c r="M172" s="102"/>
      <c r="N172" s="102"/>
      <c r="O172" s="89"/>
    </row>
    <row r="173" spans="1:15" x14ac:dyDescent="0.25">
      <c r="A173" s="114"/>
      <c r="B173" s="53"/>
      <c r="C173" s="53"/>
      <c r="D173" s="53"/>
      <c r="E173" s="53"/>
      <c r="F173" s="53">
        <v>70</v>
      </c>
      <c r="G173" s="53"/>
      <c r="H173" s="53"/>
      <c r="I173" s="102"/>
      <c r="J173" s="102"/>
      <c r="K173" s="102"/>
      <c r="L173" s="102"/>
      <c r="M173" s="102"/>
      <c r="N173" s="102"/>
      <c r="O173" s="89"/>
    </row>
    <row r="174" spans="1:15" x14ac:dyDescent="0.25">
      <c r="A174" s="114"/>
      <c r="B174" s="53"/>
      <c r="C174" s="53"/>
      <c r="D174" s="53"/>
      <c r="E174" s="53"/>
      <c r="F174" s="53"/>
      <c r="G174" s="53"/>
      <c r="H174" s="53"/>
      <c r="I174" s="102"/>
      <c r="J174" s="102"/>
      <c r="K174" s="102"/>
      <c r="L174" s="102"/>
      <c r="M174" s="102"/>
      <c r="N174" s="102"/>
      <c r="O174" s="89"/>
    </row>
    <row r="175" spans="1:15" x14ac:dyDescent="0.25">
      <c r="A175" s="114"/>
      <c r="B175" s="53"/>
      <c r="C175" s="53"/>
      <c r="D175" s="53">
        <f>B172*C172</f>
        <v>20</v>
      </c>
      <c r="E175" s="53"/>
      <c r="F175" s="53"/>
      <c r="G175" s="53"/>
      <c r="H175" s="53"/>
      <c r="I175" s="102"/>
      <c r="J175" s="102"/>
      <c r="K175" s="102"/>
      <c r="L175" s="102"/>
      <c r="M175" s="102"/>
      <c r="N175" s="102"/>
      <c r="O175" s="89"/>
    </row>
    <row r="176" spans="1:15" x14ac:dyDescent="0.25">
      <c r="A176" s="114"/>
      <c r="B176" s="53">
        <v>50</v>
      </c>
      <c r="C176" s="53"/>
      <c r="D176" s="53"/>
      <c r="E176" s="53"/>
      <c r="F176" s="53"/>
      <c r="G176" s="53"/>
      <c r="H176" s="53"/>
      <c r="I176" s="102"/>
      <c r="J176" s="102"/>
      <c r="K176" s="102"/>
      <c r="L176" s="102"/>
      <c r="M176" s="102"/>
      <c r="N176" s="102"/>
      <c r="O176" s="89"/>
    </row>
    <row r="177" spans="1:15" x14ac:dyDescent="0.25">
      <c r="A177" s="114"/>
      <c r="B177" s="53"/>
      <c r="C177" s="53"/>
      <c r="D177" s="53"/>
      <c r="E177" s="53"/>
      <c r="F177" s="53"/>
      <c r="G177" s="53">
        <v>80</v>
      </c>
      <c r="H177" s="53"/>
      <c r="I177" s="102"/>
      <c r="J177" s="102"/>
      <c r="K177" s="102"/>
      <c r="L177" s="102"/>
      <c r="M177" s="102"/>
      <c r="N177" s="102"/>
      <c r="O177" s="89"/>
    </row>
    <row r="178" spans="1:15" x14ac:dyDescent="0.25">
      <c r="A178" s="114"/>
      <c r="B178" s="53"/>
      <c r="C178" s="53">
        <v>60</v>
      </c>
      <c r="D178" s="53"/>
      <c r="E178" s="53"/>
      <c r="F178" s="53"/>
      <c r="G178" s="53"/>
      <c r="H178" s="53"/>
      <c r="I178" s="102"/>
      <c r="J178" s="102"/>
      <c r="K178" s="102"/>
      <c r="L178" s="102"/>
      <c r="M178" s="102"/>
      <c r="N178" s="102"/>
      <c r="O178" s="89"/>
    </row>
    <row r="179" spans="1:15" x14ac:dyDescent="0.25">
      <c r="A179" s="114"/>
      <c r="B179" s="53"/>
      <c r="C179" s="53"/>
      <c r="D179" s="53"/>
      <c r="E179" s="53"/>
      <c r="F179" s="53">
        <f>F173+G177+D175+C178</f>
        <v>230</v>
      </c>
      <c r="G179" s="53"/>
      <c r="H179" s="53"/>
      <c r="I179" s="102"/>
      <c r="J179" s="102"/>
      <c r="K179" s="102"/>
      <c r="L179" s="102"/>
      <c r="M179" s="102"/>
      <c r="N179" s="102"/>
      <c r="O179" s="89"/>
    </row>
    <row r="180" spans="1:15" ht="15.75" thickBot="1" x14ac:dyDescent="0.3">
      <c r="A180" s="116"/>
      <c r="B180" s="58"/>
      <c r="C180" s="58"/>
      <c r="D180" s="58"/>
      <c r="E180" s="58"/>
      <c r="F180" s="58"/>
      <c r="G180" s="58"/>
      <c r="H180" s="58"/>
      <c r="I180" s="132"/>
      <c r="J180" s="132"/>
      <c r="K180" s="132"/>
      <c r="L180" s="132"/>
      <c r="M180" s="132"/>
      <c r="N180" s="132"/>
      <c r="O180" s="90" t="s">
        <v>535</v>
      </c>
    </row>
  </sheetData>
  <mergeCells count="1">
    <mergeCell ref="A169:O17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506F2-DABA-4CCF-A288-A4AD55B59A43}">
  <dimension ref="D1:AC44"/>
  <sheetViews>
    <sheetView zoomScale="55" zoomScaleNormal="55" workbookViewId="0">
      <selection activeCell="N22" sqref="N22"/>
    </sheetView>
  </sheetViews>
  <sheetFormatPr defaultRowHeight="15" x14ac:dyDescent="0.25"/>
  <cols>
    <col min="4" max="5" width="19.28515625" bestFit="1" customWidth="1"/>
    <col min="6" max="6" width="12.7109375" bestFit="1" customWidth="1"/>
    <col min="7" max="7" width="19.140625" bestFit="1" customWidth="1"/>
    <col min="8" max="8" width="10.5703125" bestFit="1" customWidth="1"/>
    <col min="9" max="9" width="16.7109375" bestFit="1" customWidth="1"/>
    <col min="10" max="10" width="12.5703125" bestFit="1" customWidth="1"/>
    <col min="11" max="11" width="13.42578125" bestFit="1" customWidth="1"/>
    <col min="12" max="12" width="16" bestFit="1" customWidth="1"/>
    <col min="13" max="13" width="13.7109375" bestFit="1" customWidth="1"/>
    <col min="14" max="14" width="15.28515625" bestFit="1" customWidth="1"/>
    <col min="15" max="15" width="8.7109375" bestFit="1" customWidth="1"/>
    <col min="16" max="16" width="10.42578125" bestFit="1" customWidth="1"/>
    <col min="17" max="17" width="17.5703125" bestFit="1" customWidth="1"/>
    <col min="18" max="18" width="10.42578125" bestFit="1" customWidth="1"/>
    <col min="21" max="21" width="19.28515625" bestFit="1" customWidth="1"/>
    <col min="22" max="22" width="11.7109375" bestFit="1" customWidth="1"/>
    <col min="23" max="23" width="7.7109375" bestFit="1" customWidth="1"/>
    <col min="24" max="24" width="19.28515625" bestFit="1" customWidth="1"/>
    <col min="25" max="25" width="11.7109375" bestFit="1" customWidth="1"/>
    <col min="26" max="26" width="16.7109375" bestFit="1" customWidth="1"/>
    <col min="27" max="27" width="11.42578125" bestFit="1" customWidth="1"/>
    <col min="28" max="28" width="4.7109375" bestFit="1" customWidth="1"/>
    <col min="29" max="29" width="16.7109375" bestFit="1" customWidth="1"/>
  </cols>
  <sheetData>
    <row r="1" spans="4:29" x14ac:dyDescent="0.25">
      <c r="D1" s="192" t="s">
        <v>541</v>
      </c>
      <c r="E1" s="193"/>
      <c r="F1" s="193"/>
      <c r="G1" s="193"/>
      <c r="H1" s="193"/>
      <c r="I1" s="193"/>
      <c r="X1" s="194" t="s">
        <v>542</v>
      </c>
      <c r="Y1" s="195"/>
      <c r="Z1" s="195"/>
      <c r="AA1" s="195"/>
      <c r="AB1" s="195"/>
      <c r="AC1" s="196"/>
    </row>
    <row r="2" spans="4:29" x14ac:dyDescent="0.25">
      <c r="D2" s="106" t="s">
        <v>470</v>
      </c>
      <c r="E2" s="106" t="s">
        <v>6</v>
      </c>
      <c r="F2" s="106" t="s">
        <v>36</v>
      </c>
      <c r="G2" s="105" t="s">
        <v>472</v>
      </c>
      <c r="H2" s="134" t="s">
        <v>536</v>
      </c>
      <c r="I2" s="106" t="s">
        <v>537</v>
      </c>
      <c r="K2" s="194" t="s">
        <v>543</v>
      </c>
      <c r="L2" s="195"/>
      <c r="M2" s="195"/>
      <c r="N2" s="195"/>
      <c r="O2" s="195"/>
      <c r="P2" s="195"/>
      <c r="Q2" s="195"/>
      <c r="R2" s="195"/>
      <c r="S2" s="195"/>
      <c r="T2" s="195"/>
      <c r="U2" s="195"/>
      <c r="V2" s="196"/>
      <c r="X2" s="192" t="str">
        <f t="shared" ref="X2:X17" si="0">D1</f>
        <v>OPERATIONS</v>
      </c>
      <c r="Y2" s="193"/>
      <c r="Z2" s="193"/>
      <c r="AA2" s="193"/>
      <c r="AB2" s="193"/>
      <c r="AC2" s="193"/>
    </row>
    <row r="3" spans="4:29" x14ac:dyDescent="0.25">
      <c r="D3" s="105" t="s">
        <v>473</v>
      </c>
      <c r="E3" s="105" t="s">
        <v>93</v>
      </c>
      <c r="F3" s="105" t="s">
        <v>57</v>
      </c>
      <c r="G3" s="105">
        <v>137396</v>
      </c>
      <c r="H3" s="135">
        <f t="shared" ref="H3:H16" ca="1" si="1">(RANDBETWEEN(10,50))/100</f>
        <v>0.18</v>
      </c>
      <c r="I3" s="105">
        <v>100</v>
      </c>
      <c r="X3" s="106" t="str">
        <f t="shared" si="0"/>
        <v>Employee Name</v>
      </c>
      <c r="Y3" s="106" t="str">
        <f t="shared" ref="Y3:AC4" si="2">E2</f>
        <v>Department</v>
      </c>
      <c r="Z3" s="106" t="str">
        <f t="shared" si="2"/>
        <v>Region</v>
      </c>
      <c r="AA3" s="105" t="str">
        <f t="shared" si="2"/>
        <v>Target (Rs.)</v>
      </c>
      <c r="AB3" s="134" t="str">
        <f t="shared" si="2"/>
        <v>%</v>
      </c>
      <c r="AC3" s="106" t="str">
        <f t="shared" si="2"/>
        <v xml:space="preserve">Add 100 in Target </v>
      </c>
    </row>
    <row r="4" spans="4:29" x14ac:dyDescent="0.25">
      <c r="D4" s="105" t="s">
        <v>474</v>
      </c>
      <c r="E4" s="105" t="s">
        <v>185</v>
      </c>
      <c r="F4" s="105" t="s">
        <v>74</v>
      </c>
      <c r="G4" s="105">
        <v>58489</v>
      </c>
      <c r="H4" s="135">
        <f t="shared" ca="1" si="1"/>
        <v>0.39</v>
      </c>
      <c r="X4" s="105" t="str">
        <f t="shared" si="0"/>
        <v>Muhammad Ahmed</v>
      </c>
      <c r="Y4" s="105" t="str">
        <f t="shared" si="2"/>
        <v>Operations</v>
      </c>
      <c r="Z4" s="105" t="str">
        <f t="shared" si="2"/>
        <v>South</v>
      </c>
      <c r="AA4" s="105">
        <f t="shared" si="2"/>
        <v>137396</v>
      </c>
      <c r="AB4" s="135">
        <f t="shared" ca="1" si="2"/>
        <v>0.18</v>
      </c>
      <c r="AC4" s="105">
        <f t="shared" si="2"/>
        <v>100</v>
      </c>
    </row>
    <row r="5" spans="4:29" x14ac:dyDescent="0.25">
      <c r="D5" s="105" t="s">
        <v>475</v>
      </c>
      <c r="E5" s="105" t="s">
        <v>93</v>
      </c>
      <c r="F5" s="105" t="s">
        <v>87</v>
      </c>
      <c r="G5" s="105">
        <v>137280</v>
      </c>
      <c r="H5" s="135">
        <f t="shared" ca="1" si="1"/>
        <v>0.28999999999999998</v>
      </c>
      <c r="X5" s="105" t="str">
        <f t="shared" si="0"/>
        <v>Ayesha Khan</v>
      </c>
      <c r="Y5" s="105" t="str">
        <f t="shared" ref="Y5:Y17" si="3">E4</f>
        <v>Marketing</v>
      </c>
      <c r="Z5" s="105" t="str">
        <f t="shared" ref="Z5:Z17" si="4">F4</f>
        <v>North</v>
      </c>
      <c r="AA5" s="105">
        <f t="shared" ref="AA5:AA17" si="5">G4</f>
        <v>58489</v>
      </c>
      <c r="AB5" s="135">
        <f t="shared" ref="AB5:AB17" ca="1" si="6">H4</f>
        <v>0.39</v>
      </c>
    </row>
    <row r="6" spans="4:29" x14ac:dyDescent="0.25">
      <c r="D6" s="105" t="s">
        <v>476</v>
      </c>
      <c r="E6" s="105" t="s">
        <v>80</v>
      </c>
      <c r="F6" s="105" t="s">
        <v>103</v>
      </c>
      <c r="G6" s="105">
        <v>95502</v>
      </c>
      <c r="H6" s="135">
        <f t="shared" ca="1" si="1"/>
        <v>0.41</v>
      </c>
      <c r="L6" s="194" t="s">
        <v>540</v>
      </c>
      <c r="M6" s="195"/>
      <c r="N6" s="195"/>
      <c r="O6" s="195"/>
      <c r="P6" s="195"/>
      <c r="Q6" s="195"/>
      <c r="R6" s="195"/>
      <c r="S6" s="195"/>
      <c r="T6" s="195"/>
      <c r="U6" s="196"/>
      <c r="X6" s="105" t="str">
        <f t="shared" si="0"/>
        <v>Muhammad Hamza</v>
      </c>
      <c r="Y6" s="105" t="str">
        <f t="shared" si="3"/>
        <v>Operations</v>
      </c>
      <c r="Z6" s="105" t="str">
        <f t="shared" si="4"/>
        <v>West</v>
      </c>
      <c r="AA6" s="105">
        <f t="shared" si="5"/>
        <v>137280</v>
      </c>
      <c r="AB6" s="135">
        <f t="shared" ca="1" si="6"/>
        <v>0.28999999999999998</v>
      </c>
    </row>
    <row r="7" spans="4:29" x14ac:dyDescent="0.25">
      <c r="D7" s="105" t="s">
        <v>477</v>
      </c>
      <c r="E7" s="105" t="s">
        <v>134</v>
      </c>
      <c r="F7" s="105" t="s">
        <v>74</v>
      </c>
      <c r="G7" s="105">
        <v>68857</v>
      </c>
      <c r="H7" s="135">
        <f t="shared" ca="1" si="1"/>
        <v>0.36</v>
      </c>
      <c r="X7" s="105" t="str">
        <f t="shared" si="0"/>
        <v>Fatima Ali</v>
      </c>
      <c r="Y7" s="105" t="str">
        <f t="shared" si="3"/>
        <v>IT</v>
      </c>
      <c r="Z7" s="105" t="str">
        <f t="shared" si="4"/>
        <v>Central</v>
      </c>
      <c r="AA7" s="105">
        <f t="shared" si="5"/>
        <v>95502</v>
      </c>
      <c r="AB7" s="135">
        <f t="shared" ca="1" si="6"/>
        <v>0.41</v>
      </c>
    </row>
    <row r="8" spans="4:29" x14ac:dyDescent="0.25">
      <c r="D8" s="105" t="s">
        <v>478</v>
      </c>
      <c r="E8" s="105" t="s">
        <v>45</v>
      </c>
      <c r="F8" s="105" t="s">
        <v>123</v>
      </c>
      <c r="G8" s="105">
        <v>66262</v>
      </c>
      <c r="H8" s="135">
        <f t="shared" ca="1" si="1"/>
        <v>0.12</v>
      </c>
      <c r="M8" s="105">
        <v>137196</v>
      </c>
      <c r="N8" s="105">
        <v>137196</v>
      </c>
      <c r="X8" s="105" t="str">
        <f t="shared" si="0"/>
        <v>Hassan Raza</v>
      </c>
      <c r="Y8" s="105" t="str">
        <f t="shared" si="3"/>
        <v>Finance</v>
      </c>
      <c r="Z8" s="105" t="str">
        <f t="shared" si="4"/>
        <v>North</v>
      </c>
      <c r="AA8" s="105">
        <f t="shared" si="5"/>
        <v>68857</v>
      </c>
      <c r="AB8" s="135">
        <f t="shared" ca="1" si="6"/>
        <v>0.36</v>
      </c>
    </row>
    <row r="9" spans="4:29" x14ac:dyDescent="0.25">
      <c r="D9" s="105" t="s">
        <v>479</v>
      </c>
      <c r="E9" s="105" t="s">
        <v>93</v>
      </c>
      <c r="F9" s="105" t="s">
        <v>57</v>
      </c>
      <c r="G9" s="105">
        <v>99078</v>
      </c>
      <c r="H9" s="135">
        <f t="shared" ca="1" si="1"/>
        <v>0.22</v>
      </c>
      <c r="M9" s="105">
        <v>64256</v>
      </c>
      <c r="N9" s="105"/>
      <c r="X9" s="105" t="str">
        <f t="shared" si="0"/>
        <v>Sana Ahmed</v>
      </c>
      <c r="Y9" s="105" t="str">
        <f t="shared" si="3"/>
        <v>Sales</v>
      </c>
      <c r="Z9" s="105" t="str">
        <f t="shared" si="4"/>
        <v>East</v>
      </c>
      <c r="AA9" s="105">
        <f t="shared" si="5"/>
        <v>66262</v>
      </c>
      <c r="AB9" s="135">
        <f t="shared" ca="1" si="6"/>
        <v>0.12</v>
      </c>
    </row>
    <row r="10" spans="4:29" x14ac:dyDescent="0.25">
      <c r="D10" s="105" t="s">
        <v>480</v>
      </c>
      <c r="E10" s="105" t="s">
        <v>80</v>
      </c>
      <c r="F10" s="105" t="s">
        <v>103</v>
      </c>
      <c r="G10" s="105">
        <v>41051</v>
      </c>
      <c r="H10" s="135">
        <f t="shared" ca="1" si="1"/>
        <v>0.34</v>
      </c>
      <c r="M10" s="105">
        <v>137080</v>
      </c>
      <c r="N10" s="105">
        <v>137080</v>
      </c>
      <c r="X10" s="105" t="str">
        <f t="shared" si="0"/>
        <v>Usman Malik</v>
      </c>
      <c r="Y10" s="105" t="str">
        <f t="shared" si="3"/>
        <v>Operations</v>
      </c>
      <c r="Z10" s="105" t="str">
        <f t="shared" si="4"/>
        <v>South</v>
      </c>
      <c r="AA10" s="105">
        <f t="shared" si="5"/>
        <v>99078</v>
      </c>
      <c r="AB10" s="135">
        <f t="shared" ca="1" si="6"/>
        <v>0.22</v>
      </c>
    </row>
    <row r="11" spans="4:29" x14ac:dyDescent="0.25">
      <c r="D11" s="105" t="s">
        <v>481</v>
      </c>
      <c r="E11" s="105" t="s">
        <v>45</v>
      </c>
      <c r="F11" s="105" t="s">
        <v>123</v>
      </c>
      <c r="G11" s="105">
        <v>76621</v>
      </c>
      <c r="H11" s="135">
        <f t="shared" ca="1" si="1"/>
        <v>0.42</v>
      </c>
      <c r="M11" s="105">
        <v>95302</v>
      </c>
      <c r="N11" s="105">
        <v>95302</v>
      </c>
      <c r="X11" s="105" t="str">
        <f t="shared" si="0"/>
        <v>Zainab Siddiqui</v>
      </c>
      <c r="Y11" s="105" t="str">
        <f t="shared" si="3"/>
        <v>IT</v>
      </c>
      <c r="Z11" s="105" t="str">
        <f t="shared" si="4"/>
        <v>Central</v>
      </c>
      <c r="AA11" s="105">
        <f t="shared" si="5"/>
        <v>41051</v>
      </c>
      <c r="AB11" s="135">
        <f t="shared" ca="1" si="6"/>
        <v>0.34</v>
      </c>
    </row>
    <row r="12" spans="4:29" x14ac:dyDescent="0.25">
      <c r="D12" s="105" t="s">
        <v>482</v>
      </c>
      <c r="E12" s="105" t="s">
        <v>45</v>
      </c>
      <c r="F12" s="105" t="s">
        <v>87</v>
      </c>
      <c r="G12" s="105">
        <v>84318</v>
      </c>
      <c r="H12" s="135">
        <f t="shared" ca="1" si="1"/>
        <v>0.28000000000000003</v>
      </c>
      <c r="M12" s="105">
        <v>68657</v>
      </c>
      <c r="N12" s="105">
        <v>68657</v>
      </c>
      <c r="X12" s="105" t="str">
        <f t="shared" si="0"/>
        <v>Bilal Hussain</v>
      </c>
      <c r="Y12" s="105" t="str">
        <f t="shared" si="3"/>
        <v>Sales</v>
      </c>
      <c r="Z12" s="105" t="str">
        <f t="shared" si="4"/>
        <v>East</v>
      </c>
      <c r="AA12" s="105">
        <f t="shared" si="5"/>
        <v>76621</v>
      </c>
      <c r="AB12" s="135">
        <f t="shared" ca="1" si="6"/>
        <v>0.42</v>
      </c>
    </row>
    <row r="13" spans="4:29" x14ac:dyDescent="0.25">
      <c r="D13" s="136" t="s">
        <v>544</v>
      </c>
      <c r="E13" s="105" t="s">
        <v>134</v>
      </c>
      <c r="F13" s="105" t="s">
        <v>57</v>
      </c>
      <c r="G13" s="105">
        <v>52876</v>
      </c>
      <c r="H13" s="135">
        <f t="shared" ca="1" si="1"/>
        <v>0.19</v>
      </c>
      <c r="M13" s="105">
        <v>66062</v>
      </c>
      <c r="N13" s="105">
        <v>66062</v>
      </c>
      <c r="X13" s="105" t="str">
        <f t="shared" si="0"/>
        <v>Maryam Sheikh</v>
      </c>
      <c r="Y13" s="105" t="str">
        <f t="shared" si="3"/>
        <v>Sales</v>
      </c>
      <c r="Z13" s="105" t="str">
        <f t="shared" si="4"/>
        <v>West</v>
      </c>
      <c r="AA13" s="105">
        <f t="shared" si="5"/>
        <v>84318</v>
      </c>
      <c r="AB13" s="135">
        <f t="shared" ca="1" si="6"/>
        <v>0.28000000000000003</v>
      </c>
    </row>
    <row r="14" spans="4:29" x14ac:dyDescent="0.25">
      <c r="D14" s="105" t="s">
        <v>484</v>
      </c>
      <c r="E14" s="105" t="s">
        <v>185</v>
      </c>
      <c r="F14" s="105" t="s">
        <v>123</v>
      </c>
      <c r="G14" s="105">
        <v>74871</v>
      </c>
      <c r="H14" s="135">
        <f t="shared" ca="1" si="1"/>
        <v>0.34</v>
      </c>
      <c r="M14" s="105">
        <v>98878</v>
      </c>
      <c r="N14" s="105">
        <v>98878</v>
      </c>
      <c r="X14" s="105" t="str">
        <f t="shared" si="0"/>
        <v>Ali Khan</v>
      </c>
      <c r="Y14" s="105" t="str">
        <f t="shared" si="3"/>
        <v>Finance</v>
      </c>
      <c r="Z14" s="105" t="str">
        <f t="shared" si="4"/>
        <v>South</v>
      </c>
      <c r="AA14" s="105">
        <f t="shared" si="5"/>
        <v>52876</v>
      </c>
      <c r="AB14" s="135">
        <f t="shared" ca="1" si="6"/>
        <v>0.19</v>
      </c>
    </row>
    <row r="15" spans="4:29" x14ac:dyDescent="0.25">
      <c r="D15" s="105" t="s">
        <v>485</v>
      </c>
      <c r="E15" s="105" t="s">
        <v>134</v>
      </c>
      <c r="F15" s="105" t="s">
        <v>123</v>
      </c>
      <c r="G15" s="105">
        <v>56561</v>
      </c>
      <c r="H15" s="135">
        <f t="shared" ca="1" si="1"/>
        <v>0.14000000000000001</v>
      </c>
      <c r="M15" s="105">
        <v>40851</v>
      </c>
      <c r="N15" s="105">
        <v>40851</v>
      </c>
      <c r="X15" s="105" t="str">
        <f t="shared" si="0"/>
        <v>Hira Shah</v>
      </c>
      <c r="Y15" s="105" t="str">
        <f t="shared" si="3"/>
        <v>Marketing</v>
      </c>
      <c r="Z15" s="105" t="str">
        <f t="shared" si="4"/>
        <v>East</v>
      </c>
      <c r="AA15" s="105">
        <f t="shared" si="5"/>
        <v>74871</v>
      </c>
      <c r="AB15" s="135">
        <f t="shared" ca="1" si="6"/>
        <v>0.34</v>
      </c>
    </row>
    <row r="16" spans="4:29" x14ac:dyDescent="0.25">
      <c r="D16" s="105" t="s">
        <v>486</v>
      </c>
      <c r="E16" s="105" t="s">
        <v>126</v>
      </c>
      <c r="F16" s="105" t="s">
        <v>57</v>
      </c>
      <c r="G16" s="105">
        <v>78627</v>
      </c>
      <c r="H16" s="135">
        <f t="shared" ca="1" si="1"/>
        <v>0.3</v>
      </c>
      <c r="M16" s="105"/>
      <c r="N16" s="105"/>
      <c r="X16" s="105" t="str">
        <f t="shared" si="0"/>
        <v>Abdullah Qureshi</v>
      </c>
      <c r="Y16" s="105" t="str">
        <f t="shared" si="3"/>
        <v>Finance</v>
      </c>
      <c r="Z16" s="105" t="str">
        <f t="shared" si="4"/>
        <v>East</v>
      </c>
      <c r="AA16" s="105">
        <f t="shared" si="5"/>
        <v>56561</v>
      </c>
      <c r="AB16" s="135">
        <f t="shared" ca="1" si="6"/>
        <v>0.14000000000000001</v>
      </c>
    </row>
    <row r="17" spans="4:28" x14ac:dyDescent="0.25">
      <c r="G17" s="133"/>
      <c r="M17" s="105">
        <v>84118</v>
      </c>
      <c r="N17" s="105">
        <v>84118</v>
      </c>
      <c r="X17" s="105" t="str">
        <f t="shared" si="0"/>
        <v>Iqra Javed</v>
      </c>
      <c r="Y17" s="105" t="str">
        <f t="shared" si="3"/>
        <v>HR</v>
      </c>
      <c r="Z17" s="105" t="str">
        <f t="shared" si="4"/>
        <v>South</v>
      </c>
      <c r="AA17" s="105">
        <f t="shared" si="5"/>
        <v>78627</v>
      </c>
      <c r="AB17" s="135">
        <f t="shared" ca="1" si="6"/>
        <v>0.3</v>
      </c>
    </row>
    <row r="18" spans="4:28" x14ac:dyDescent="0.25">
      <c r="M18" s="105">
        <v>84797</v>
      </c>
      <c r="N18" s="105"/>
    </row>
    <row r="19" spans="4:28" x14ac:dyDescent="0.25">
      <c r="M19" s="105">
        <v>74671</v>
      </c>
      <c r="N19" s="105">
        <v>74671</v>
      </c>
    </row>
    <row r="20" spans="4:28" x14ac:dyDescent="0.25">
      <c r="M20" s="105">
        <v>56361</v>
      </c>
      <c r="N20" s="105">
        <v>56361</v>
      </c>
    </row>
    <row r="21" spans="4:28" x14ac:dyDescent="0.25">
      <c r="M21" s="105">
        <v>78427</v>
      </c>
      <c r="N21" s="105">
        <v>78427</v>
      </c>
    </row>
    <row r="22" spans="4:28" x14ac:dyDescent="0.25">
      <c r="M22" s="105">
        <v>110674</v>
      </c>
      <c r="N22" s="105"/>
    </row>
    <row r="23" spans="4:28" x14ac:dyDescent="0.25">
      <c r="M23" s="105">
        <v>126673</v>
      </c>
      <c r="N23" s="105">
        <v>126673</v>
      </c>
    </row>
    <row r="29" spans="4:28" x14ac:dyDescent="0.25">
      <c r="D29" s="193" t="s">
        <v>538</v>
      </c>
      <c r="E29" s="193"/>
      <c r="F29" s="193"/>
      <c r="G29" s="193"/>
      <c r="H29" s="193"/>
      <c r="I29" s="193"/>
      <c r="J29" s="193"/>
      <c r="K29" s="193"/>
      <c r="L29" s="193"/>
      <c r="M29" s="193"/>
      <c r="N29" s="193"/>
      <c r="O29" s="193"/>
      <c r="P29" s="193"/>
      <c r="Q29" s="193"/>
      <c r="R29" s="193"/>
      <c r="U29" s="194" t="s">
        <v>539</v>
      </c>
      <c r="V29" s="195"/>
      <c r="W29" s="195"/>
      <c r="X29" s="195"/>
      <c r="Y29" s="195"/>
      <c r="Z29" s="196"/>
    </row>
    <row r="30" spans="4:28" x14ac:dyDescent="0.25">
      <c r="D30" s="106" t="s">
        <v>470</v>
      </c>
      <c r="E30" s="105" t="s">
        <v>473</v>
      </c>
      <c r="F30" s="105" t="s">
        <v>474</v>
      </c>
      <c r="G30" s="105" t="s">
        <v>475</v>
      </c>
      <c r="H30" s="105" t="s">
        <v>476</v>
      </c>
      <c r="I30" s="105" t="s">
        <v>477</v>
      </c>
      <c r="J30" s="105" t="s">
        <v>478</v>
      </c>
      <c r="K30" s="105" t="s">
        <v>479</v>
      </c>
      <c r="L30" s="105" t="s">
        <v>480</v>
      </c>
      <c r="M30" s="105" t="s">
        <v>481</v>
      </c>
      <c r="N30" s="105" t="s">
        <v>482</v>
      </c>
      <c r="O30" s="136" t="s">
        <v>544</v>
      </c>
      <c r="P30" s="105" t="s">
        <v>484</v>
      </c>
      <c r="Q30" s="105" t="s">
        <v>485</v>
      </c>
      <c r="R30" s="105" t="s">
        <v>486</v>
      </c>
      <c r="U30" s="106" t="s">
        <v>470</v>
      </c>
      <c r="V30" s="106" t="s">
        <v>6</v>
      </c>
      <c r="W30" s="106" t="s">
        <v>36</v>
      </c>
      <c r="X30" s="105" t="s">
        <v>472</v>
      </c>
      <c r="Y30" s="134" t="s">
        <v>536</v>
      </c>
      <c r="Z30" s="106" t="s">
        <v>537</v>
      </c>
    </row>
    <row r="31" spans="4:28" x14ac:dyDescent="0.25">
      <c r="D31" s="106" t="s">
        <v>6</v>
      </c>
      <c r="E31" s="105" t="s">
        <v>93</v>
      </c>
      <c r="F31" s="105" t="s">
        <v>185</v>
      </c>
      <c r="G31" s="105" t="s">
        <v>93</v>
      </c>
      <c r="H31" s="105" t="s">
        <v>80</v>
      </c>
      <c r="I31" s="105" t="s">
        <v>134</v>
      </c>
      <c r="J31" s="105" t="s">
        <v>45</v>
      </c>
      <c r="K31" s="105" t="s">
        <v>93</v>
      </c>
      <c r="L31" s="105" t="s">
        <v>80</v>
      </c>
      <c r="M31" s="105" t="s">
        <v>45</v>
      </c>
      <c r="N31" s="105" t="s">
        <v>45</v>
      </c>
      <c r="O31" s="105" t="s">
        <v>134</v>
      </c>
      <c r="P31" s="105" t="s">
        <v>185</v>
      </c>
      <c r="Q31" s="105" t="s">
        <v>134</v>
      </c>
      <c r="R31" s="105" t="s">
        <v>126</v>
      </c>
      <c r="U31" s="105" t="s">
        <v>473</v>
      </c>
      <c r="V31" s="105" t="s">
        <v>93</v>
      </c>
      <c r="W31" s="105" t="s">
        <v>57</v>
      </c>
      <c r="X31" s="105">
        <v>137396</v>
      </c>
      <c r="Y31" s="135">
        <v>0.47</v>
      </c>
      <c r="Z31" s="105">
        <v>100</v>
      </c>
    </row>
    <row r="32" spans="4:28" x14ac:dyDescent="0.25">
      <c r="D32" s="106" t="s">
        <v>36</v>
      </c>
      <c r="E32" s="105" t="s">
        <v>57</v>
      </c>
      <c r="F32" s="105" t="s">
        <v>74</v>
      </c>
      <c r="G32" s="105" t="s">
        <v>87</v>
      </c>
      <c r="H32" s="105" t="s">
        <v>103</v>
      </c>
      <c r="I32" s="105" t="s">
        <v>74</v>
      </c>
      <c r="J32" s="105" t="s">
        <v>123</v>
      </c>
      <c r="K32" s="105" t="s">
        <v>57</v>
      </c>
      <c r="L32" s="105" t="s">
        <v>103</v>
      </c>
      <c r="M32" s="105" t="s">
        <v>123</v>
      </c>
      <c r="N32" s="105" t="s">
        <v>87</v>
      </c>
      <c r="O32" s="105" t="s">
        <v>57</v>
      </c>
      <c r="P32" s="105" t="s">
        <v>123</v>
      </c>
      <c r="Q32" s="105" t="s">
        <v>123</v>
      </c>
      <c r="R32" s="105" t="s">
        <v>57</v>
      </c>
      <c r="U32" s="105" t="s">
        <v>474</v>
      </c>
      <c r="V32" s="105" t="s">
        <v>185</v>
      </c>
      <c r="W32" s="105" t="s">
        <v>74</v>
      </c>
      <c r="X32" s="105">
        <v>58489</v>
      </c>
      <c r="Y32" s="135">
        <v>0.42</v>
      </c>
    </row>
    <row r="33" spans="4:25" x14ac:dyDescent="0.25">
      <c r="D33" s="105" t="s">
        <v>472</v>
      </c>
      <c r="E33" s="105">
        <v>137396</v>
      </c>
      <c r="F33" s="105">
        <v>58489</v>
      </c>
      <c r="G33" s="105">
        <v>137280</v>
      </c>
      <c r="H33" s="105">
        <v>95502</v>
      </c>
      <c r="I33" s="105">
        <v>68857</v>
      </c>
      <c r="J33" s="105">
        <v>66262</v>
      </c>
      <c r="K33" s="105">
        <v>99078</v>
      </c>
      <c r="L33" s="105">
        <v>41051</v>
      </c>
      <c r="M33" s="105">
        <v>76621</v>
      </c>
      <c r="N33" s="105">
        <v>84318</v>
      </c>
      <c r="O33" s="105">
        <v>52876</v>
      </c>
      <c r="P33" s="105">
        <v>74871</v>
      </c>
      <c r="Q33" s="105">
        <v>56561</v>
      </c>
      <c r="R33" s="105">
        <v>78627</v>
      </c>
      <c r="U33" s="105" t="s">
        <v>475</v>
      </c>
      <c r="V33" s="105" t="s">
        <v>93</v>
      </c>
      <c r="W33" s="105" t="s">
        <v>87</v>
      </c>
      <c r="X33" s="105">
        <v>137280</v>
      </c>
      <c r="Y33" s="135">
        <v>0.28999999999999998</v>
      </c>
    </row>
    <row r="34" spans="4:25" x14ac:dyDescent="0.25">
      <c r="D34" s="134" t="s">
        <v>536</v>
      </c>
      <c r="E34" s="135">
        <v>0.46</v>
      </c>
      <c r="F34" s="135">
        <v>0.39</v>
      </c>
      <c r="G34" s="135">
        <v>0.22</v>
      </c>
      <c r="H34" s="135">
        <v>0.11</v>
      </c>
      <c r="I34" s="135">
        <v>0.37</v>
      </c>
      <c r="J34" s="135">
        <v>0.2</v>
      </c>
      <c r="K34" s="135">
        <v>0.47</v>
      </c>
      <c r="L34" s="135">
        <v>0.49</v>
      </c>
      <c r="M34" s="135">
        <v>0.23</v>
      </c>
      <c r="N34" s="135">
        <v>0.27</v>
      </c>
      <c r="O34" s="135">
        <v>0.3</v>
      </c>
      <c r="P34" s="135">
        <v>0.32</v>
      </c>
      <c r="Q34" s="135">
        <v>0.11</v>
      </c>
      <c r="R34" s="135">
        <v>0.34</v>
      </c>
      <c r="U34" s="105" t="s">
        <v>476</v>
      </c>
      <c r="V34" s="105" t="s">
        <v>80</v>
      </c>
      <c r="W34" s="105" t="s">
        <v>103</v>
      </c>
      <c r="X34" s="105">
        <v>95502</v>
      </c>
      <c r="Y34" s="135">
        <v>0.44</v>
      </c>
    </row>
    <row r="35" spans="4:25" x14ac:dyDescent="0.25">
      <c r="D35" s="106" t="s">
        <v>537</v>
      </c>
      <c r="E35" s="105">
        <v>100</v>
      </c>
      <c r="U35" s="105" t="s">
        <v>477</v>
      </c>
      <c r="V35" s="105" t="s">
        <v>134</v>
      </c>
      <c r="W35" s="105" t="s">
        <v>74</v>
      </c>
      <c r="X35" s="105">
        <v>68857</v>
      </c>
      <c r="Y35" s="135">
        <v>0.35</v>
      </c>
    </row>
    <row r="36" spans="4:25" x14ac:dyDescent="0.25">
      <c r="U36" s="105" t="s">
        <v>478</v>
      </c>
      <c r="V36" s="105" t="s">
        <v>45</v>
      </c>
      <c r="W36" s="105" t="s">
        <v>123</v>
      </c>
      <c r="X36" s="105">
        <v>66262</v>
      </c>
      <c r="Y36" s="135">
        <v>0.42</v>
      </c>
    </row>
    <row r="37" spans="4:25" x14ac:dyDescent="0.25">
      <c r="U37" s="105" t="s">
        <v>479</v>
      </c>
      <c r="V37" s="105" t="s">
        <v>93</v>
      </c>
      <c r="W37" s="105" t="s">
        <v>57</v>
      </c>
      <c r="X37" s="105">
        <v>99078</v>
      </c>
      <c r="Y37" s="135">
        <v>0.44</v>
      </c>
    </row>
    <row r="38" spans="4:25" x14ac:dyDescent="0.25">
      <c r="U38" s="105" t="s">
        <v>480</v>
      </c>
      <c r="V38" s="105" t="s">
        <v>80</v>
      </c>
      <c r="W38" s="105" t="s">
        <v>103</v>
      </c>
      <c r="X38" s="105">
        <v>41051</v>
      </c>
      <c r="Y38" s="135">
        <v>0.19</v>
      </c>
    </row>
    <row r="39" spans="4:25" x14ac:dyDescent="0.25">
      <c r="U39" s="105" t="s">
        <v>481</v>
      </c>
      <c r="V39" s="105" t="s">
        <v>45</v>
      </c>
      <c r="W39" s="105" t="s">
        <v>123</v>
      </c>
      <c r="X39" s="105">
        <v>76621</v>
      </c>
      <c r="Y39" s="135">
        <v>0.5</v>
      </c>
    </row>
    <row r="40" spans="4:25" x14ac:dyDescent="0.25">
      <c r="U40" s="105" t="s">
        <v>482</v>
      </c>
      <c r="V40" s="105" t="s">
        <v>45</v>
      </c>
      <c r="W40" s="105" t="s">
        <v>87</v>
      </c>
      <c r="X40" s="105">
        <v>84318</v>
      </c>
      <c r="Y40" s="135">
        <v>0.3</v>
      </c>
    </row>
    <row r="41" spans="4:25" x14ac:dyDescent="0.25">
      <c r="U41" s="136" t="s">
        <v>544</v>
      </c>
      <c r="V41" s="105" t="s">
        <v>134</v>
      </c>
      <c r="W41" s="105" t="s">
        <v>57</v>
      </c>
      <c r="X41" s="105">
        <v>52876</v>
      </c>
      <c r="Y41" s="135">
        <v>0.47</v>
      </c>
    </row>
    <row r="42" spans="4:25" x14ac:dyDescent="0.25">
      <c r="U42" s="105" t="s">
        <v>484</v>
      </c>
      <c r="V42" s="105" t="s">
        <v>185</v>
      </c>
      <c r="W42" s="105" t="s">
        <v>123</v>
      </c>
      <c r="X42" s="105">
        <v>74871</v>
      </c>
      <c r="Y42" s="135">
        <v>0.47</v>
      </c>
    </row>
    <row r="43" spans="4:25" x14ac:dyDescent="0.25">
      <c r="U43" s="105" t="s">
        <v>485</v>
      </c>
      <c r="V43" s="105" t="s">
        <v>134</v>
      </c>
      <c r="W43" s="105" t="s">
        <v>123</v>
      </c>
      <c r="X43" s="105">
        <v>56561</v>
      </c>
      <c r="Y43" s="135">
        <v>0.46</v>
      </c>
    </row>
    <row r="44" spans="4:25" x14ac:dyDescent="0.25">
      <c r="U44" s="105" t="s">
        <v>486</v>
      </c>
      <c r="V44" s="105" t="s">
        <v>126</v>
      </c>
      <c r="W44" s="105" t="s">
        <v>57</v>
      </c>
      <c r="X44" s="105">
        <v>78627</v>
      </c>
      <c r="Y44" s="135">
        <v>0.12</v>
      </c>
    </row>
  </sheetData>
  <mergeCells count="7">
    <mergeCell ref="D1:I1"/>
    <mergeCell ref="X2:AC2"/>
    <mergeCell ref="X1:AC1"/>
    <mergeCell ref="K2:V2"/>
    <mergeCell ref="D29:R29"/>
    <mergeCell ref="U29:Z29"/>
    <mergeCell ref="L6:U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2EFD-B6FA-4B0F-ADC3-3722B7ACA4BB}">
  <dimension ref="A4:AB56"/>
  <sheetViews>
    <sheetView zoomScale="55" zoomScaleNormal="55" workbookViewId="0">
      <selection activeCell="R64" sqref="R64"/>
    </sheetView>
  </sheetViews>
  <sheetFormatPr defaultRowHeight="15" x14ac:dyDescent="0.25"/>
  <cols>
    <col min="1" max="1" width="13.140625" bestFit="1" customWidth="1"/>
    <col min="2" max="2" width="23.7109375" bestFit="1" customWidth="1"/>
    <col min="3" max="3" width="17.85546875" bestFit="1" customWidth="1"/>
    <col min="4" max="4" width="11.5703125" bestFit="1" customWidth="1"/>
    <col min="5" max="5" width="16.7109375" bestFit="1" customWidth="1"/>
    <col min="6" max="6" width="18.28515625" bestFit="1" customWidth="1"/>
    <col min="8" max="8" width="10.7109375" bestFit="1" customWidth="1"/>
    <col min="9" max="9" width="18.7109375" bestFit="1" customWidth="1"/>
    <col min="10" max="10" width="12.85546875" bestFit="1" customWidth="1"/>
    <col min="11" max="11" width="7.7109375" bestFit="1" customWidth="1"/>
    <col min="12" max="12" width="10.5703125" bestFit="1" customWidth="1"/>
    <col min="13" max="13" width="12" bestFit="1" customWidth="1"/>
    <col min="16" max="16" width="10.7109375" bestFit="1" customWidth="1"/>
    <col min="17" max="17" width="18.7109375" bestFit="1" customWidth="1"/>
    <col min="18" max="18" width="12.85546875" bestFit="1" customWidth="1"/>
    <col min="19" max="19" width="7.7109375" bestFit="1" customWidth="1"/>
    <col min="20" max="20" width="10.5703125" bestFit="1" customWidth="1"/>
    <col min="21" max="21" width="12" bestFit="1" customWidth="1"/>
  </cols>
  <sheetData>
    <row r="4" spans="1:28" x14ac:dyDescent="0.25">
      <c r="A4" s="197" t="s">
        <v>545</v>
      </c>
      <c r="B4" s="198"/>
      <c r="C4" s="198"/>
      <c r="D4" s="198"/>
      <c r="E4" s="198"/>
      <c r="F4" s="198"/>
      <c r="H4" s="197" t="s">
        <v>546</v>
      </c>
      <c r="I4" s="198"/>
      <c r="J4" s="198"/>
      <c r="K4" s="198"/>
      <c r="L4" s="198"/>
      <c r="M4" s="198"/>
      <c r="P4" s="197" t="s">
        <v>548</v>
      </c>
      <c r="Q4" s="198"/>
      <c r="R4" s="198"/>
      <c r="S4" s="198"/>
      <c r="T4" s="198"/>
      <c r="U4" s="198"/>
      <c r="W4" s="197" t="s">
        <v>547</v>
      </c>
      <c r="X4" s="198"/>
      <c r="Y4" s="198"/>
      <c r="Z4" s="198"/>
      <c r="AA4" s="198"/>
      <c r="AB4" s="198"/>
    </row>
    <row r="5" spans="1:28" ht="15.75" thickBot="1" x14ac:dyDescent="0.3"/>
    <row r="6" spans="1:28" ht="15.75" x14ac:dyDescent="0.25">
      <c r="A6" s="48" t="s">
        <v>469</v>
      </c>
      <c r="B6" s="49" t="s">
        <v>470</v>
      </c>
      <c r="C6" s="49" t="s">
        <v>6</v>
      </c>
      <c r="D6" s="49" t="s">
        <v>36</v>
      </c>
      <c r="E6" s="50" t="s">
        <v>471</v>
      </c>
      <c r="F6" s="51" t="s">
        <v>472</v>
      </c>
      <c r="H6" t="s">
        <v>469</v>
      </c>
      <c r="I6" t="s">
        <v>470</v>
      </c>
      <c r="J6" t="s">
        <v>6</v>
      </c>
      <c r="K6" t="s">
        <v>36</v>
      </c>
      <c r="L6" t="s">
        <v>471</v>
      </c>
      <c r="M6" t="s">
        <v>472</v>
      </c>
      <c r="P6" s="35"/>
      <c r="Q6" s="36"/>
      <c r="R6" s="36"/>
      <c r="S6" s="36"/>
      <c r="T6" s="37"/>
      <c r="U6" s="38"/>
    </row>
    <row r="7" spans="1:28" x14ac:dyDescent="0.25">
      <c r="A7" s="52">
        <v>46304</v>
      </c>
      <c r="B7" s="53" t="s">
        <v>473</v>
      </c>
      <c r="C7" s="53" t="s">
        <v>93</v>
      </c>
      <c r="D7" s="53" t="s">
        <v>74</v>
      </c>
      <c r="E7" s="54">
        <v>38278</v>
      </c>
      <c r="F7" s="55">
        <v>137196</v>
      </c>
      <c r="H7">
        <v>46304</v>
      </c>
      <c r="I7" t="s">
        <v>473</v>
      </c>
      <c r="J7" t="s">
        <v>93</v>
      </c>
      <c r="K7" t="s">
        <v>74</v>
      </c>
      <c r="L7">
        <v>38278</v>
      </c>
      <c r="M7">
        <v>137196</v>
      </c>
      <c r="P7" s="43"/>
      <c r="Q7" s="31"/>
      <c r="R7" s="31"/>
      <c r="S7" s="31"/>
      <c r="T7" s="32"/>
      <c r="U7" s="39"/>
    </row>
    <row r="8" spans="1:28" x14ac:dyDescent="0.25">
      <c r="A8" s="56">
        <f>A7+1</f>
        <v>46305</v>
      </c>
      <c r="B8" s="53" t="s">
        <v>474</v>
      </c>
      <c r="C8" s="53" t="s">
        <v>185</v>
      </c>
      <c r="D8" s="53" t="s">
        <v>57</v>
      </c>
      <c r="E8" s="54">
        <v>64256</v>
      </c>
      <c r="F8" s="55">
        <v>58289</v>
      </c>
      <c r="H8">
        <f>H7+1</f>
        <v>46305</v>
      </c>
      <c r="I8" t="s">
        <v>474</v>
      </c>
      <c r="J8" t="s">
        <v>185</v>
      </c>
      <c r="K8" t="s">
        <v>57</v>
      </c>
      <c r="L8">
        <v>64256</v>
      </c>
      <c r="M8">
        <v>58289</v>
      </c>
      <c r="P8" s="40"/>
      <c r="Q8" s="31"/>
      <c r="R8" s="31"/>
      <c r="S8" s="31"/>
      <c r="T8" s="32"/>
      <c r="U8" s="39"/>
    </row>
    <row r="9" spans="1:28" x14ac:dyDescent="0.25">
      <c r="A9" s="56">
        <f t="shared" ref="A9:A56" si="0">A8+1</f>
        <v>46306</v>
      </c>
      <c r="B9" s="53" t="s">
        <v>475</v>
      </c>
      <c r="C9" s="53" t="s">
        <v>93</v>
      </c>
      <c r="D9" s="53" t="s">
        <v>74</v>
      </c>
      <c r="E9" s="54">
        <v>123696</v>
      </c>
      <c r="F9" s="55">
        <v>137080</v>
      </c>
      <c r="H9">
        <f t="shared" ref="H9:H56" si="1">H8+1</f>
        <v>46306</v>
      </c>
      <c r="I9" t="s">
        <v>475</v>
      </c>
      <c r="J9" t="s">
        <v>93</v>
      </c>
      <c r="K9" t="s">
        <v>74</v>
      </c>
      <c r="L9">
        <v>123696</v>
      </c>
      <c r="M9">
        <v>137080</v>
      </c>
      <c r="P9" s="40"/>
      <c r="Q9" s="31"/>
      <c r="R9" s="31"/>
      <c r="S9" s="31"/>
      <c r="T9" s="32"/>
      <c r="U9" s="39"/>
    </row>
    <row r="10" spans="1:28" x14ac:dyDescent="0.25">
      <c r="A10" s="56">
        <f t="shared" si="0"/>
        <v>46307</v>
      </c>
      <c r="B10" s="53" t="s">
        <v>476</v>
      </c>
      <c r="C10" s="53" t="s">
        <v>80</v>
      </c>
      <c r="D10" s="53" t="s">
        <v>74</v>
      </c>
      <c r="E10" s="54">
        <v>112397</v>
      </c>
      <c r="F10" s="55">
        <v>95302</v>
      </c>
      <c r="H10">
        <f t="shared" si="1"/>
        <v>46307</v>
      </c>
      <c r="I10" t="s">
        <v>476</v>
      </c>
      <c r="J10" t="s">
        <v>80</v>
      </c>
      <c r="K10" t="s">
        <v>74</v>
      </c>
      <c r="L10">
        <v>112397</v>
      </c>
      <c r="M10">
        <v>95302</v>
      </c>
      <c r="P10" s="40"/>
      <c r="Q10" s="31"/>
      <c r="R10" s="31"/>
      <c r="S10" s="31"/>
      <c r="T10" s="32"/>
      <c r="U10" s="39"/>
    </row>
    <row r="11" spans="1:28" x14ac:dyDescent="0.25">
      <c r="A11" s="56">
        <f t="shared" si="0"/>
        <v>46308</v>
      </c>
      <c r="B11" s="53" t="s">
        <v>477</v>
      </c>
      <c r="C11" s="53" t="s">
        <v>134</v>
      </c>
      <c r="D11" s="53" t="s">
        <v>74</v>
      </c>
      <c r="E11" s="54">
        <v>47280</v>
      </c>
      <c r="F11" s="55">
        <v>68657</v>
      </c>
      <c r="H11">
        <f t="shared" si="1"/>
        <v>46308</v>
      </c>
      <c r="I11" t="s">
        <v>477</v>
      </c>
      <c r="J11" t="s">
        <v>134</v>
      </c>
      <c r="K11" t="s">
        <v>74</v>
      </c>
      <c r="L11">
        <v>47280</v>
      </c>
      <c r="M11">
        <v>68657</v>
      </c>
      <c r="P11" s="40"/>
      <c r="Q11" s="31"/>
      <c r="R11" s="31"/>
      <c r="S11" s="31"/>
      <c r="T11" s="32"/>
      <c r="U11" s="39"/>
    </row>
    <row r="12" spans="1:28" x14ac:dyDescent="0.25">
      <c r="A12" s="56">
        <f t="shared" si="0"/>
        <v>46309</v>
      </c>
      <c r="B12" s="53" t="s">
        <v>478</v>
      </c>
      <c r="C12" s="53" t="s">
        <v>45</v>
      </c>
      <c r="D12" s="53" t="s">
        <v>74</v>
      </c>
      <c r="E12" s="54">
        <v>108563</v>
      </c>
      <c r="F12" s="55">
        <v>66062</v>
      </c>
      <c r="H12">
        <f t="shared" si="1"/>
        <v>46309</v>
      </c>
      <c r="I12" t="s">
        <v>478</v>
      </c>
      <c r="J12" t="s">
        <v>45</v>
      </c>
      <c r="K12" t="s">
        <v>74</v>
      </c>
      <c r="L12">
        <v>108563</v>
      </c>
      <c r="M12">
        <v>66062</v>
      </c>
      <c r="P12" s="40"/>
      <c r="Q12" s="31"/>
      <c r="R12" s="31"/>
      <c r="S12" s="31"/>
      <c r="T12" s="32"/>
      <c r="U12" s="39"/>
    </row>
    <row r="13" spans="1:28" x14ac:dyDescent="0.25">
      <c r="A13" s="56">
        <f t="shared" si="0"/>
        <v>46310</v>
      </c>
      <c r="B13" s="53" t="s">
        <v>479</v>
      </c>
      <c r="C13" s="53" t="s">
        <v>93</v>
      </c>
      <c r="D13" s="53" t="s">
        <v>87</v>
      </c>
      <c r="E13" s="54">
        <v>63893</v>
      </c>
      <c r="F13" s="55">
        <v>98878</v>
      </c>
      <c r="H13">
        <f t="shared" si="1"/>
        <v>46310</v>
      </c>
      <c r="I13" t="s">
        <v>479</v>
      </c>
      <c r="J13" t="s">
        <v>93</v>
      </c>
      <c r="K13" t="s">
        <v>87</v>
      </c>
      <c r="L13">
        <v>63893</v>
      </c>
      <c r="M13">
        <v>98878</v>
      </c>
      <c r="P13" s="40"/>
      <c r="Q13" s="31"/>
      <c r="R13" s="31"/>
      <c r="S13" s="31"/>
      <c r="T13" s="32"/>
      <c r="U13" s="39"/>
    </row>
    <row r="14" spans="1:28" x14ac:dyDescent="0.25">
      <c r="A14" s="56">
        <f t="shared" si="0"/>
        <v>46311</v>
      </c>
      <c r="B14" s="53" t="s">
        <v>480</v>
      </c>
      <c r="C14" s="53" t="s">
        <v>80</v>
      </c>
      <c r="D14" s="53" t="s">
        <v>123</v>
      </c>
      <c r="E14" s="54">
        <v>141093</v>
      </c>
      <c r="F14" s="55">
        <v>40851</v>
      </c>
      <c r="H14">
        <f t="shared" si="1"/>
        <v>46311</v>
      </c>
      <c r="I14" t="s">
        <v>480</v>
      </c>
      <c r="J14" t="s">
        <v>80</v>
      </c>
      <c r="K14" t="s">
        <v>123</v>
      </c>
      <c r="L14">
        <v>141093</v>
      </c>
      <c r="M14">
        <v>40851</v>
      </c>
      <c r="P14" s="40"/>
      <c r="Q14" s="31"/>
      <c r="R14" s="31"/>
      <c r="S14" s="31"/>
      <c r="T14" s="32"/>
      <c r="U14" s="39"/>
    </row>
    <row r="15" spans="1:28" x14ac:dyDescent="0.25">
      <c r="A15" s="56">
        <f t="shared" si="0"/>
        <v>46312</v>
      </c>
      <c r="B15" s="53" t="s">
        <v>481</v>
      </c>
      <c r="C15" s="53" t="s">
        <v>45</v>
      </c>
      <c r="D15" s="53" t="s">
        <v>87</v>
      </c>
      <c r="E15" s="54">
        <v>79597</v>
      </c>
      <c r="F15" s="55">
        <v>76421</v>
      </c>
      <c r="H15">
        <f t="shared" si="1"/>
        <v>46312</v>
      </c>
      <c r="I15" t="s">
        <v>481</v>
      </c>
      <c r="J15" t="s">
        <v>45</v>
      </c>
      <c r="K15" t="s">
        <v>87</v>
      </c>
      <c r="L15">
        <v>79597</v>
      </c>
      <c r="M15">
        <v>76421</v>
      </c>
      <c r="P15" s="40"/>
      <c r="Q15" s="31"/>
      <c r="R15" s="31"/>
      <c r="S15" s="31"/>
      <c r="T15" s="32"/>
      <c r="U15" s="39"/>
    </row>
    <row r="16" spans="1:28" x14ac:dyDescent="0.25">
      <c r="A16" s="56">
        <f t="shared" si="0"/>
        <v>46313</v>
      </c>
      <c r="B16" s="53" t="s">
        <v>482</v>
      </c>
      <c r="C16" s="53" t="s">
        <v>45</v>
      </c>
      <c r="D16" s="53" t="s">
        <v>57</v>
      </c>
      <c r="E16" s="54">
        <v>135072</v>
      </c>
      <c r="F16" s="55">
        <v>84118</v>
      </c>
      <c r="H16">
        <f t="shared" si="1"/>
        <v>46313</v>
      </c>
      <c r="I16" t="s">
        <v>482</v>
      </c>
      <c r="J16" t="s">
        <v>45</v>
      </c>
      <c r="K16" t="s">
        <v>57</v>
      </c>
      <c r="L16">
        <v>135072</v>
      </c>
      <c r="M16">
        <v>84118</v>
      </c>
      <c r="P16" s="40"/>
      <c r="Q16" s="31"/>
      <c r="R16" s="31"/>
      <c r="S16" s="31"/>
      <c r="T16" s="32"/>
      <c r="U16" s="39"/>
    </row>
    <row r="17" spans="1:21" x14ac:dyDescent="0.25">
      <c r="A17" s="56">
        <f t="shared" si="0"/>
        <v>46314</v>
      </c>
      <c r="B17" s="53" t="s">
        <v>483</v>
      </c>
      <c r="C17" s="53" t="s">
        <v>134</v>
      </c>
      <c r="D17" s="53" t="s">
        <v>74</v>
      </c>
      <c r="E17" s="54">
        <v>84797</v>
      </c>
      <c r="F17" s="55">
        <v>52676</v>
      </c>
      <c r="H17">
        <f t="shared" si="1"/>
        <v>46314</v>
      </c>
      <c r="I17" t="s">
        <v>483</v>
      </c>
      <c r="J17" t="s">
        <v>134</v>
      </c>
      <c r="K17" t="s">
        <v>74</v>
      </c>
      <c r="L17">
        <v>84797</v>
      </c>
      <c r="M17">
        <v>52676</v>
      </c>
      <c r="P17" s="40"/>
      <c r="Q17" s="31"/>
      <c r="R17" s="31"/>
      <c r="S17" s="31"/>
      <c r="T17" s="32"/>
      <c r="U17" s="39"/>
    </row>
    <row r="18" spans="1:21" x14ac:dyDescent="0.25">
      <c r="A18" s="56">
        <f t="shared" si="0"/>
        <v>46315</v>
      </c>
      <c r="B18" s="53" t="s">
        <v>484</v>
      </c>
      <c r="C18" s="53" t="s">
        <v>185</v>
      </c>
      <c r="D18" s="53" t="s">
        <v>123</v>
      </c>
      <c r="E18" s="54">
        <v>20000</v>
      </c>
      <c r="F18" s="55">
        <v>74671</v>
      </c>
      <c r="H18">
        <f t="shared" si="1"/>
        <v>46315</v>
      </c>
      <c r="I18" t="s">
        <v>484</v>
      </c>
      <c r="J18" t="s">
        <v>185</v>
      </c>
      <c r="K18" t="s">
        <v>123</v>
      </c>
      <c r="L18">
        <v>20000</v>
      </c>
      <c r="M18">
        <v>74671</v>
      </c>
      <c r="P18" s="40"/>
      <c r="Q18" s="31"/>
      <c r="R18" s="31"/>
      <c r="S18" s="31"/>
      <c r="T18" s="32"/>
      <c r="U18" s="39"/>
    </row>
    <row r="19" spans="1:21" x14ac:dyDescent="0.25">
      <c r="A19" s="56">
        <f t="shared" si="0"/>
        <v>46316</v>
      </c>
      <c r="B19" s="53" t="s">
        <v>485</v>
      </c>
      <c r="C19" s="53" t="s">
        <v>134</v>
      </c>
      <c r="D19" s="53" t="s">
        <v>87</v>
      </c>
      <c r="E19" s="54">
        <v>105284</v>
      </c>
      <c r="F19" s="55">
        <v>56361</v>
      </c>
      <c r="H19">
        <f t="shared" si="1"/>
        <v>46316</v>
      </c>
      <c r="I19" t="s">
        <v>485</v>
      </c>
      <c r="J19" t="s">
        <v>134</v>
      </c>
      <c r="K19" t="s">
        <v>87</v>
      </c>
      <c r="L19">
        <v>105284</v>
      </c>
      <c r="M19">
        <v>56361</v>
      </c>
      <c r="P19" s="40"/>
      <c r="Q19" s="31"/>
      <c r="R19" s="31"/>
      <c r="S19" s="31"/>
      <c r="T19" s="32"/>
      <c r="U19" s="39"/>
    </row>
    <row r="20" spans="1:21" x14ac:dyDescent="0.25">
      <c r="A20" s="56">
        <f t="shared" si="0"/>
        <v>46317</v>
      </c>
      <c r="B20" s="53" t="s">
        <v>486</v>
      </c>
      <c r="C20" s="53" t="s">
        <v>126</v>
      </c>
      <c r="D20" s="53" t="s">
        <v>74</v>
      </c>
      <c r="E20" s="54">
        <v>20000</v>
      </c>
      <c r="F20" s="55">
        <v>78427</v>
      </c>
      <c r="H20">
        <f t="shared" si="1"/>
        <v>46317</v>
      </c>
      <c r="I20" t="s">
        <v>486</v>
      </c>
      <c r="J20" t="s">
        <v>126</v>
      </c>
      <c r="K20" t="s">
        <v>74</v>
      </c>
      <c r="L20">
        <v>20000</v>
      </c>
      <c r="M20">
        <v>78427</v>
      </c>
      <c r="P20" s="40"/>
      <c r="Q20" s="31"/>
      <c r="R20" s="31"/>
      <c r="S20" s="31"/>
      <c r="T20" s="32"/>
      <c r="U20" s="39"/>
    </row>
    <row r="21" spans="1:21" x14ac:dyDescent="0.25">
      <c r="A21" s="56">
        <f t="shared" si="0"/>
        <v>46318</v>
      </c>
      <c r="B21" s="53" t="s">
        <v>487</v>
      </c>
      <c r="C21" s="53" t="s">
        <v>93</v>
      </c>
      <c r="D21" s="53" t="s">
        <v>123</v>
      </c>
      <c r="E21" s="54">
        <v>110674</v>
      </c>
      <c r="F21" s="55">
        <v>65203</v>
      </c>
      <c r="H21">
        <f t="shared" si="1"/>
        <v>46318</v>
      </c>
      <c r="I21" t="s">
        <v>487</v>
      </c>
      <c r="J21" t="s">
        <v>93</v>
      </c>
      <c r="K21" t="s">
        <v>123</v>
      </c>
      <c r="L21">
        <v>110674</v>
      </c>
      <c r="M21">
        <v>65203</v>
      </c>
      <c r="P21" s="40"/>
      <c r="Q21" s="31"/>
      <c r="R21" s="31"/>
      <c r="S21" s="31"/>
      <c r="T21" s="32"/>
      <c r="U21" s="39"/>
    </row>
    <row r="22" spans="1:21" x14ac:dyDescent="0.25">
      <c r="A22" s="56">
        <f t="shared" si="0"/>
        <v>46319</v>
      </c>
      <c r="B22" s="53" t="s">
        <v>488</v>
      </c>
      <c r="C22" s="53" t="s">
        <v>93</v>
      </c>
      <c r="D22" s="53" t="s">
        <v>74</v>
      </c>
      <c r="E22" s="54">
        <v>41006</v>
      </c>
      <c r="F22" s="55">
        <v>126673</v>
      </c>
      <c r="H22">
        <f t="shared" si="1"/>
        <v>46319</v>
      </c>
      <c r="I22" t="s">
        <v>488</v>
      </c>
      <c r="J22" t="s">
        <v>93</v>
      </c>
      <c r="K22" t="s">
        <v>74</v>
      </c>
      <c r="L22">
        <v>41006</v>
      </c>
      <c r="M22">
        <v>126673</v>
      </c>
      <c r="P22" s="40"/>
      <c r="Q22" s="31"/>
      <c r="R22" s="31"/>
      <c r="S22" s="31"/>
      <c r="T22" s="32"/>
      <c r="U22" s="39"/>
    </row>
    <row r="23" spans="1:21" x14ac:dyDescent="0.25">
      <c r="A23" s="56">
        <f t="shared" si="0"/>
        <v>46320</v>
      </c>
      <c r="B23" s="53" t="s">
        <v>489</v>
      </c>
      <c r="C23" s="53" t="s">
        <v>45</v>
      </c>
      <c r="D23" s="53" t="s">
        <v>123</v>
      </c>
      <c r="E23" s="54">
        <v>45458</v>
      </c>
      <c r="F23" s="55">
        <v>70512</v>
      </c>
      <c r="H23">
        <f t="shared" si="1"/>
        <v>46320</v>
      </c>
      <c r="I23" t="s">
        <v>489</v>
      </c>
      <c r="J23" t="s">
        <v>45</v>
      </c>
      <c r="K23" t="s">
        <v>123</v>
      </c>
      <c r="L23">
        <v>45458</v>
      </c>
      <c r="M23">
        <v>70512</v>
      </c>
      <c r="P23" s="40"/>
      <c r="Q23" s="31"/>
      <c r="R23" s="31"/>
      <c r="S23" s="31"/>
      <c r="T23" s="32"/>
      <c r="U23" s="39"/>
    </row>
    <row r="24" spans="1:21" x14ac:dyDescent="0.25">
      <c r="A24" s="56">
        <f t="shared" si="0"/>
        <v>46321</v>
      </c>
      <c r="B24" s="53" t="s">
        <v>490</v>
      </c>
      <c r="C24" s="53" t="s">
        <v>134</v>
      </c>
      <c r="D24" s="53" t="s">
        <v>87</v>
      </c>
      <c r="E24" s="54">
        <v>71434</v>
      </c>
      <c r="F24" s="55">
        <v>99429</v>
      </c>
      <c r="H24">
        <f t="shared" si="1"/>
        <v>46321</v>
      </c>
      <c r="I24" t="s">
        <v>490</v>
      </c>
      <c r="J24" t="s">
        <v>134</v>
      </c>
      <c r="K24" t="s">
        <v>87</v>
      </c>
      <c r="L24">
        <v>71434</v>
      </c>
      <c r="M24">
        <v>99429</v>
      </c>
      <c r="P24" s="40"/>
      <c r="Q24" s="31"/>
      <c r="R24" s="31"/>
      <c r="S24" s="31"/>
      <c r="T24" s="32"/>
      <c r="U24" s="39"/>
    </row>
    <row r="25" spans="1:21" x14ac:dyDescent="0.25">
      <c r="A25" s="56">
        <f t="shared" si="0"/>
        <v>46322</v>
      </c>
      <c r="B25" s="53" t="s">
        <v>491</v>
      </c>
      <c r="C25" s="53" t="s">
        <v>93</v>
      </c>
      <c r="D25" s="53" t="s">
        <v>123</v>
      </c>
      <c r="E25" s="54">
        <v>56319</v>
      </c>
      <c r="F25" s="55">
        <v>88520</v>
      </c>
      <c r="H25">
        <f t="shared" si="1"/>
        <v>46322</v>
      </c>
      <c r="I25" t="s">
        <v>491</v>
      </c>
      <c r="J25" t="s">
        <v>93</v>
      </c>
      <c r="K25" t="s">
        <v>123</v>
      </c>
      <c r="L25">
        <v>56319</v>
      </c>
      <c r="M25">
        <v>88520</v>
      </c>
      <c r="P25" s="40"/>
      <c r="Q25" s="31"/>
      <c r="R25" s="31"/>
      <c r="S25" s="31"/>
      <c r="T25" s="32"/>
      <c r="U25" s="39"/>
    </row>
    <row r="26" spans="1:21" x14ac:dyDescent="0.25">
      <c r="A26" s="56">
        <f t="shared" si="0"/>
        <v>46323</v>
      </c>
      <c r="B26" s="53" t="s">
        <v>492</v>
      </c>
      <c r="C26" s="53" t="s">
        <v>185</v>
      </c>
      <c r="D26" s="53" t="s">
        <v>57</v>
      </c>
      <c r="E26" s="54">
        <v>122841</v>
      </c>
      <c r="F26" s="55">
        <v>74993</v>
      </c>
      <c r="H26">
        <f t="shared" si="1"/>
        <v>46323</v>
      </c>
      <c r="I26" t="s">
        <v>492</v>
      </c>
      <c r="J26" t="s">
        <v>185</v>
      </c>
      <c r="K26" t="s">
        <v>57</v>
      </c>
      <c r="L26">
        <v>122841</v>
      </c>
      <c r="M26">
        <v>74993</v>
      </c>
      <c r="P26" s="40"/>
      <c r="Q26" s="31"/>
      <c r="R26" s="31"/>
      <c r="S26" s="31"/>
      <c r="T26" s="32"/>
      <c r="U26" s="39"/>
    </row>
    <row r="27" spans="1:21" x14ac:dyDescent="0.25">
      <c r="A27" s="56">
        <f t="shared" si="0"/>
        <v>46324</v>
      </c>
      <c r="B27" s="53" t="s">
        <v>493</v>
      </c>
      <c r="C27" s="53" t="s">
        <v>93</v>
      </c>
      <c r="D27" s="53" t="s">
        <v>74</v>
      </c>
      <c r="E27" s="54">
        <v>114840</v>
      </c>
      <c r="F27" s="55">
        <v>123227</v>
      </c>
      <c r="H27">
        <f t="shared" si="1"/>
        <v>46324</v>
      </c>
      <c r="I27" t="s">
        <v>493</v>
      </c>
      <c r="J27" t="s">
        <v>93</v>
      </c>
      <c r="K27" t="s">
        <v>74</v>
      </c>
      <c r="L27">
        <v>114840</v>
      </c>
      <c r="M27">
        <v>123227</v>
      </c>
      <c r="P27" s="40"/>
      <c r="Q27" s="31"/>
      <c r="R27" s="31"/>
      <c r="S27" s="31"/>
      <c r="T27" s="32"/>
      <c r="U27" s="39"/>
    </row>
    <row r="28" spans="1:21" x14ac:dyDescent="0.25">
      <c r="A28" s="56">
        <f t="shared" si="0"/>
        <v>46325</v>
      </c>
      <c r="B28" s="53" t="s">
        <v>494</v>
      </c>
      <c r="C28" s="53" t="s">
        <v>45</v>
      </c>
      <c r="D28" s="53" t="s">
        <v>57</v>
      </c>
      <c r="E28" s="54">
        <v>56417</v>
      </c>
      <c r="F28" s="55">
        <v>100589</v>
      </c>
      <c r="H28">
        <f t="shared" si="1"/>
        <v>46325</v>
      </c>
      <c r="I28" t="s">
        <v>494</v>
      </c>
      <c r="J28" t="s">
        <v>45</v>
      </c>
      <c r="K28" t="s">
        <v>57</v>
      </c>
      <c r="L28">
        <v>56417</v>
      </c>
      <c r="M28">
        <v>100589</v>
      </c>
      <c r="P28" s="40"/>
      <c r="Q28" s="31"/>
      <c r="R28" s="31"/>
      <c r="S28" s="31"/>
      <c r="T28" s="32"/>
      <c r="U28" s="39"/>
    </row>
    <row r="29" spans="1:21" x14ac:dyDescent="0.25">
      <c r="A29" s="56">
        <f t="shared" si="0"/>
        <v>46326</v>
      </c>
      <c r="B29" s="53" t="s">
        <v>495</v>
      </c>
      <c r="C29" s="53" t="s">
        <v>126</v>
      </c>
      <c r="D29" s="53" t="s">
        <v>123</v>
      </c>
      <c r="E29" s="54">
        <v>118886</v>
      </c>
      <c r="F29" s="55">
        <v>130198</v>
      </c>
      <c r="H29">
        <f t="shared" si="1"/>
        <v>46326</v>
      </c>
      <c r="I29" t="s">
        <v>495</v>
      </c>
      <c r="J29" t="s">
        <v>126</v>
      </c>
      <c r="K29" t="s">
        <v>123</v>
      </c>
      <c r="L29">
        <v>118886</v>
      </c>
      <c r="M29">
        <v>130198</v>
      </c>
      <c r="P29" s="40"/>
      <c r="Q29" s="31"/>
      <c r="R29" s="31"/>
      <c r="S29" s="31"/>
      <c r="T29" s="32"/>
      <c r="U29" s="39"/>
    </row>
    <row r="30" spans="1:21" x14ac:dyDescent="0.25">
      <c r="A30" s="56">
        <f t="shared" si="0"/>
        <v>46327</v>
      </c>
      <c r="B30" s="53" t="s">
        <v>496</v>
      </c>
      <c r="C30" s="53" t="s">
        <v>80</v>
      </c>
      <c r="D30" s="53" t="s">
        <v>57</v>
      </c>
      <c r="E30" s="54">
        <v>124733</v>
      </c>
      <c r="F30" s="55">
        <v>82504</v>
      </c>
      <c r="H30">
        <f t="shared" si="1"/>
        <v>46327</v>
      </c>
      <c r="I30" t="s">
        <v>496</v>
      </c>
      <c r="J30" t="s">
        <v>80</v>
      </c>
      <c r="K30" t="s">
        <v>57</v>
      </c>
      <c r="L30">
        <v>124733</v>
      </c>
      <c r="M30">
        <v>82504</v>
      </c>
      <c r="P30" s="40"/>
      <c r="Q30" s="31"/>
      <c r="R30" s="31"/>
      <c r="S30" s="31"/>
      <c r="T30" s="32"/>
      <c r="U30" s="39"/>
    </row>
    <row r="31" spans="1:21" x14ac:dyDescent="0.25">
      <c r="A31" s="56">
        <f t="shared" si="0"/>
        <v>46328</v>
      </c>
      <c r="B31" s="53" t="s">
        <v>497</v>
      </c>
      <c r="C31" s="53" t="s">
        <v>134</v>
      </c>
      <c r="D31" s="53" t="s">
        <v>57</v>
      </c>
      <c r="E31" s="54">
        <v>142715</v>
      </c>
      <c r="F31" s="55">
        <v>44207</v>
      </c>
      <c r="H31">
        <f t="shared" si="1"/>
        <v>46328</v>
      </c>
      <c r="I31" t="s">
        <v>497</v>
      </c>
      <c r="J31" t="s">
        <v>134</v>
      </c>
      <c r="K31" t="s">
        <v>57</v>
      </c>
      <c r="L31">
        <v>142715</v>
      </c>
      <c r="M31">
        <v>44207</v>
      </c>
      <c r="P31" s="40"/>
      <c r="Q31" s="31"/>
      <c r="R31" s="31"/>
      <c r="S31" s="31"/>
      <c r="T31" s="32"/>
      <c r="U31" s="39"/>
    </row>
    <row r="32" spans="1:21" x14ac:dyDescent="0.25">
      <c r="A32" s="56">
        <f t="shared" si="0"/>
        <v>46329</v>
      </c>
      <c r="B32" s="53" t="s">
        <v>498</v>
      </c>
      <c r="C32" s="53" t="s">
        <v>185</v>
      </c>
      <c r="D32" s="53" t="s">
        <v>87</v>
      </c>
      <c r="E32" s="54">
        <v>70093</v>
      </c>
      <c r="F32" s="55">
        <v>48675</v>
      </c>
      <c r="H32">
        <f t="shared" si="1"/>
        <v>46329</v>
      </c>
      <c r="I32" t="s">
        <v>498</v>
      </c>
      <c r="J32" t="s">
        <v>185</v>
      </c>
      <c r="K32" t="s">
        <v>87</v>
      </c>
      <c r="L32">
        <v>70093</v>
      </c>
      <c r="M32">
        <v>48675</v>
      </c>
      <c r="P32" s="40"/>
      <c r="Q32" s="31"/>
      <c r="R32" s="31"/>
      <c r="S32" s="31"/>
      <c r="T32" s="32"/>
      <c r="U32" s="39"/>
    </row>
    <row r="33" spans="1:21" x14ac:dyDescent="0.25">
      <c r="A33" s="56">
        <f t="shared" si="0"/>
        <v>46330</v>
      </c>
      <c r="B33" s="53" t="s">
        <v>499</v>
      </c>
      <c r="C33" s="53" t="s">
        <v>45</v>
      </c>
      <c r="D33" s="53" t="s">
        <v>123</v>
      </c>
      <c r="E33" s="54">
        <v>62869</v>
      </c>
      <c r="F33" s="55">
        <v>125909</v>
      </c>
      <c r="H33">
        <f t="shared" si="1"/>
        <v>46330</v>
      </c>
      <c r="I33" t="s">
        <v>499</v>
      </c>
      <c r="J33" t="s">
        <v>45</v>
      </c>
      <c r="K33" t="s">
        <v>123</v>
      </c>
      <c r="L33">
        <v>62869</v>
      </c>
      <c r="M33">
        <v>125909</v>
      </c>
      <c r="P33" s="40"/>
      <c r="Q33" s="31"/>
      <c r="R33" s="31"/>
      <c r="S33" s="31"/>
      <c r="T33" s="32"/>
      <c r="U33" s="39"/>
    </row>
    <row r="34" spans="1:21" x14ac:dyDescent="0.25">
      <c r="A34" s="56">
        <f t="shared" si="0"/>
        <v>46331</v>
      </c>
      <c r="B34" s="53" t="s">
        <v>500</v>
      </c>
      <c r="C34" s="53" t="s">
        <v>126</v>
      </c>
      <c r="D34" s="53" t="s">
        <v>87</v>
      </c>
      <c r="E34" s="54">
        <v>119259</v>
      </c>
      <c r="F34" s="55">
        <v>100142</v>
      </c>
      <c r="H34">
        <f t="shared" si="1"/>
        <v>46331</v>
      </c>
      <c r="I34" t="s">
        <v>500</v>
      </c>
      <c r="J34" t="s">
        <v>126</v>
      </c>
      <c r="K34" t="s">
        <v>87</v>
      </c>
      <c r="L34">
        <v>119259</v>
      </c>
      <c r="M34">
        <v>100142</v>
      </c>
      <c r="P34" s="40"/>
      <c r="Q34" s="31"/>
      <c r="R34" s="31"/>
      <c r="S34" s="31"/>
      <c r="T34" s="32"/>
      <c r="U34" s="39"/>
    </row>
    <row r="35" spans="1:21" x14ac:dyDescent="0.25">
      <c r="A35" s="56">
        <f t="shared" si="0"/>
        <v>46332</v>
      </c>
      <c r="B35" s="53" t="s">
        <v>501</v>
      </c>
      <c r="C35" s="53" t="s">
        <v>45</v>
      </c>
      <c r="D35" s="53" t="s">
        <v>123</v>
      </c>
      <c r="E35" s="54">
        <v>53301</v>
      </c>
      <c r="F35" s="55">
        <v>72325</v>
      </c>
      <c r="H35">
        <f t="shared" si="1"/>
        <v>46332</v>
      </c>
      <c r="I35" t="s">
        <v>501</v>
      </c>
      <c r="J35" t="s">
        <v>45</v>
      </c>
      <c r="K35" t="s">
        <v>123</v>
      </c>
      <c r="L35">
        <v>53301</v>
      </c>
      <c r="M35">
        <v>72325</v>
      </c>
      <c r="P35" s="40"/>
      <c r="Q35" s="31"/>
      <c r="R35" s="31"/>
      <c r="S35" s="31"/>
      <c r="T35" s="32"/>
      <c r="U35" s="39"/>
    </row>
    <row r="36" spans="1:21" x14ac:dyDescent="0.25">
      <c r="A36" s="56">
        <f t="shared" si="0"/>
        <v>46333</v>
      </c>
      <c r="B36" s="53" t="s">
        <v>502</v>
      </c>
      <c r="C36" s="53" t="s">
        <v>93</v>
      </c>
      <c r="D36" s="53" t="s">
        <v>123</v>
      </c>
      <c r="E36" s="54">
        <v>132912</v>
      </c>
      <c r="F36" s="55">
        <v>116622</v>
      </c>
      <c r="H36">
        <f t="shared" si="1"/>
        <v>46333</v>
      </c>
      <c r="I36" t="s">
        <v>502</v>
      </c>
      <c r="J36" t="s">
        <v>93</v>
      </c>
      <c r="K36" t="s">
        <v>123</v>
      </c>
      <c r="L36">
        <v>132912</v>
      </c>
      <c r="M36">
        <v>116622</v>
      </c>
      <c r="P36" s="40"/>
      <c r="Q36" s="31"/>
      <c r="R36" s="31"/>
      <c r="S36" s="31"/>
      <c r="T36" s="32"/>
      <c r="U36" s="39"/>
    </row>
    <row r="37" spans="1:21" x14ac:dyDescent="0.25">
      <c r="A37" s="56">
        <f t="shared" si="0"/>
        <v>46334</v>
      </c>
      <c r="B37" s="53" t="s">
        <v>503</v>
      </c>
      <c r="C37" s="53" t="s">
        <v>126</v>
      </c>
      <c r="D37" s="53" t="s">
        <v>87</v>
      </c>
      <c r="E37" s="54">
        <v>82447</v>
      </c>
      <c r="F37" s="55">
        <v>68746</v>
      </c>
      <c r="H37">
        <f t="shared" si="1"/>
        <v>46334</v>
      </c>
      <c r="I37" t="s">
        <v>503</v>
      </c>
      <c r="J37" t="s">
        <v>126</v>
      </c>
      <c r="K37" t="s">
        <v>87</v>
      </c>
      <c r="L37">
        <v>82447</v>
      </c>
      <c r="M37">
        <v>68746</v>
      </c>
      <c r="P37" s="40"/>
      <c r="Q37" s="31"/>
      <c r="R37" s="31"/>
      <c r="S37" s="31"/>
      <c r="T37" s="32"/>
      <c r="U37" s="39"/>
    </row>
    <row r="38" spans="1:21" x14ac:dyDescent="0.25">
      <c r="A38" s="56">
        <f t="shared" si="0"/>
        <v>46335</v>
      </c>
      <c r="B38" s="53" t="s">
        <v>504</v>
      </c>
      <c r="C38" s="53" t="s">
        <v>45</v>
      </c>
      <c r="D38" s="53" t="s">
        <v>87</v>
      </c>
      <c r="E38" s="54">
        <v>46915</v>
      </c>
      <c r="F38" s="55">
        <v>139061</v>
      </c>
      <c r="H38">
        <f t="shared" si="1"/>
        <v>46335</v>
      </c>
      <c r="I38" t="s">
        <v>504</v>
      </c>
      <c r="J38" t="s">
        <v>45</v>
      </c>
      <c r="K38" t="s">
        <v>87</v>
      </c>
      <c r="L38">
        <v>46915</v>
      </c>
      <c r="M38">
        <v>139061</v>
      </c>
      <c r="P38" s="40"/>
      <c r="Q38" s="31"/>
      <c r="R38" s="31"/>
      <c r="S38" s="31"/>
      <c r="T38" s="32"/>
      <c r="U38" s="39"/>
    </row>
    <row r="39" spans="1:21" x14ac:dyDescent="0.25">
      <c r="A39" s="56">
        <f t="shared" si="0"/>
        <v>46336</v>
      </c>
      <c r="B39" s="53" t="s">
        <v>505</v>
      </c>
      <c r="C39" s="53" t="s">
        <v>134</v>
      </c>
      <c r="D39" s="53" t="s">
        <v>74</v>
      </c>
      <c r="E39" s="54">
        <v>55033</v>
      </c>
      <c r="F39" s="55">
        <v>122240</v>
      </c>
      <c r="H39">
        <f t="shared" si="1"/>
        <v>46336</v>
      </c>
      <c r="I39" t="s">
        <v>505</v>
      </c>
      <c r="J39" t="s">
        <v>134</v>
      </c>
      <c r="K39" t="s">
        <v>74</v>
      </c>
      <c r="L39">
        <v>55033</v>
      </c>
      <c r="M39">
        <v>122240</v>
      </c>
      <c r="P39" s="40"/>
      <c r="Q39" s="31"/>
      <c r="R39" s="31"/>
      <c r="S39" s="31"/>
      <c r="T39" s="32"/>
      <c r="U39" s="39"/>
    </row>
    <row r="40" spans="1:21" x14ac:dyDescent="0.25">
      <c r="A40" s="56">
        <f t="shared" si="0"/>
        <v>46337</v>
      </c>
      <c r="B40" s="53" t="s">
        <v>506</v>
      </c>
      <c r="C40" s="53" t="s">
        <v>45</v>
      </c>
      <c r="D40" s="53" t="s">
        <v>87</v>
      </c>
      <c r="E40" s="54">
        <v>113172</v>
      </c>
      <c r="F40" s="55">
        <v>48326</v>
      </c>
      <c r="H40">
        <f t="shared" si="1"/>
        <v>46337</v>
      </c>
      <c r="I40" t="s">
        <v>506</v>
      </c>
      <c r="J40" t="s">
        <v>45</v>
      </c>
      <c r="K40" t="s">
        <v>87</v>
      </c>
      <c r="L40">
        <v>113172</v>
      </c>
      <c r="M40">
        <v>48326</v>
      </c>
      <c r="P40" s="40"/>
      <c r="Q40" s="31"/>
      <c r="R40" s="31"/>
      <c r="S40" s="31"/>
      <c r="T40" s="32"/>
      <c r="U40" s="39"/>
    </row>
    <row r="41" spans="1:21" x14ac:dyDescent="0.25">
      <c r="A41" s="56">
        <f t="shared" si="0"/>
        <v>46338</v>
      </c>
      <c r="B41" s="53" t="s">
        <v>507</v>
      </c>
      <c r="C41" s="53" t="s">
        <v>126</v>
      </c>
      <c r="D41" s="53" t="s">
        <v>87</v>
      </c>
      <c r="E41" s="54">
        <v>113104</v>
      </c>
      <c r="F41" s="55">
        <v>101348</v>
      </c>
      <c r="H41">
        <f t="shared" si="1"/>
        <v>46338</v>
      </c>
      <c r="I41" t="s">
        <v>507</v>
      </c>
      <c r="J41" t="s">
        <v>126</v>
      </c>
      <c r="K41" t="s">
        <v>87</v>
      </c>
      <c r="L41">
        <v>113104</v>
      </c>
      <c r="M41">
        <v>101348</v>
      </c>
      <c r="P41" s="40"/>
      <c r="Q41" s="31"/>
      <c r="R41" s="31"/>
      <c r="S41" s="31"/>
      <c r="T41" s="32"/>
      <c r="U41" s="39"/>
    </row>
    <row r="42" spans="1:21" x14ac:dyDescent="0.25">
      <c r="A42" s="56">
        <f t="shared" si="0"/>
        <v>46339</v>
      </c>
      <c r="B42" s="53" t="s">
        <v>508</v>
      </c>
      <c r="C42" s="53" t="s">
        <v>80</v>
      </c>
      <c r="D42" s="53" t="s">
        <v>123</v>
      </c>
      <c r="E42" s="54">
        <v>20000</v>
      </c>
      <c r="F42" s="55">
        <v>41504</v>
      </c>
      <c r="H42">
        <f t="shared" si="1"/>
        <v>46339</v>
      </c>
      <c r="I42" t="s">
        <v>508</v>
      </c>
      <c r="J42" t="s">
        <v>80</v>
      </c>
      <c r="K42" t="s">
        <v>123</v>
      </c>
      <c r="L42">
        <v>20000</v>
      </c>
      <c r="M42">
        <v>41504</v>
      </c>
      <c r="P42" s="40"/>
      <c r="Q42" s="31"/>
      <c r="R42" s="31"/>
      <c r="S42" s="31"/>
      <c r="T42" s="32"/>
      <c r="U42" s="39"/>
    </row>
    <row r="43" spans="1:21" x14ac:dyDescent="0.25">
      <c r="A43" s="56">
        <f t="shared" si="0"/>
        <v>46340</v>
      </c>
      <c r="B43" s="53" t="s">
        <v>509</v>
      </c>
      <c r="C43" s="53" t="s">
        <v>93</v>
      </c>
      <c r="D43" s="53" t="s">
        <v>74</v>
      </c>
      <c r="E43" s="54">
        <v>124353</v>
      </c>
      <c r="F43" s="55">
        <v>109163</v>
      </c>
      <c r="H43">
        <f t="shared" si="1"/>
        <v>46340</v>
      </c>
      <c r="I43" t="s">
        <v>509</v>
      </c>
      <c r="J43" t="s">
        <v>93</v>
      </c>
      <c r="K43" t="s">
        <v>74</v>
      </c>
      <c r="L43">
        <v>124353</v>
      </c>
      <c r="M43">
        <v>109163</v>
      </c>
      <c r="P43" s="40"/>
      <c r="Q43" s="31"/>
      <c r="R43" s="31"/>
      <c r="S43" s="31"/>
      <c r="T43" s="32"/>
      <c r="U43" s="39"/>
    </row>
    <row r="44" spans="1:21" x14ac:dyDescent="0.25">
      <c r="A44" s="56">
        <f t="shared" si="0"/>
        <v>46341</v>
      </c>
      <c r="B44" s="53" t="s">
        <v>510</v>
      </c>
      <c r="C44" s="53" t="s">
        <v>185</v>
      </c>
      <c r="D44" s="53" t="s">
        <v>123</v>
      </c>
      <c r="E44" s="54">
        <v>49621</v>
      </c>
      <c r="F44" s="55">
        <v>78469</v>
      </c>
      <c r="H44">
        <f t="shared" si="1"/>
        <v>46341</v>
      </c>
      <c r="I44" t="s">
        <v>510</v>
      </c>
      <c r="J44" t="s">
        <v>185</v>
      </c>
      <c r="K44" t="s">
        <v>123</v>
      </c>
      <c r="L44">
        <v>49621</v>
      </c>
      <c r="M44">
        <v>78469</v>
      </c>
      <c r="P44" s="40"/>
      <c r="Q44" s="31"/>
      <c r="R44" s="31"/>
      <c r="S44" s="31"/>
      <c r="T44" s="32"/>
      <c r="U44" s="39"/>
    </row>
    <row r="45" spans="1:21" x14ac:dyDescent="0.25">
      <c r="A45" s="56">
        <f t="shared" si="0"/>
        <v>46342</v>
      </c>
      <c r="B45" s="53" t="s">
        <v>511</v>
      </c>
      <c r="C45" s="53" t="s">
        <v>126</v>
      </c>
      <c r="D45" s="53" t="s">
        <v>57</v>
      </c>
      <c r="E45" s="54">
        <v>94470</v>
      </c>
      <c r="F45" s="55">
        <v>40425</v>
      </c>
      <c r="H45">
        <f t="shared" si="1"/>
        <v>46342</v>
      </c>
      <c r="I45" t="s">
        <v>511</v>
      </c>
      <c r="J45" t="s">
        <v>126</v>
      </c>
      <c r="K45" t="s">
        <v>57</v>
      </c>
      <c r="L45">
        <v>94470</v>
      </c>
      <c r="M45">
        <v>40425</v>
      </c>
      <c r="P45" s="40"/>
      <c r="Q45" s="31"/>
      <c r="R45" s="31"/>
      <c r="S45" s="31"/>
      <c r="T45" s="32"/>
      <c r="U45" s="39"/>
    </row>
    <row r="46" spans="1:21" x14ac:dyDescent="0.25">
      <c r="A46" s="56">
        <f t="shared" si="0"/>
        <v>46343</v>
      </c>
      <c r="B46" s="53" t="s">
        <v>512</v>
      </c>
      <c r="C46" s="53" t="s">
        <v>93</v>
      </c>
      <c r="D46" s="53" t="s">
        <v>123</v>
      </c>
      <c r="E46" s="54">
        <v>100612</v>
      </c>
      <c r="F46" s="55">
        <v>139871</v>
      </c>
      <c r="H46">
        <f t="shared" si="1"/>
        <v>46343</v>
      </c>
      <c r="I46" t="s">
        <v>512</v>
      </c>
      <c r="J46" t="s">
        <v>93</v>
      </c>
      <c r="K46" t="s">
        <v>123</v>
      </c>
      <c r="L46">
        <v>100612</v>
      </c>
      <c r="M46">
        <v>139871</v>
      </c>
      <c r="P46" s="40"/>
      <c r="Q46" s="31"/>
      <c r="R46" s="31"/>
      <c r="S46" s="31"/>
      <c r="T46" s="32"/>
      <c r="U46" s="39"/>
    </row>
    <row r="47" spans="1:21" x14ac:dyDescent="0.25">
      <c r="A47" s="56">
        <f>A46+1</f>
        <v>46344</v>
      </c>
      <c r="B47" s="53" t="s">
        <v>513</v>
      </c>
      <c r="C47" s="53" t="s">
        <v>45</v>
      </c>
      <c r="D47" s="53" t="s">
        <v>74</v>
      </c>
      <c r="E47" s="54">
        <v>149100</v>
      </c>
      <c r="F47" s="55">
        <v>121959</v>
      </c>
      <c r="H47">
        <f>H46+1</f>
        <v>46344</v>
      </c>
      <c r="I47" t="s">
        <v>513</v>
      </c>
      <c r="J47" t="s">
        <v>45</v>
      </c>
      <c r="K47" t="s">
        <v>74</v>
      </c>
      <c r="L47">
        <v>149100</v>
      </c>
      <c r="M47">
        <v>121959</v>
      </c>
      <c r="P47" s="40"/>
      <c r="Q47" s="31"/>
      <c r="R47" s="31"/>
      <c r="S47" s="31"/>
      <c r="T47" s="32"/>
      <c r="U47" s="39"/>
    </row>
    <row r="48" spans="1:21" x14ac:dyDescent="0.25">
      <c r="A48" s="56">
        <f t="shared" si="0"/>
        <v>46345</v>
      </c>
      <c r="B48" s="53" t="s">
        <v>514</v>
      </c>
      <c r="C48" s="53" t="s">
        <v>185</v>
      </c>
      <c r="D48" s="53" t="s">
        <v>57</v>
      </c>
      <c r="E48" s="54">
        <v>55032</v>
      </c>
      <c r="F48" s="55">
        <v>89009</v>
      </c>
      <c r="H48">
        <f t="shared" si="1"/>
        <v>46345</v>
      </c>
      <c r="I48" t="s">
        <v>514</v>
      </c>
      <c r="J48" t="s">
        <v>185</v>
      </c>
      <c r="K48" t="s">
        <v>57</v>
      </c>
      <c r="L48">
        <v>55032</v>
      </c>
      <c r="M48">
        <v>89009</v>
      </c>
      <c r="P48" s="40"/>
      <c r="Q48" s="31"/>
      <c r="R48" s="31"/>
      <c r="S48" s="31"/>
      <c r="T48" s="32"/>
      <c r="U48" s="39"/>
    </row>
    <row r="49" spans="1:21" x14ac:dyDescent="0.25">
      <c r="A49" s="56">
        <f t="shared" si="0"/>
        <v>46346</v>
      </c>
      <c r="B49" s="53" t="s">
        <v>515</v>
      </c>
      <c r="C49" s="53" t="s">
        <v>45</v>
      </c>
      <c r="D49" s="53" t="s">
        <v>74</v>
      </c>
      <c r="E49" s="54">
        <v>113504</v>
      </c>
      <c r="F49" s="55">
        <v>82487</v>
      </c>
      <c r="H49">
        <f t="shared" si="1"/>
        <v>46346</v>
      </c>
      <c r="I49" t="s">
        <v>515</v>
      </c>
      <c r="J49" t="s">
        <v>45</v>
      </c>
      <c r="K49" t="s">
        <v>74</v>
      </c>
      <c r="L49">
        <v>113504</v>
      </c>
      <c r="M49">
        <v>82487</v>
      </c>
      <c r="P49" s="40"/>
      <c r="Q49" s="31"/>
      <c r="R49" s="31"/>
      <c r="S49" s="31"/>
      <c r="T49" s="32"/>
      <c r="U49" s="39"/>
    </row>
    <row r="50" spans="1:21" x14ac:dyDescent="0.25">
      <c r="A50" s="56">
        <f t="shared" si="0"/>
        <v>46347</v>
      </c>
      <c r="B50" s="53" t="s">
        <v>516</v>
      </c>
      <c r="C50" s="53" t="s">
        <v>126</v>
      </c>
      <c r="D50" s="53" t="s">
        <v>74</v>
      </c>
      <c r="E50" s="54">
        <v>49662</v>
      </c>
      <c r="F50" s="55">
        <v>87576</v>
      </c>
      <c r="H50">
        <f t="shared" si="1"/>
        <v>46347</v>
      </c>
      <c r="I50" t="s">
        <v>516</v>
      </c>
      <c r="J50" t="s">
        <v>126</v>
      </c>
      <c r="K50" t="s">
        <v>74</v>
      </c>
      <c r="L50">
        <v>49662</v>
      </c>
      <c r="M50">
        <v>87576</v>
      </c>
      <c r="P50" s="40"/>
      <c r="Q50" s="31"/>
      <c r="R50" s="31"/>
      <c r="S50" s="31"/>
      <c r="T50" s="32"/>
      <c r="U50" s="39"/>
    </row>
    <row r="51" spans="1:21" x14ac:dyDescent="0.25">
      <c r="A51" s="56">
        <f t="shared" si="0"/>
        <v>46348</v>
      </c>
      <c r="B51" s="53" t="s">
        <v>517</v>
      </c>
      <c r="C51" s="53" t="s">
        <v>185</v>
      </c>
      <c r="D51" s="53" t="s">
        <v>57</v>
      </c>
      <c r="E51" s="54">
        <v>42592</v>
      </c>
      <c r="F51" s="55">
        <v>71571</v>
      </c>
      <c r="H51">
        <f t="shared" si="1"/>
        <v>46348</v>
      </c>
      <c r="I51" t="s">
        <v>517</v>
      </c>
      <c r="J51" t="s">
        <v>185</v>
      </c>
      <c r="K51" t="s">
        <v>57</v>
      </c>
      <c r="L51">
        <v>42592</v>
      </c>
      <c r="M51">
        <v>71571</v>
      </c>
      <c r="P51" s="40"/>
      <c r="Q51" s="31"/>
      <c r="R51" s="31"/>
      <c r="S51" s="31"/>
      <c r="T51" s="32"/>
      <c r="U51" s="39"/>
    </row>
    <row r="52" spans="1:21" x14ac:dyDescent="0.25">
      <c r="A52" s="56">
        <f t="shared" si="0"/>
        <v>46349</v>
      </c>
      <c r="B52" s="53" t="s">
        <v>518</v>
      </c>
      <c r="C52" s="53" t="s">
        <v>80</v>
      </c>
      <c r="D52" s="53" t="s">
        <v>74</v>
      </c>
      <c r="E52" s="54">
        <v>46226</v>
      </c>
      <c r="F52" s="55">
        <v>135932</v>
      </c>
      <c r="H52">
        <f t="shared" si="1"/>
        <v>46349</v>
      </c>
      <c r="I52" t="s">
        <v>518</v>
      </c>
      <c r="J52" t="s">
        <v>80</v>
      </c>
      <c r="K52" t="s">
        <v>74</v>
      </c>
      <c r="L52">
        <v>46226</v>
      </c>
      <c r="M52">
        <v>135932</v>
      </c>
      <c r="P52" s="40"/>
      <c r="Q52" s="31"/>
      <c r="R52" s="31"/>
      <c r="S52" s="31"/>
      <c r="T52" s="32"/>
      <c r="U52" s="39"/>
    </row>
    <row r="53" spans="1:21" x14ac:dyDescent="0.25">
      <c r="A53" s="56">
        <f t="shared" si="0"/>
        <v>46350</v>
      </c>
      <c r="B53" s="53" t="s">
        <v>519</v>
      </c>
      <c r="C53" s="53" t="s">
        <v>126</v>
      </c>
      <c r="D53" s="53" t="s">
        <v>74</v>
      </c>
      <c r="E53" s="54">
        <v>20000</v>
      </c>
      <c r="F53" s="55">
        <v>109822</v>
      </c>
      <c r="H53">
        <f t="shared" si="1"/>
        <v>46350</v>
      </c>
      <c r="I53" t="s">
        <v>519</v>
      </c>
      <c r="J53" t="s">
        <v>126</v>
      </c>
      <c r="K53" t="s">
        <v>74</v>
      </c>
      <c r="L53">
        <v>20000</v>
      </c>
      <c r="M53">
        <v>109822</v>
      </c>
      <c r="P53" s="40"/>
      <c r="Q53" s="31"/>
      <c r="R53" s="31"/>
      <c r="S53" s="31"/>
      <c r="T53" s="32"/>
      <c r="U53" s="39"/>
    </row>
    <row r="54" spans="1:21" x14ac:dyDescent="0.25">
      <c r="A54" s="56">
        <f t="shared" si="0"/>
        <v>46351</v>
      </c>
      <c r="B54" s="53" t="s">
        <v>520</v>
      </c>
      <c r="C54" s="53" t="s">
        <v>45</v>
      </c>
      <c r="D54" s="53" t="s">
        <v>57</v>
      </c>
      <c r="E54" s="54">
        <v>121474</v>
      </c>
      <c r="F54" s="55">
        <v>102296</v>
      </c>
      <c r="H54">
        <f t="shared" si="1"/>
        <v>46351</v>
      </c>
      <c r="I54" t="s">
        <v>520</v>
      </c>
      <c r="J54" t="s">
        <v>45</v>
      </c>
      <c r="K54" t="s">
        <v>57</v>
      </c>
      <c r="L54">
        <v>121474</v>
      </c>
      <c r="M54">
        <v>102296</v>
      </c>
      <c r="P54" s="40"/>
      <c r="Q54" s="31"/>
      <c r="R54" s="31"/>
      <c r="S54" s="31"/>
      <c r="T54" s="32"/>
      <c r="U54" s="39"/>
    </row>
    <row r="55" spans="1:21" x14ac:dyDescent="0.25">
      <c r="A55" s="56">
        <f t="shared" si="0"/>
        <v>46352</v>
      </c>
      <c r="B55" s="53" t="s">
        <v>521</v>
      </c>
      <c r="C55" s="53" t="s">
        <v>80</v>
      </c>
      <c r="D55" s="53" t="s">
        <v>57</v>
      </c>
      <c r="E55" s="54">
        <v>69741</v>
      </c>
      <c r="F55" s="55">
        <v>109163</v>
      </c>
      <c r="H55">
        <f t="shared" si="1"/>
        <v>46352</v>
      </c>
      <c r="I55" t="s">
        <v>521</v>
      </c>
      <c r="J55" t="s">
        <v>80</v>
      </c>
      <c r="K55" t="s">
        <v>57</v>
      </c>
      <c r="L55">
        <v>69741</v>
      </c>
      <c r="M55">
        <v>109163</v>
      </c>
      <c r="P55" s="40"/>
      <c r="Q55" s="31"/>
      <c r="R55" s="31"/>
      <c r="S55" s="31"/>
      <c r="T55" s="32"/>
      <c r="U55" s="39"/>
    </row>
    <row r="56" spans="1:21" ht="15.75" thickBot="1" x14ac:dyDescent="0.3">
      <c r="A56" s="57">
        <f t="shared" si="0"/>
        <v>46353</v>
      </c>
      <c r="B56" s="58" t="s">
        <v>522</v>
      </c>
      <c r="C56" s="58" t="s">
        <v>80</v>
      </c>
      <c r="D56" s="58" t="s">
        <v>87</v>
      </c>
      <c r="E56" s="59">
        <v>62760</v>
      </c>
      <c r="F56" s="60">
        <v>110686</v>
      </c>
      <c r="H56">
        <f t="shared" si="1"/>
        <v>46353</v>
      </c>
      <c r="I56" t="s">
        <v>522</v>
      </c>
      <c r="J56" t="s">
        <v>80</v>
      </c>
      <c r="K56" t="s">
        <v>87</v>
      </c>
      <c r="L56">
        <v>62760</v>
      </c>
      <c r="M56">
        <v>110686</v>
      </c>
      <c r="P56" s="41"/>
      <c r="Q56" s="33"/>
      <c r="R56" s="33"/>
      <c r="S56" s="33"/>
      <c r="T56" s="34"/>
      <c r="U56" s="42"/>
    </row>
  </sheetData>
  <mergeCells count="4">
    <mergeCell ref="A4:F4"/>
    <mergeCell ref="H4:M4"/>
    <mergeCell ref="P4:U4"/>
    <mergeCell ref="W4:AB4"/>
  </mergeCells>
  <conditionalFormatting sqref="E7:E56">
    <cfRule type="cellIs" dxfId="27" priority="37" operator="equal">
      <formula>20000</formula>
    </cfRule>
    <cfRule type="cellIs" dxfId="26" priority="38" operator="between">
      <formula>50000</formula>
      <formula>100000</formula>
    </cfRule>
    <cfRule type="cellIs" dxfId="25" priority="39" operator="between">
      <formula>"Rs. 65,984"</formula>
      <formula>"Rs. 121,395"</formula>
    </cfRule>
    <cfRule type="cellIs" dxfId="24" priority="40" operator="lessThan">
      <formula>93689</formula>
    </cfRule>
    <cfRule type="cellIs" dxfId="23" priority="41" operator="greaterThan">
      <formula>93689</formula>
    </cfRule>
    <cfRule type="cellIs" dxfId="22" priority="42" operator="greaterThan">
      <formula>"Rs. 93,689"</formula>
    </cfRule>
  </conditionalFormatting>
  <conditionalFormatting sqref="B7:B56">
    <cfRule type="containsText" dxfId="21" priority="36" operator="containsText" text="Ayesha khan">
      <formula>NOT(ISERROR(SEARCH("Ayesha khan",B7)))</formula>
    </cfRule>
  </conditionalFormatting>
  <conditionalFormatting sqref="A8:A56">
    <cfRule type="timePeriod" dxfId="20" priority="34" timePeriod="yesterday">
      <formula>FLOOR(A8,1)=TODAY()-1</formula>
    </cfRule>
    <cfRule type="timePeriod" dxfId="19" priority="35" timePeriod="yesterday">
      <formula>FLOOR(A8,1)=TODAY()-1</formula>
    </cfRule>
  </conditionalFormatting>
  <conditionalFormatting sqref="A7:A56">
    <cfRule type="timePeriod" dxfId="18" priority="31" timePeriod="nextWeek">
      <formula>AND(ROUNDDOWN(A7,0)-TODAY()&gt;(7-WEEKDAY(TODAY())),ROUNDDOWN(A7,0)-TODAY()&lt;(15-WEEKDAY(TODAY())))</formula>
    </cfRule>
    <cfRule type="timePeriod" dxfId="17" priority="32" timePeriod="yesterday">
      <formula>FLOOR(A7,1)=TODAY()-1</formula>
    </cfRule>
    <cfRule type="timePeriod" dxfId="16" priority="33" timePeriod="today">
      <formula>FLOOR(A7,1)=TODAY()</formula>
    </cfRule>
  </conditionalFormatting>
  <conditionalFormatting sqref="F7:F56">
    <cfRule type="uniqueValues" dxfId="15" priority="29"/>
    <cfRule type="duplicateValues" dxfId="14" priority="30"/>
  </conditionalFormatting>
  <conditionalFormatting sqref="T7:T56">
    <cfRule type="cellIs" dxfId="13" priority="9" operator="equal">
      <formula>20000</formula>
    </cfRule>
    <cfRule type="cellIs" dxfId="12" priority="10" operator="between">
      <formula>50000</formula>
      <formula>100000</formula>
    </cfRule>
    <cfRule type="cellIs" dxfId="11" priority="11" operator="between">
      <formula>"Rs. 65,984"</formula>
      <formula>"Rs. 121,395"</formula>
    </cfRule>
    <cfRule type="cellIs" dxfId="10" priority="12" operator="lessThan">
      <formula>93689</formula>
    </cfRule>
    <cfRule type="cellIs" dxfId="9" priority="13" operator="greaterThan">
      <formula>93689</formula>
    </cfRule>
    <cfRule type="cellIs" dxfId="8" priority="14" operator="greaterThan">
      <formula>"Rs. 93,689"</formula>
    </cfRule>
  </conditionalFormatting>
  <conditionalFormatting sqref="Q7:Q56">
    <cfRule type="containsText" dxfId="7" priority="8" operator="containsText" text="Ayesha khan">
      <formula>NOT(ISERROR(SEARCH("Ayesha khan",Q7)))</formula>
    </cfRule>
  </conditionalFormatting>
  <conditionalFormatting sqref="P8:P56">
    <cfRule type="timePeriod" dxfId="6" priority="6" timePeriod="yesterday">
      <formula>FLOOR(P8,1)=TODAY()-1</formula>
    </cfRule>
    <cfRule type="timePeriod" dxfId="5" priority="7" timePeriod="yesterday">
      <formula>FLOOR(P8,1)=TODAY()-1</formula>
    </cfRule>
  </conditionalFormatting>
  <conditionalFormatting sqref="P7:P56">
    <cfRule type="timePeriod" dxfId="4" priority="3" timePeriod="nextWeek">
      <formula>AND(ROUNDDOWN(P7,0)-TODAY()&gt;(7-WEEKDAY(TODAY())),ROUNDDOWN(P7,0)-TODAY()&lt;(15-WEEKDAY(TODAY())))</formula>
    </cfRule>
    <cfRule type="timePeriod" dxfId="3" priority="4" timePeriod="yesterday">
      <formula>FLOOR(P7,1)=TODAY()-1</formula>
    </cfRule>
    <cfRule type="timePeriod" dxfId="2" priority="5" timePeriod="today">
      <formula>FLOOR(P7,1)=TODAY()</formula>
    </cfRule>
  </conditionalFormatting>
  <conditionalFormatting sqref="U7:U56">
    <cfRule type="uniqueValues" dxfId="1" priority="1"/>
    <cfRule type="duplicateValues" dxfId="0" priority="2"/>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A35C9-1881-44D8-8A07-81190F12B4B5}">
  <dimension ref="B3:M41"/>
  <sheetViews>
    <sheetView topLeftCell="A13" zoomScale="85" zoomScaleNormal="85" workbookViewId="0">
      <selection activeCell="J5" sqref="J5"/>
    </sheetView>
  </sheetViews>
  <sheetFormatPr defaultRowHeight="15" x14ac:dyDescent="0.25"/>
  <cols>
    <col min="2" max="2" width="18.7109375" bestFit="1" customWidth="1"/>
    <col min="3" max="3" width="10.140625" customWidth="1"/>
    <col min="4" max="4" width="8.28515625" customWidth="1"/>
    <col min="5" max="5" width="9.28515625" customWidth="1"/>
    <col min="6" max="6" width="10.7109375" customWidth="1"/>
  </cols>
  <sheetData>
    <row r="3" spans="2:13" x14ac:dyDescent="0.25">
      <c r="B3" s="199" t="s">
        <v>553</v>
      </c>
      <c r="C3" s="199"/>
      <c r="D3" s="199"/>
      <c r="E3" s="199"/>
      <c r="F3" s="199"/>
      <c r="G3" s="200">
        <v>400</v>
      </c>
      <c r="H3" s="200"/>
      <c r="I3" s="200"/>
      <c r="J3" s="200"/>
      <c r="K3" s="200"/>
      <c r="L3" s="200"/>
      <c r="M3" s="200"/>
    </row>
    <row r="4" spans="2:13" x14ac:dyDescent="0.25">
      <c r="B4" s="137" t="s">
        <v>470</v>
      </c>
      <c r="C4" s="137" t="s">
        <v>461</v>
      </c>
      <c r="D4" s="137" t="s">
        <v>462</v>
      </c>
      <c r="E4" s="137" t="s">
        <v>463</v>
      </c>
      <c r="F4" s="137" t="s">
        <v>464</v>
      </c>
      <c r="G4" s="137" t="s">
        <v>552</v>
      </c>
      <c r="H4" s="137" t="s">
        <v>536</v>
      </c>
      <c r="I4" s="137" t="s">
        <v>536</v>
      </c>
      <c r="J4" s="137" t="s">
        <v>554</v>
      </c>
      <c r="K4" s="137" t="s">
        <v>555</v>
      </c>
      <c r="L4" s="137" t="s">
        <v>556</v>
      </c>
      <c r="M4" s="137" t="s">
        <v>557</v>
      </c>
    </row>
    <row r="5" spans="2:13" x14ac:dyDescent="0.25">
      <c r="B5" s="105" t="s">
        <v>473</v>
      </c>
      <c r="C5" s="105">
        <v>40</v>
      </c>
      <c r="D5" s="105">
        <v>46</v>
      </c>
      <c r="E5" s="105">
        <v>63</v>
      </c>
      <c r="F5" s="105">
        <v>66</v>
      </c>
      <c r="G5" s="105">
        <v>215</v>
      </c>
      <c r="H5" s="135">
        <f>G5/400</f>
        <v>0.53749999999999998</v>
      </c>
      <c r="I5" s="135">
        <f>G5/$G$3</f>
        <v>0.53749999999999998</v>
      </c>
      <c r="J5" s="135">
        <f>C5/$G5</f>
        <v>0.18604651162790697</v>
      </c>
      <c r="K5" s="135">
        <f t="shared" ref="K5:M5" si="0">D5/$G5</f>
        <v>0.21395348837209302</v>
      </c>
      <c r="L5" s="135">
        <f t="shared" si="0"/>
        <v>0.2930232558139535</v>
      </c>
      <c r="M5" s="135">
        <f t="shared" si="0"/>
        <v>0.30697674418604654</v>
      </c>
    </row>
    <row r="6" spans="2:13" x14ac:dyDescent="0.25">
      <c r="B6" s="105" t="s">
        <v>474</v>
      </c>
      <c r="C6" s="105">
        <v>9</v>
      </c>
      <c r="D6" s="105">
        <v>13</v>
      </c>
      <c r="E6" s="105">
        <v>98</v>
      </c>
      <c r="F6" s="105">
        <v>19</v>
      </c>
      <c r="G6" s="105">
        <v>139</v>
      </c>
      <c r="H6" s="135">
        <f t="shared" ref="H6:H19" si="1">G6/400</f>
        <v>0.34749999999999998</v>
      </c>
      <c r="I6" s="135">
        <f t="shared" ref="I6:I19" si="2">G6/$G$3</f>
        <v>0.34749999999999998</v>
      </c>
      <c r="J6" s="135">
        <f>C6/$G6</f>
        <v>6.4748201438848921E-2</v>
      </c>
      <c r="K6" s="135">
        <f t="shared" ref="K6:K19" si="3">D6/$G6</f>
        <v>9.3525179856115109E-2</v>
      </c>
      <c r="L6" s="135">
        <f t="shared" ref="L6:L19" si="4">E6/$G6</f>
        <v>0.70503597122302153</v>
      </c>
      <c r="M6" s="135">
        <f t="shared" ref="M6:M19" si="5">F6/$G6</f>
        <v>0.1366906474820144</v>
      </c>
    </row>
    <row r="7" spans="2:13" x14ac:dyDescent="0.25">
      <c r="B7" s="105" t="s">
        <v>475</v>
      </c>
      <c r="C7" s="105">
        <v>82</v>
      </c>
      <c r="D7" s="105">
        <v>43</v>
      </c>
      <c r="E7" s="105">
        <v>63</v>
      </c>
      <c r="F7" s="105">
        <v>84</v>
      </c>
      <c r="G7" s="105">
        <v>272</v>
      </c>
      <c r="H7" s="135">
        <f>G7/400</f>
        <v>0.68</v>
      </c>
      <c r="I7" s="135">
        <f t="shared" si="2"/>
        <v>0.68</v>
      </c>
      <c r="J7" s="135">
        <f t="shared" ref="J7:J19" si="6">C7/$G7</f>
        <v>0.3014705882352941</v>
      </c>
      <c r="K7" s="135">
        <f t="shared" si="3"/>
        <v>0.15808823529411764</v>
      </c>
      <c r="L7" s="135">
        <f t="shared" si="4"/>
        <v>0.23161764705882354</v>
      </c>
      <c r="M7" s="135">
        <f t="shared" si="5"/>
        <v>0.30882352941176472</v>
      </c>
    </row>
    <row r="8" spans="2:13" x14ac:dyDescent="0.25">
      <c r="B8" s="105" t="s">
        <v>476</v>
      </c>
      <c r="C8" s="105">
        <v>32</v>
      </c>
      <c r="D8" s="105">
        <v>48</v>
      </c>
      <c r="E8" s="105">
        <v>26</v>
      </c>
      <c r="F8" s="105">
        <v>81</v>
      </c>
      <c r="G8" s="105">
        <v>187</v>
      </c>
      <c r="H8" s="135">
        <f t="shared" si="1"/>
        <v>0.46750000000000003</v>
      </c>
      <c r="I8" s="135">
        <f t="shared" si="2"/>
        <v>0.46750000000000003</v>
      </c>
      <c r="J8" s="135">
        <f t="shared" si="6"/>
        <v>0.17112299465240641</v>
      </c>
      <c r="K8" s="135">
        <f t="shared" si="3"/>
        <v>0.25668449197860965</v>
      </c>
      <c r="L8" s="135">
        <f t="shared" si="4"/>
        <v>0.13903743315508021</v>
      </c>
      <c r="M8" s="135">
        <f t="shared" si="5"/>
        <v>0.43315508021390375</v>
      </c>
    </row>
    <row r="9" spans="2:13" x14ac:dyDescent="0.25">
      <c r="B9" s="105" t="s">
        <v>477</v>
      </c>
      <c r="C9" s="105">
        <v>20</v>
      </c>
      <c r="D9" s="105">
        <v>3</v>
      </c>
      <c r="E9" s="105">
        <v>76</v>
      </c>
      <c r="F9" s="105">
        <v>78</v>
      </c>
      <c r="G9" s="105">
        <v>177</v>
      </c>
      <c r="H9" s="135">
        <f t="shared" si="1"/>
        <v>0.4425</v>
      </c>
      <c r="I9" s="135">
        <f t="shared" si="2"/>
        <v>0.4425</v>
      </c>
      <c r="J9" s="135">
        <f t="shared" si="6"/>
        <v>0.11299435028248588</v>
      </c>
      <c r="K9" s="135">
        <f t="shared" si="3"/>
        <v>1.6949152542372881E-2</v>
      </c>
      <c r="L9" s="135">
        <f t="shared" si="4"/>
        <v>0.42937853107344631</v>
      </c>
      <c r="M9" s="135">
        <f t="shared" si="5"/>
        <v>0.44067796610169491</v>
      </c>
    </row>
    <row r="10" spans="2:13" x14ac:dyDescent="0.25">
      <c r="B10" s="105" t="s">
        <v>478</v>
      </c>
      <c r="C10" s="105">
        <v>80</v>
      </c>
      <c r="D10" s="105">
        <v>46</v>
      </c>
      <c r="E10" s="105">
        <v>0</v>
      </c>
      <c r="F10" s="105">
        <v>76</v>
      </c>
      <c r="G10" s="105">
        <v>202</v>
      </c>
      <c r="H10" s="135">
        <f t="shared" si="1"/>
        <v>0.505</v>
      </c>
      <c r="I10" s="135">
        <f t="shared" si="2"/>
        <v>0.505</v>
      </c>
      <c r="J10" s="135">
        <f t="shared" si="6"/>
        <v>0.39603960396039606</v>
      </c>
      <c r="K10" s="135">
        <f t="shared" si="3"/>
        <v>0.22772277227722773</v>
      </c>
      <c r="L10" s="135">
        <f t="shared" si="4"/>
        <v>0</v>
      </c>
      <c r="M10" s="135">
        <f t="shared" si="5"/>
        <v>0.37623762376237624</v>
      </c>
    </row>
    <row r="11" spans="2:13" x14ac:dyDescent="0.25">
      <c r="B11" s="105" t="s">
        <v>479</v>
      </c>
      <c r="C11" s="105">
        <v>62</v>
      </c>
      <c r="D11" s="105">
        <v>40</v>
      </c>
      <c r="E11" s="105">
        <v>40</v>
      </c>
      <c r="F11" s="105">
        <v>76</v>
      </c>
      <c r="G11" s="105">
        <v>218</v>
      </c>
      <c r="H11" s="135">
        <f t="shared" si="1"/>
        <v>0.54500000000000004</v>
      </c>
      <c r="I11" s="135">
        <f t="shared" si="2"/>
        <v>0.54500000000000004</v>
      </c>
      <c r="J11" s="135">
        <f t="shared" si="6"/>
        <v>0.28440366972477066</v>
      </c>
      <c r="K11" s="135">
        <f t="shared" si="3"/>
        <v>0.1834862385321101</v>
      </c>
      <c r="L11" s="135">
        <f t="shared" si="4"/>
        <v>0.1834862385321101</v>
      </c>
      <c r="M11" s="135">
        <f t="shared" si="5"/>
        <v>0.34862385321100919</v>
      </c>
    </row>
    <row r="12" spans="2:13" x14ac:dyDescent="0.25">
      <c r="B12" s="105" t="s">
        <v>549</v>
      </c>
      <c r="C12" s="105">
        <v>11</v>
      </c>
      <c r="D12" s="105">
        <v>88</v>
      </c>
      <c r="E12" s="105">
        <v>23</v>
      </c>
      <c r="F12" s="105">
        <v>77</v>
      </c>
      <c r="G12" s="105">
        <v>199</v>
      </c>
      <c r="H12" s="135">
        <f t="shared" si="1"/>
        <v>0.4975</v>
      </c>
      <c r="I12" s="135">
        <f t="shared" si="2"/>
        <v>0.4975</v>
      </c>
      <c r="J12" s="135">
        <f t="shared" si="6"/>
        <v>5.5276381909547742E-2</v>
      </c>
      <c r="K12" s="135">
        <f t="shared" si="3"/>
        <v>0.44221105527638194</v>
      </c>
      <c r="L12" s="135">
        <f t="shared" si="4"/>
        <v>0.11557788944723618</v>
      </c>
      <c r="M12" s="135">
        <f t="shared" si="5"/>
        <v>0.38693467336683418</v>
      </c>
    </row>
    <row r="13" spans="2:13" x14ac:dyDescent="0.25">
      <c r="B13" s="105" t="s">
        <v>481</v>
      </c>
      <c r="C13" s="105">
        <v>62</v>
      </c>
      <c r="D13" s="105">
        <v>61</v>
      </c>
      <c r="E13" s="105">
        <v>93</v>
      </c>
      <c r="F13" s="105">
        <v>95</v>
      </c>
      <c r="G13" s="105">
        <v>311</v>
      </c>
      <c r="H13" s="135">
        <f t="shared" si="1"/>
        <v>0.77749999999999997</v>
      </c>
      <c r="I13" s="135">
        <f t="shared" si="2"/>
        <v>0.77749999999999997</v>
      </c>
      <c r="J13" s="135">
        <f t="shared" si="6"/>
        <v>0.19935691318327975</v>
      </c>
      <c r="K13" s="135">
        <f t="shared" si="3"/>
        <v>0.19614147909967847</v>
      </c>
      <c r="L13" s="135">
        <f t="shared" si="4"/>
        <v>0.29903536977491962</v>
      </c>
      <c r="M13" s="135">
        <f t="shared" si="5"/>
        <v>0.30546623794212219</v>
      </c>
    </row>
    <row r="14" spans="2:13" x14ac:dyDescent="0.25">
      <c r="B14" s="105" t="s">
        <v>482</v>
      </c>
      <c r="C14" s="105">
        <v>7</v>
      </c>
      <c r="D14" s="105">
        <v>63</v>
      </c>
      <c r="E14" s="105">
        <v>37</v>
      </c>
      <c r="F14" s="105">
        <v>80</v>
      </c>
      <c r="G14" s="105">
        <v>187</v>
      </c>
      <c r="H14" s="135">
        <f t="shared" si="1"/>
        <v>0.46750000000000003</v>
      </c>
      <c r="I14" s="135">
        <f t="shared" si="2"/>
        <v>0.46750000000000003</v>
      </c>
      <c r="J14" s="135">
        <f t="shared" si="6"/>
        <v>3.7433155080213901E-2</v>
      </c>
      <c r="K14" s="135">
        <f t="shared" si="3"/>
        <v>0.33689839572192515</v>
      </c>
      <c r="L14" s="135">
        <f t="shared" si="4"/>
        <v>0.19786096256684493</v>
      </c>
      <c r="M14" s="135">
        <f t="shared" si="5"/>
        <v>0.42780748663101603</v>
      </c>
    </row>
    <row r="15" spans="2:13" x14ac:dyDescent="0.25">
      <c r="B15" s="105" t="s">
        <v>550</v>
      </c>
      <c r="C15" s="105">
        <v>97</v>
      </c>
      <c r="D15" s="105">
        <v>47</v>
      </c>
      <c r="E15" s="105">
        <v>26</v>
      </c>
      <c r="F15" s="105">
        <v>99</v>
      </c>
      <c r="G15" s="105">
        <v>269</v>
      </c>
      <c r="H15" s="135">
        <f t="shared" si="1"/>
        <v>0.67249999999999999</v>
      </c>
      <c r="I15" s="135">
        <f t="shared" si="2"/>
        <v>0.67249999999999999</v>
      </c>
      <c r="J15" s="135">
        <f t="shared" si="6"/>
        <v>0.36059479553903345</v>
      </c>
      <c r="K15" s="135">
        <f t="shared" si="3"/>
        <v>0.17472118959107807</v>
      </c>
      <c r="L15" s="135">
        <f t="shared" si="4"/>
        <v>9.6654275092936809E-2</v>
      </c>
      <c r="M15" s="135">
        <f t="shared" si="5"/>
        <v>0.36802973977695169</v>
      </c>
    </row>
    <row r="16" spans="2:13" x14ac:dyDescent="0.25">
      <c r="B16" s="105" t="s">
        <v>484</v>
      </c>
      <c r="C16" s="105">
        <v>6</v>
      </c>
      <c r="D16" s="105">
        <v>63</v>
      </c>
      <c r="E16" s="105">
        <v>68</v>
      </c>
      <c r="F16" s="105">
        <v>39</v>
      </c>
      <c r="G16" s="105">
        <v>176</v>
      </c>
      <c r="H16" s="135">
        <f t="shared" si="1"/>
        <v>0.44</v>
      </c>
      <c r="I16" s="135">
        <f t="shared" si="2"/>
        <v>0.44</v>
      </c>
      <c r="J16" s="135">
        <f t="shared" si="6"/>
        <v>3.4090909090909088E-2</v>
      </c>
      <c r="K16" s="135">
        <f t="shared" si="3"/>
        <v>0.35795454545454547</v>
      </c>
      <c r="L16" s="135">
        <f t="shared" si="4"/>
        <v>0.38636363636363635</v>
      </c>
      <c r="M16" s="135">
        <f t="shared" si="5"/>
        <v>0.22159090909090909</v>
      </c>
    </row>
    <row r="17" spans="2:13" x14ac:dyDescent="0.25">
      <c r="B17" s="105" t="s">
        <v>551</v>
      </c>
      <c r="C17" s="105">
        <v>18</v>
      </c>
      <c r="D17" s="105">
        <v>26</v>
      </c>
      <c r="E17" s="105">
        <v>40</v>
      </c>
      <c r="F17" s="105">
        <v>5</v>
      </c>
      <c r="G17" s="105">
        <v>89</v>
      </c>
      <c r="H17" s="135">
        <f t="shared" si="1"/>
        <v>0.2225</v>
      </c>
      <c r="I17" s="135">
        <f t="shared" si="2"/>
        <v>0.2225</v>
      </c>
      <c r="J17" s="135">
        <f t="shared" si="6"/>
        <v>0.20224719101123595</v>
      </c>
      <c r="K17" s="135">
        <f t="shared" si="3"/>
        <v>0.29213483146067415</v>
      </c>
      <c r="L17" s="135">
        <f t="shared" si="4"/>
        <v>0.449438202247191</v>
      </c>
      <c r="M17" s="135">
        <f t="shared" si="5"/>
        <v>5.6179775280898875E-2</v>
      </c>
    </row>
    <row r="18" spans="2:13" x14ac:dyDescent="0.25">
      <c r="B18" s="105" t="s">
        <v>486</v>
      </c>
      <c r="C18" s="105">
        <v>40</v>
      </c>
      <c r="D18" s="105">
        <v>77</v>
      </c>
      <c r="E18" s="105">
        <v>69</v>
      </c>
      <c r="F18" s="105">
        <v>40</v>
      </c>
      <c r="G18" s="105">
        <v>226</v>
      </c>
      <c r="H18" s="135">
        <f t="shared" si="1"/>
        <v>0.56499999999999995</v>
      </c>
      <c r="I18" s="135">
        <f t="shared" si="2"/>
        <v>0.56499999999999995</v>
      </c>
      <c r="J18" s="135">
        <f t="shared" si="6"/>
        <v>0.17699115044247787</v>
      </c>
      <c r="K18" s="135">
        <f t="shared" si="3"/>
        <v>0.34070796460176989</v>
      </c>
      <c r="L18" s="135">
        <f t="shared" si="4"/>
        <v>0.30530973451327431</v>
      </c>
      <c r="M18" s="135">
        <f t="shared" si="5"/>
        <v>0.17699115044247787</v>
      </c>
    </row>
    <row r="19" spans="2:13" ht="15.75" thickBot="1" x14ac:dyDescent="0.3">
      <c r="B19" s="139" t="s">
        <v>487</v>
      </c>
      <c r="C19" s="139">
        <v>52</v>
      </c>
      <c r="D19" s="139">
        <v>81</v>
      </c>
      <c r="E19" s="139">
        <v>39</v>
      </c>
      <c r="F19" s="139">
        <v>11</v>
      </c>
      <c r="G19" s="139">
        <v>183</v>
      </c>
      <c r="H19" s="140">
        <f t="shared" si="1"/>
        <v>0.45750000000000002</v>
      </c>
      <c r="I19" s="140">
        <f t="shared" si="2"/>
        <v>0.45750000000000002</v>
      </c>
      <c r="J19" s="135">
        <f t="shared" si="6"/>
        <v>0.28415300546448086</v>
      </c>
      <c r="K19" s="135">
        <f t="shared" si="3"/>
        <v>0.44262295081967212</v>
      </c>
      <c r="L19" s="135">
        <f t="shared" si="4"/>
        <v>0.21311475409836064</v>
      </c>
      <c r="M19" s="135">
        <f t="shared" si="5"/>
        <v>6.0109289617486336E-2</v>
      </c>
    </row>
    <row r="25" spans="2:13" x14ac:dyDescent="0.25">
      <c r="B25" s="199" t="s">
        <v>553</v>
      </c>
      <c r="C25" s="199"/>
      <c r="D25" s="199"/>
      <c r="E25" s="199"/>
      <c r="F25" s="199"/>
      <c r="G25" s="201">
        <v>400</v>
      </c>
      <c r="H25" s="202"/>
      <c r="I25" s="202"/>
    </row>
    <row r="26" spans="2:13" x14ac:dyDescent="0.25">
      <c r="B26" s="137" t="s">
        <v>470</v>
      </c>
      <c r="C26" s="137" t="s">
        <v>461</v>
      </c>
      <c r="D26" s="137" t="s">
        <v>462</v>
      </c>
      <c r="E26" s="137" t="s">
        <v>463</v>
      </c>
      <c r="F26" s="137" t="s">
        <v>464</v>
      </c>
      <c r="G26" s="137" t="s">
        <v>552</v>
      </c>
      <c r="H26" s="137" t="s">
        <v>536</v>
      </c>
      <c r="I26" s="138" t="s">
        <v>558</v>
      </c>
    </row>
    <row r="27" spans="2:13" x14ac:dyDescent="0.25">
      <c r="B27" s="105" t="s">
        <v>473</v>
      </c>
      <c r="C27" s="105">
        <v>40</v>
      </c>
      <c r="D27" s="105">
        <v>46</v>
      </c>
      <c r="E27" s="105">
        <v>63</v>
      </c>
      <c r="F27" s="105">
        <v>66</v>
      </c>
      <c r="G27" s="105">
        <v>215</v>
      </c>
      <c r="H27" s="135">
        <f>G27/400</f>
        <v>0.53749999999999998</v>
      </c>
      <c r="I27" s="141">
        <f>RANK(H27,$H$27:$H$41,0)</f>
        <v>6</v>
      </c>
    </row>
    <row r="28" spans="2:13" x14ac:dyDescent="0.25">
      <c r="B28" s="105" t="s">
        <v>474</v>
      </c>
      <c r="C28" s="105">
        <v>9</v>
      </c>
      <c r="D28" s="105">
        <v>13</v>
      </c>
      <c r="E28" s="105">
        <v>98</v>
      </c>
      <c r="F28" s="105">
        <v>19</v>
      </c>
      <c r="G28" s="105">
        <v>139</v>
      </c>
      <c r="H28" s="135">
        <f t="shared" ref="H28:H41" si="7">G28/400</f>
        <v>0.34749999999999998</v>
      </c>
      <c r="I28" s="141">
        <f t="shared" ref="I28:I41" si="8">RANK(H28,$H$27:$H$41,0)</f>
        <v>14</v>
      </c>
    </row>
    <row r="29" spans="2:13" x14ac:dyDescent="0.25">
      <c r="B29" s="105" t="s">
        <v>475</v>
      </c>
      <c r="C29" s="105">
        <v>82</v>
      </c>
      <c r="D29" s="105">
        <v>43</v>
      </c>
      <c r="E29" s="105">
        <v>63</v>
      </c>
      <c r="F29" s="105">
        <v>84</v>
      </c>
      <c r="G29" s="105">
        <v>272</v>
      </c>
      <c r="H29" s="135">
        <f t="shared" si="7"/>
        <v>0.68</v>
      </c>
      <c r="I29" s="141">
        <f t="shared" si="8"/>
        <v>2</v>
      </c>
    </row>
    <row r="30" spans="2:13" x14ac:dyDescent="0.25">
      <c r="B30" s="105" t="s">
        <v>476</v>
      </c>
      <c r="C30" s="105">
        <v>32</v>
      </c>
      <c r="D30" s="105">
        <v>48</v>
      </c>
      <c r="E30" s="105">
        <v>26</v>
      </c>
      <c r="F30" s="105">
        <v>81</v>
      </c>
      <c r="G30" s="105">
        <v>187</v>
      </c>
      <c r="H30" s="135">
        <f t="shared" si="7"/>
        <v>0.46750000000000003</v>
      </c>
      <c r="I30" s="141">
        <f t="shared" si="8"/>
        <v>9</v>
      </c>
    </row>
    <row r="31" spans="2:13" x14ac:dyDescent="0.25">
      <c r="B31" s="105" t="s">
        <v>477</v>
      </c>
      <c r="C31" s="105">
        <v>20</v>
      </c>
      <c r="D31" s="105">
        <v>3</v>
      </c>
      <c r="E31" s="105">
        <v>76</v>
      </c>
      <c r="F31" s="105">
        <v>78</v>
      </c>
      <c r="G31" s="105">
        <v>177</v>
      </c>
      <c r="H31" s="135">
        <f t="shared" si="7"/>
        <v>0.4425</v>
      </c>
      <c r="I31" s="141">
        <f t="shared" si="8"/>
        <v>12</v>
      </c>
    </row>
    <row r="32" spans="2:13" x14ac:dyDescent="0.25">
      <c r="B32" s="105" t="s">
        <v>478</v>
      </c>
      <c r="C32" s="105">
        <v>80</v>
      </c>
      <c r="D32" s="105">
        <v>46</v>
      </c>
      <c r="E32" s="105">
        <v>0</v>
      </c>
      <c r="F32" s="105">
        <v>76</v>
      </c>
      <c r="G32" s="105">
        <v>202</v>
      </c>
      <c r="H32" s="135">
        <f t="shared" si="7"/>
        <v>0.505</v>
      </c>
      <c r="I32" s="141">
        <f t="shared" si="8"/>
        <v>7</v>
      </c>
    </row>
    <row r="33" spans="2:9" x14ac:dyDescent="0.25">
      <c r="B33" s="105" t="s">
        <v>479</v>
      </c>
      <c r="C33" s="105">
        <v>62</v>
      </c>
      <c r="D33" s="105">
        <v>40</v>
      </c>
      <c r="E33" s="105">
        <v>40</v>
      </c>
      <c r="F33" s="105">
        <v>76</v>
      </c>
      <c r="G33" s="105">
        <v>218</v>
      </c>
      <c r="H33" s="135">
        <f t="shared" si="7"/>
        <v>0.54500000000000004</v>
      </c>
      <c r="I33" s="141">
        <f t="shared" si="8"/>
        <v>5</v>
      </c>
    </row>
    <row r="34" spans="2:9" x14ac:dyDescent="0.25">
      <c r="B34" s="105" t="s">
        <v>549</v>
      </c>
      <c r="C34" s="105">
        <v>11</v>
      </c>
      <c r="D34" s="105">
        <v>88</v>
      </c>
      <c r="E34" s="105">
        <v>23</v>
      </c>
      <c r="F34" s="105">
        <v>77</v>
      </c>
      <c r="G34" s="105">
        <v>199</v>
      </c>
      <c r="H34" s="135">
        <f t="shared" si="7"/>
        <v>0.4975</v>
      </c>
      <c r="I34" s="141">
        <f t="shared" si="8"/>
        <v>8</v>
      </c>
    </row>
    <row r="35" spans="2:9" x14ac:dyDescent="0.25">
      <c r="B35" s="105" t="s">
        <v>481</v>
      </c>
      <c r="C35" s="105">
        <v>62</v>
      </c>
      <c r="D35" s="105">
        <v>61</v>
      </c>
      <c r="E35" s="105">
        <v>93</v>
      </c>
      <c r="F35" s="105">
        <v>95</v>
      </c>
      <c r="G35" s="105">
        <v>311</v>
      </c>
      <c r="H35" s="135">
        <f t="shared" si="7"/>
        <v>0.77749999999999997</v>
      </c>
      <c r="I35" s="141">
        <f t="shared" si="8"/>
        <v>1</v>
      </c>
    </row>
    <row r="36" spans="2:9" x14ac:dyDescent="0.25">
      <c r="B36" s="105" t="s">
        <v>482</v>
      </c>
      <c r="C36" s="105">
        <v>7</v>
      </c>
      <c r="D36" s="105">
        <v>63</v>
      </c>
      <c r="E36" s="105">
        <v>37</v>
      </c>
      <c r="F36" s="105">
        <v>80</v>
      </c>
      <c r="G36" s="105">
        <v>187</v>
      </c>
      <c r="H36" s="135">
        <f t="shared" si="7"/>
        <v>0.46750000000000003</v>
      </c>
      <c r="I36" s="141">
        <f t="shared" si="8"/>
        <v>9</v>
      </c>
    </row>
    <row r="37" spans="2:9" x14ac:dyDescent="0.25">
      <c r="B37" s="105" t="s">
        <v>550</v>
      </c>
      <c r="C37" s="105">
        <v>97</v>
      </c>
      <c r="D37" s="105">
        <v>47</v>
      </c>
      <c r="E37" s="105">
        <v>26</v>
      </c>
      <c r="F37" s="105">
        <v>99</v>
      </c>
      <c r="G37" s="105">
        <v>269</v>
      </c>
      <c r="H37" s="135">
        <f t="shared" si="7"/>
        <v>0.67249999999999999</v>
      </c>
      <c r="I37" s="141">
        <f t="shared" si="8"/>
        <v>3</v>
      </c>
    </row>
    <row r="38" spans="2:9" x14ac:dyDescent="0.25">
      <c r="B38" s="105" t="s">
        <v>484</v>
      </c>
      <c r="C38" s="105">
        <v>6</v>
      </c>
      <c r="D38" s="105">
        <v>63</v>
      </c>
      <c r="E38" s="105">
        <v>68</v>
      </c>
      <c r="F38" s="105">
        <v>39</v>
      </c>
      <c r="G38" s="105">
        <v>176</v>
      </c>
      <c r="H38" s="135">
        <f t="shared" si="7"/>
        <v>0.44</v>
      </c>
      <c r="I38" s="141">
        <f t="shared" si="8"/>
        <v>13</v>
      </c>
    </row>
    <row r="39" spans="2:9" x14ac:dyDescent="0.25">
      <c r="B39" s="105" t="s">
        <v>551</v>
      </c>
      <c r="C39" s="105">
        <v>18</v>
      </c>
      <c r="D39" s="105">
        <v>26</v>
      </c>
      <c r="E39" s="105">
        <v>40</v>
      </c>
      <c r="F39" s="105">
        <v>5</v>
      </c>
      <c r="G39" s="105">
        <v>89</v>
      </c>
      <c r="H39" s="135">
        <f t="shared" si="7"/>
        <v>0.2225</v>
      </c>
      <c r="I39" s="141">
        <f t="shared" si="8"/>
        <v>15</v>
      </c>
    </row>
    <row r="40" spans="2:9" x14ac:dyDescent="0.25">
      <c r="B40" s="105" t="s">
        <v>486</v>
      </c>
      <c r="C40" s="105">
        <v>40</v>
      </c>
      <c r="D40" s="105">
        <v>77</v>
      </c>
      <c r="E40" s="105">
        <v>69</v>
      </c>
      <c r="F40" s="105">
        <v>40</v>
      </c>
      <c r="G40" s="105">
        <v>226</v>
      </c>
      <c r="H40" s="135">
        <f t="shared" si="7"/>
        <v>0.56499999999999995</v>
      </c>
      <c r="I40" s="141">
        <f t="shared" si="8"/>
        <v>4</v>
      </c>
    </row>
    <row r="41" spans="2:9" ht="15.75" thickBot="1" x14ac:dyDescent="0.3">
      <c r="B41" s="139" t="s">
        <v>487</v>
      </c>
      <c r="C41" s="139">
        <v>52</v>
      </c>
      <c r="D41" s="139">
        <v>81</v>
      </c>
      <c r="E41" s="139">
        <v>39</v>
      </c>
      <c r="F41" s="139">
        <v>11</v>
      </c>
      <c r="G41" s="139">
        <v>183</v>
      </c>
      <c r="H41" s="140">
        <f t="shared" si="7"/>
        <v>0.45750000000000002</v>
      </c>
      <c r="I41" s="141">
        <f t="shared" si="8"/>
        <v>11</v>
      </c>
    </row>
  </sheetData>
  <mergeCells count="4">
    <mergeCell ref="B3:F3"/>
    <mergeCell ref="G3:M3"/>
    <mergeCell ref="B25:F25"/>
    <mergeCell ref="G25:I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9D35D-42B3-4FB6-B1C2-2E99B2FC7CC6}">
  <dimension ref="B2:G24"/>
  <sheetViews>
    <sheetView showGridLines="0" zoomScaleNormal="100" workbookViewId="0">
      <selection activeCell="D28" sqref="D28"/>
    </sheetView>
  </sheetViews>
  <sheetFormatPr defaultRowHeight="15" x14ac:dyDescent="0.25"/>
  <cols>
    <col min="2" max="2" width="9.140625" customWidth="1"/>
    <col min="3" max="3" width="18.140625" customWidth="1"/>
    <col min="4" max="4" width="35.28515625" customWidth="1"/>
    <col min="5" max="5" width="40" customWidth="1"/>
    <col min="6" max="6" width="30.42578125" customWidth="1"/>
    <col min="7" max="7" width="47.5703125" customWidth="1"/>
  </cols>
  <sheetData>
    <row r="2" spans="2:7" ht="15.75" thickBot="1" x14ac:dyDescent="0.3"/>
    <row r="3" spans="2:7" x14ac:dyDescent="0.25">
      <c r="B3" s="142" t="s">
        <v>559</v>
      </c>
      <c r="C3" s="143" t="s">
        <v>560</v>
      </c>
      <c r="D3" s="143" t="s">
        <v>561</v>
      </c>
      <c r="E3" s="143" t="s">
        <v>645</v>
      </c>
      <c r="F3" s="143" t="s">
        <v>562</v>
      </c>
      <c r="G3" s="144" t="s">
        <v>563</v>
      </c>
    </row>
    <row r="4" spans="2:7" x14ac:dyDescent="0.25">
      <c r="B4" s="163">
        <v>1</v>
      </c>
      <c r="C4" s="164" t="s">
        <v>564</v>
      </c>
      <c r="D4" s="165" t="s">
        <v>565</v>
      </c>
      <c r="E4" s="165" t="s">
        <v>566</v>
      </c>
      <c r="F4" s="165" t="s">
        <v>567</v>
      </c>
      <c r="G4" s="166" t="s">
        <v>648</v>
      </c>
    </row>
    <row r="5" spans="2:7" x14ac:dyDescent="0.25">
      <c r="B5" s="163">
        <v>2</v>
      </c>
      <c r="C5" s="164" t="s">
        <v>568</v>
      </c>
      <c r="D5" s="165" t="s">
        <v>569</v>
      </c>
      <c r="E5" s="165" t="s">
        <v>570</v>
      </c>
      <c r="F5" s="165" t="s">
        <v>571</v>
      </c>
      <c r="G5" s="166" t="s">
        <v>649</v>
      </c>
    </row>
    <row r="6" spans="2:7" x14ac:dyDescent="0.25">
      <c r="B6" s="163">
        <v>3</v>
      </c>
      <c r="C6" s="164" t="s">
        <v>572</v>
      </c>
      <c r="D6" s="165" t="s">
        <v>573</v>
      </c>
      <c r="E6" s="165" t="s">
        <v>574</v>
      </c>
      <c r="F6" s="165" t="s">
        <v>575</v>
      </c>
      <c r="G6" s="166" t="s">
        <v>653</v>
      </c>
    </row>
    <row r="7" spans="2:7" x14ac:dyDescent="0.25">
      <c r="B7" s="151">
        <v>4</v>
      </c>
      <c r="C7" s="152" t="s">
        <v>576</v>
      </c>
      <c r="D7" s="153" t="s">
        <v>577</v>
      </c>
      <c r="E7" s="153" t="s">
        <v>578</v>
      </c>
      <c r="F7" s="153" t="s">
        <v>579</v>
      </c>
      <c r="G7" s="154" t="s">
        <v>654</v>
      </c>
    </row>
    <row r="8" spans="2:7" x14ac:dyDescent="0.25">
      <c r="B8" s="151">
        <v>5</v>
      </c>
      <c r="C8" s="152" t="s">
        <v>580</v>
      </c>
      <c r="D8" s="153" t="s">
        <v>581</v>
      </c>
      <c r="E8" s="153" t="s">
        <v>582</v>
      </c>
      <c r="F8" s="153" t="s">
        <v>583</v>
      </c>
      <c r="G8" s="154" t="s">
        <v>655</v>
      </c>
    </row>
    <row r="9" spans="2:7" x14ac:dyDescent="0.25">
      <c r="B9" s="155">
        <v>6</v>
      </c>
      <c r="C9" s="156" t="s">
        <v>584</v>
      </c>
      <c r="D9" s="157" t="s">
        <v>585</v>
      </c>
      <c r="E9" s="157" t="s">
        <v>586</v>
      </c>
      <c r="F9" s="157" t="s">
        <v>587</v>
      </c>
      <c r="G9" s="158" t="s">
        <v>656</v>
      </c>
    </row>
    <row r="10" spans="2:7" x14ac:dyDescent="0.25">
      <c r="B10" s="155">
        <v>7</v>
      </c>
      <c r="C10" s="156" t="s">
        <v>588</v>
      </c>
      <c r="D10" s="157" t="s">
        <v>589</v>
      </c>
      <c r="E10" s="157" t="s">
        <v>590</v>
      </c>
      <c r="F10" s="157" t="s">
        <v>591</v>
      </c>
      <c r="G10" s="158" t="s">
        <v>657</v>
      </c>
    </row>
    <row r="11" spans="2:7" x14ac:dyDescent="0.25">
      <c r="B11" s="155">
        <v>8</v>
      </c>
      <c r="C11" s="156" t="s">
        <v>592</v>
      </c>
      <c r="D11" s="157" t="s">
        <v>593</v>
      </c>
      <c r="E11" s="157" t="s">
        <v>594</v>
      </c>
      <c r="F11" s="157" t="s">
        <v>595</v>
      </c>
      <c r="G11" s="158" t="s">
        <v>650</v>
      </c>
    </row>
    <row r="12" spans="2:7" x14ac:dyDescent="0.25">
      <c r="B12" s="159">
        <v>9</v>
      </c>
      <c r="C12" s="160" t="s">
        <v>596</v>
      </c>
      <c r="D12" s="161" t="s">
        <v>597</v>
      </c>
      <c r="E12" s="161" t="s">
        <v>598</v>
      </c>
      <c r="F12" s="161" t="s">
        <v>599</v>
      </c>
      <c r="G12" s="162" t="s">
        <v>658</v>
      </c>
    </row>
    <row r="13" spans="2:7" x14ac:dyDescent="0.25">
      <c r="B13" s="159">
        <v>10</v>
      </c>
      <c r="C13" s="160" t="s">
        <v>600</v>
      </c>
      <c r="D13" s="161" t="s">
        <v>601</v>
      </c>
      <c r="E13" s="161" t="s">
        <v>602</v>
      </c>
      <c r="F13" s="161" t="s">
        <v>603</v>
      </c>
      <c r="G13" s="162" t="s">
        <v>659</v>
      </c>
    </row>
    <row r="14" spans="2:7" ht="25.5" x14ac:dyDescent="0.25">
      <c r="B14" s="159">
        <v>11</v>
      </c>
      <c r="C14" s="160" t="s">
        <v>604</v>
      </c>
      <c r="D14" s="161" t="s">
        <v>605</v>
      </c>
      <c r="E14" s="161" t="s">
        <v>606</v>
      </c>
      <c r="F14" s="161" t="s">
        <v>607</v>
      </c>
      <c r="G14" s="162" t="s">
        <v>660</v>
      </c>
    </row>
    <row r="15" spans="2:7" x14ac:dyDescent="0.25">
      <c r="B15" s="175">
        <v>12</v>
      </c>
      <c r="C15" s="176" t="s">
        <v>608</v>
      </c>
      <c r="D15" s="177" t="s">
        <v>609</v>
      </c>
      <c r="E15" s="177" t="s">
        <v>610</v>
      </c>
      <c r="F15" s="177" t="s">
        <v>611</v>
      </c>
      <c r="G15" s="178" t="s">
        <v>651</v>
      </c>
    </row>
    <row r="16" spans="2:7" x14ac:dyDescent="0.25">
      <c r="B16" s="175">
        <v>13</v>
      </c>
      <c r="C16" s="176" t="s">
        <v>612</v>
      </c>
      <c r="D16" s="177" t="s">
        <v>613</v>
      </c>
      <c r="E16" s="177" t="s">
        <v>614</v>
      </c>
      <c r="F16" s="177" t="s">
        <v>615</v>
      </c>
      <c r="G16" s="178" t="s">
        <v>652</v>
      </c>
    </row>
    <row r="17" spans="2:7" ht="25.5" x14ac:dyDescent="0.25">
      <c r="B17" s="179">
        <v>14</v>
      </c>
      <c r="C17" s="180" t="s">
        <v>616</v>
      </c>
      <c r="D17" s="181" t="s">
        <v>617</v>
      </c>
      <c r="E17" s="181" t="s">
        <v>618</v>
      </c>
      <c r="F17" s="181" t="s">
        <v>619</v>
      </c>
      <c r="G17" s="182" t="s">
        <v>661</v>
      </c>
    </row>
    <row r="18" spans="2:7" ht="25.5" x14ac:dyDescent="0.25">
      <c r="B18" s="179">
        <v>15</v>
      </c>
      <c r="C18" s="180" t="s">
        <v>620</v>
      </c>
      <c r="D18" s="181" t="s">
        <v>621</v>
      </c>
      <c r="E18" s="181" t="s">
        <v>622</v>
      </c>
      <c r="F18" s="181" t="s">
        <v>623</v>
      </c>
      <c r="G18" s="182" t="s">
        <v>662</v>
      </c>
    </row>
    <row r="19" spans="2:7" x14ac:dyDescent="0.25">
      <c r="B19" s="151">
        <v>16</v>
      </c>
      <c r="C19" s="152" t="s">
        <v>624</v>
      </c>
      <c r="D19" s="153" t="s">
        <v>625</v>
      </c>
      <c r="E19" s="153" t="s">
        <v>626</v>
      </c>
      <c r="F19" s="153" t="s">
        <v>627</v>
      </c>
      <c r="G19" s="154" t="s">
        <v>663</v>
      </c>
    </row>
    <row r="20" spans="2:7" x14ac:dyDescent="0.25">
      <c r="B20" s="151">
        <v>17</v>
      </c>
      <c r="C20" s="152" t="s">
        <v>628</v>
      </c>
      <c r="D20" s="153" t="s">
        <v>629</v>
      </c>
      <c r="E20" s="153" t="s">
        <v>630</v>
      </c>
      <c r="F20" s="153" t="s">
        <v>631</v>
      </c>
      <c r="G20" s="154" t="s">
        <v>666</v>
      </c>
    </row>
    <row r="21" spans="2:7" x14ac:dyDescent="0.25">
      <c r="B21" s="151">
        <v>18</v>
      </c>
      <c r="C21" s="152" t="s">
        <v>632</v>
      </c>
      <c r="D21" s="153" t="s">
        <v>633</v>
      </c>
      <c r="E21" s="153" t="s">
        <v>634</v>
      </c>
      <c r="F21" s="153" t="s">
        <v>635</v>
      </c>
      <c r="G21" s="154" t="s">
        <v>664</v>
      </c>
    </row>
    <row r="22" spans="2:7" x14ac:dyDescent="0.25">
      <c r="B22" s="151" t="s">
        <v>636</v>
      </c>
      <c r="C22" s="152" t="s">
        <v>637</v>
      </c>
      <c r="D22" s="153" t="s">
        <v>638</v>
      </c>
      <c r="E22" s="153" t="s">
        <v>639</v>
      </c>
      <c r="F22" s="153" t="s">
        <v>640</v>
      </c>
      <c r="G22" s="154" t="s">
        <v>665</v>
      </c>
    </row>
    <row r="23" spans="2:7" ht="15.75" thickBot="1" x14ac:dyDescent="0.3">
      <c r="B23" s="171">
        <v>20</v>
      </c>
      <c r="C23" s="172" t="s">
        <v>641</v>
      </c>
      <c r="D23" s="173" t="s">
        <v>642</v>
      </c>
      <c r="E23" s="173" t="s">
        <v>643</v>
      </c>
      <c r="F23" s="173" t="s">
        <v>644</v>
      </c>
      <c r="G23" s="174" t="s">
        <v>535</v>
      </c>
    </row>
    <row r="24" spans="2:7" ht="15.75" thickBot="1" x14ac:dyDescent="0.3">
      <c r="B24" s="203" t="s">
        <v>734</v>
      </c>
      <c r="C24" s="204"/>
      <c r="D24" s="204"/>
      <c r="E24" s="204"/>
      <c r="F24" s="204"/>
      <c r="G24" s="205"/>
    </row>
  </sheetData>
  <mergeCells count="1">
    <mergeCell ref="B24:G2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5D473-BB1A-4083-B1E9-1F028EFD68A4}">
  <sheetPr>
    <pageSetUpPr autoPageBreaks="0"/>
  </sheetPr>
  <dimension ref="B1:Y100"/>
  <sheetViews>
    <sheetView tabSelected="1" topLeftCell="A40" zoomScale="55" zoomScaleNormal="55" workbookViewId="0">
      <selection activeCell="N63" sqref="N63"/>
    </sheetView>
  </sheetViews>
  <sheetFormatPr defaultRowHeight="15" x14ac:dyDescent="0.25"/>
  <cols>
    <col min="2" max="2" width="17.85546875" bestFit="1" customWidth="1"/>
    <col min="3" max="4" width="17.5703125" bestFit="1" customWidth="1"/>
    <col min="5" max="5" width="26.7109375" bestFit="1" customWidth="1"/>
    <col min="6" max="6" width="22.42578125" bestFit="1" customWidth="1"/>
    <col min="7" max="7" width="22.85546875" customWidth="1"/>
    <col min="8" max="8" width="18.5703125" bestFit="1" customWidth="1"/>
    <col min="9" max="9" width="17.85546875" bestFit="1" customWidth="1"/>
    <col min="10" max="10" width="15.28515625" customWidth="1"/>
    <col min="11" max="11" width="19.5703125" customWidth="1"/>
    <col min="12" max="12" width="15.5703125" customWidth="1"/>
    <col min="13" max="13" width="15.42578125" customWidth="1"/>
    <col min="15" max="15" width="19.5703125" customWidth="1"/>
    <col min="16" max="16" width="15.5703125" customWidth="1"/>
    <col min="17" max="17" width="15.42578125" customWidth="1"/>
    <col min="19" max="19" width="19.5703125" customWidth="1"/>
    <col min="20" max="20" width="15.5703125" customWidth="1"/>
    <col min="21" max="21" width="15.42578125" customWidth="1"/>
    <col min="23" max="23" width="14.85546875" bestFit="1" customWidth="1"/>
    <col min="24" max="24" width="18.5703125" bestFit="1" customWidth="1"/>
    <col min="25" max="25" width="17.85546875" bestFit="1" customWidth="1"/>
  </cols>
  <sheetData>
    <row r="1" spans="2:9" ht="15.75" thickBot="1" x14ac:dyDescent="0.3"/>
    <row r="2" spans="2:9" x14ac:dyDescent="0.25">
      <c r="B2" s="206" t="s">
        <v>564</v>
      </c>
      <c r="C2" s="207"/>
      <c r="D2" s="145"/>
      <c r="E2" s="206" t="s">
        <v>568</v>
      </c>
      <c r="F2" s="207"/>
      <c r="H2" s="206" t="s">
        <v>572</v>
      </c>
      <c r="I2" s="207"/>
    </row>
    <row r="3" spans="2:9" x14ac:dyDescent="0.25">
      <c r="B3" s="148" t="s">
        <v>646</v>
      </c>
      <c r="C3" s="148" t="s">
        <v>647</v>
      </c>
      <c r="D3" s="146"/>
      <c r="E3" s="148" t="s">
        <v>667</v>
      </c>
      <c r="F3" s="148" t="s">
        <v>668</v>
      </c>
      <c r="H3" s="148" t="s">
        <v>667</v>
      </c>
      <c r="I3" s="148" t="s">
        <v>668</v>
      </c>
    </row>
    <row r="4" spans="2:9" x14ac:dyDescent="0.25">
      <c r="B4" s="149" t="s">
        <v>669</v>
      </c>
      <c r="C4" s="150" t="str">
        <f>LEFT(B4,3)</f>
        <v>Mr.</v>
      </c>
      <c r="D4" s="146"/>
      <c r="E4" s="149" t="s">
        <v>678</v>
      </c>
      <c r="F4" s="149" t="str">
        <f>RIGHT(E4,3)</f>
        <v>MNO</v>
      </c>
      <c r="H4" s="149" t="s">
        <v>678</v>
      </c>
      <c r="I4" s="149" t="str">
        <f>MID(H4,5,4)</f>
        <v>7842</v>
      </c>
    </row>
    <row r="5" spans="2:9" x14ac:dyDescent="0.25">
      <c r="B5" s="149" t="s">
        <v>670</v>
      </c>
      <c r="C5" s="150" t="str">
        <f t="shared" ref="C5:C12" si="0">LEFT(B5,3)</f>
        <v>Mr.</v>
      </c>
      <c r="D5" s="146"/>
      <c r="E5" s="149" t="s">
        <v>679</v>
      </c>
      <c r="F5" s="149" t="str">
        <f t="shared" ref="F5:F12" si="1">RIGHT(E5,3)</f>
        <v>KLM</v>
      </c>
      <c r="H5" s="149" t="s">
        <v>679</v>
      </c>
      <c r="I5" s="149" t="str">
        <f t="shared" ref="I5:I12" si="2">MID(H5,5,4)</f>
        <v>8492</v>
      </c>
    </row>
    <row r="6" spans="2:9" x14ac:dyDescent="0.25">
      <c r="B6" s="149" t="s">
        <v>671</v>
      </c>
      <c r="C6" s="150" t="str">
        <f t="shared" si="0"/>
        <v>Mr.</v>
      </c>
      <c r="D6" s="146"/>
      <c r="E6" s="149" t="s">
        <v>680</v>
      </c>
      <c r="F6" s="149" t="str">
        <f t="shared" si="1"/>
        <v>YZQ</v>
      </c>
      <c r="H6" s="149" t="s">
        <v>680</v>
      </c>
      <c r="I6" s="149" t="str">
        <f t="shared" si="2"/>
        <v>2345</v>
      </c>
    </row>
    <row r="7" spans="2:9" x14ac:dyDescent="0.25">
      <c r="B7" s="149" t="s">
        <v>672</v>
      </c>
      <c r="C7" s="150" t="str">
        <f t="shared" si="0"/>
        <v>Mr.</v>
      </c>
      <c r="D7" s="146"/>
      <c r="E7" s="149" t="s">
        <v>681</v>
      </c>
      <c r="F7" s="149" t="str">
        <f t="shared" si="1"/>
        <v>PQR</v>
      </c>
      <c r="H7" s="149" t="s">
        <v>681</v>
      </c>
      <c r="I7" s="149" t="str">
        <f t="shared" si="2"/>
        <v>6789</v>
      </c>
    </row>
    <row r="8" spans="2:9" x14ac:dyDescent="0.25">
      <c r="B8" s="149" t="s">
        <v>673</v>
      </c>
      <c r="C8" s="150" t="str">
        <f t="shared" si="0"/>
        <v>Ms.</v>
      </c>
      <c r="D8" s="146"/>
      <c r="E8" s="149" t="s">
        <v>682</v>
      </c>
      <c r="F8" s="149" t="str">
        <f t="shared" si="1"/>
        <v>ABC</v>
      </c>
      <c r="H8" s="149" t="s">
        <v>682</v>
      </c>
      <c r="I8" s="149" t="str">
        <f t="shared" si="2"/>
        <v>4532</v>
      </c>
    </row>
    <row r="9" spans="2:9" x14ac:dyDescent="0.25">
      <c r="B9" s="149" t="s">
        <v>674</v>
      </c>
      <c r="C9" s="150" t="str">
        <f t="shared" si="0"/>
        <v>Mr.</v>
      </c>
      <c r="D9" s="146"/>
      <c r="E9" s="149" t="s">
        <v>683</v>
      </c>
      <c r="F9" s="149" t="str">
        <f t="shared" si="1"/>
        <v>DEF</v>
      </c>
      <c r="H9" s="149" t="s">
        <v>683</v>
      </c>
      <c r="I9" s="149" t="str">
        <f t="shared" si="2"/>
        <v>9102</v>
      </c>
    </row>
    <row r="10" spans="2:9" x14ac:dyDescent="0.25">
      <c r="B10" s="149" t="s">
        <v>675</v>
      </c>
      <c r="C10" s="150" t="str">
        <f t="shared" si="0"/>
        <v>Ms.</v>
      </c>
      <c r="D10" s="146"/>
      <c r="E10" s="149" t="s">
        <v>684</v>
      </c>
      <c r="F10" s="149" t="str">
        <f t="shared" si="1"/>
        <v>GHI</v>
      </c>
      <c r="H10" s="149" t="s">
        <v>684</v>
      </c>
      <c r="I10" s="149" t="str">
        <f t="shared" si="2"/>
        <v>3217</v>
      </c>
    </row>
    <row r="11" spans="2:9" x14ac:dyDescent="0.25">
      <c r="B11" s="149" t="s">
        <v>676</v>
      </c>
      <c r="C11" s="150" t="str">
        <f t="shared" si="0"/>
        <v>Mr.</v>
      </c>
      <c r="D11" s="146"/>
      <c r="E11" s="149" t="s">
        <v>685</v>
      </c>
      <c r="F11" s="149" t="str">
        <f t="shared" si="1"/>
        <v>JKL</v>
      </c>
      <c r="H11" s="149" t="s">
        <v>685</v>
      </c>
      <c r="I11" s="149" t="str">
        <f t="shared" si="2"/>
        <v>7654</v>
      </c>
    </row>
    <row r="12" spans="2:9" x14ac:dyDescent="0.25">
      <c r="B12" s="149" t="s">
        <v>677</v>
      </c>
      <c r="C12" s="150" t="str">
        <f t="shared" si="0"/>
        <v>Ms.</v>
      </c>
      <c r="D12" s="147"/>
      <c r="E12" s="149" t="s">
        <v>686</v>
      </c>
      <c r="F12" s="149" t="str">
        <f t="shared" si="1"/>
        <v>STU</v>
      </c>
      <c r="H12" s="149" t="s">
        <v>686</v>
      </c>
      <c r="I12" s="149" t="str">
        <f t="shared" si="2"/>
        <v>1876</v>
      </c>
    </row>
    <row r="15" spans="2:9" ht="15.75" thickBot="1" x14ac:dyDescent="0.3"/>
    <row r="16" spans="2:9" x14ac:dyDescent="0.25">
      <c r="B16" s="206" t="s">
        <v>687</v>
      </c>
      <c r="C16" s="207"/>
      <c r="E16" s="206" t="s">
        <v>580</v>
      </c>
      <c r="F16" s="207"/>
    </row>
    <row r="17" spans="2:9" x14ac:dyDescent="0.25">
      <c r="B17" s="148" t="s">
        <v>667</v>
      </c>
      <c r="C17" s="148"/>
      <c r="E17" s="148" t="s">
        <v>646</v>
      </c>
      <c r="F17" s="148"/>
    </row>
    <row r="18" spans="2:9" x14ac:dyDescent="0.25">
      <c r="B18" s="149" t="s">
        <v>678</v>
      </c>
      <c r="C18" s="149">
        <f>LEN(B18)</f>
        <v>12</v>
      </c>
      <c r="E18" s="149" t="s">
        <v>688</v>
      </c>
      <c r="F18" s="150" t="str">
        <f>TRIM(E18)</f>
        <v>Mr. Oneeb Arif</v>
      </c>
    </row>
    <row r="19" spans="2:9" x14ac:dyDescent="0.25">
      <c r="B19" s="149" t="s">
        <v>679</v>
      </c>
      <c r="C19" s="149">
        <f t="shared" ref="C19:C26" si="3">LEN(B19)</f>
        <v>12</v>
      </c>
      <c r="E19" s="149" t="s">
        <v>689</v>
      </c>
      <c r="F19" s="150" t="str">
        <f t="shared" ref="F19:F26" si="4">TRIM(E19)</f>
        <v>Mr. Bilal Ahmed</v>
      </c>
    </row>
    <row r="20" spans="2:9" x14ac:dyDescent="0.25">
      <c r="B20" s="149" t="s">
        <v>680</v>
      </c>
      <c r="C20" s="149">
        <f t="shared" si="3"/>
        <v>12</v>
      </c>
      <c r="E20" s="149" t="s">
        <v>694</v>
      </c>
      <c r="F20" s="150" t="str">
        <f t="shared" si="4"/>
        <v>Mr. Muneer Khan</v>
      </c>
    </row>
    <row r="21" spans="2:9" x14ac:dyDescent="0.25">
      <c r="B21" s="149" t="s">
        <v>681</v>
      </c>
      <c r="C21" s="149">
        <f t="shared" si="3"/>
        <v>12</v>
      </c>
      <c r="E21" s="149" t="s">
        <v>690</v>
      </c>
      <c r="F21" s="150" t="str">
        <f t="shared" si="4"/>
        <v>Mr. Affan Ahmed</v>
      </c>
    </row>
    <row r="22" spans="2:9" x14ac:dyDescent="0.25">
      <c r="B22" s="149" t="s">
        <v>682</v>
      </c>
      <c r="C22" s="149">
        <f t="shared" si="3"/>
        <v>12</v>
      </c>
      <c r="E22" s="149" t="s">
        <v>693</v>
      </c>
      <c r="F22" s="150" t="str">
        <f t="shared" si="4"/>
        <v>Ms. Ayesha Malik</v>
      </c>
    </row>
    <row r="23" spans="2:9" x14ac:dyDescent="0.25">
      <c r="B23" s="149" t="s">
        <v>683</v>
      </c>
      <c r="C23" s="149">
        <f t="shared" si="3"/>
        <v>12</v>
      </c>
      <c r="E23" s="149" t="s">
        <v>692</v>
      </c>
      <c r="F23" s="150" t="str">
        <f t="shared" si="4"/>
        <v>Mr. Abdul Wasay</v>
      </c>
    </row>
    <row r="24" spans="2:9" x14ac:dyDescent="0.25">
      <c r="B24" s="149" t="s">
        <v>684</v>
      </c>
      <c r="C24" s="149">
        <f t="shared" si="3"/>
        <v>12</v>
      </c>
      <c r="E24" s="149" t="s">
        <v>675</v>
      </c>
      <c r="F24" s="150" t="str">
        <f t="shared" si="4"/>
        <v>Ms. Fatima Raza</v>
      </c>
    </row>
    <row r="25" spans="2:9" x14ac:dyDescent="0.25">
      <c r="B25" s="149" t="s">
        <v>685</v>
      </c>
      <c r="C25" s="149">
        <f t="shared" si="3"/>
        <v>12</v>
      </c>
      <c r="E25" s="149" t="s">
        <v>676</v>
      </c>
      <c r="F25" s="150" t="str">
        <f t="shared" si="4"/>
        <v>Mr. Hamza Sheikh</v>
      </c>
    </row>
    <row r="26" spans="2:9" x14ac:dyDescent="0.25">
      <c r="B26" s="149" t="s">
        <v>686</v>
      </c>
      <c r="C26" s="149">
        <f t="shared" si="3"/>
        <v>12</v>
      </c>
      <c r="E26" s="149" t="s">
        <v>691</v>
      </c>
      <c r="F26" s="150" t="str">
        <f t="shared" si="4"/>
        <v>Ms. Zainab Ali</v>
      </c>
    </row>
    <row r="31" spans="2:9" ht="15.75" thickBot="1" x14ac:dyDescent="0.3"/>
    <row r="32" spans="2:9" x14ac:dyDescent="0.25">
      <c r="B32" s="206" t="s">
        <v>588</v>
      </c>
      <c r="C32" s="207"/>
      <c r="E32" s="206" t="s">
        <v>584</v>
      </c>
      <c r="F32" s="207"/>
      <c r="H32" s="206" t="s">
        <v>592</v>
      </c>
      <c r="I32" s="207"/>
    </row>
    <row r="33" spans="2:25" x14ac:dyDescent="0.25">
      <c r="B33" s="148" t="s">
        <v>646</v>
      </c>
      <c r="C33" s="148" t="s">
        <v>695</v>
      </c>
      <c r="E33" s="148" t="s">
        <v>646</v>
      </c>
      <c r="F33" s="148" t="s">
        <v>696</v>
      </c>
      <c r="H33" s="148" t="s">
        <v>646</v>
      </c>
      <c r="I33" s="148" t="s">
        <v>697</v>
      </c>
    </row>
    <row r="34" spans="2:25" x14ac:dyDescent="0.25">
      <c r="B34" s="149" t="s">
        <v>669</v>
      </c>
      <c r="C34" s="150" t="str">
        <f>LOWER(B34)</f>
        <v>mr. oneeb arif</v>
      </c>
      <c r="E34" s="149" t="s">
        <v>669</v>
      </c>
      <c r="F34" s="150" t="str">
        <f>UPPER(E34)</f>
        <v>MR. ONEEB ARIF</v>
      </c>
      <c r="H34" s="149" t="s">
        <v>698</v>
      </c>
      <c r="I34" s="149" t="str">
        <f>PROPER(H34)</f>
        <v>Mr. Oneeb Arif</v>
      </c>
    </row>
    <row r="35" spans="2:25" x14ac:dyDescent="0.25">
      <c r="B35" s="149" t="s">
        <v>670</v>
      </c>
      <c r="C35" s="150" t="str">
        <f t="shared" ref="C35:C42" si="5">LOWER(B35)</f>
        <v>mr. bilal ahmed</v>
      </c>
      <c r="E35" s="149" t="s">
        <v>670</v>
      </c>
      <c r="F35" s="150" t="str">
        <f t="shared" ref="F35:F42" si="6">UPPER(E35)</f>
        <v>MR. BILAL AHMED</v>
      </c>
      <c r="H35" s="149" t="s">
        <v>699</v>
      </c>
      <c r="I35" s="149" t="str">
        <f t="shared" ref="I35:I42" si="7">PROPER(H35)</f>
        <v>Mr. Bilal Ahmed</v>
      </c>
    </row>
    <row r="36" spans="2:25" x14ac:dyDescent="0.25">
      <c r="B36" s="149" t="s">
        <v>671</v>
      </c>
      <c r="C36" s="150" t="str">
        <f t="shared" si="5"/>
        <v>mr. muneer khan</v>
      </c>
      <c r="E36" s="149" t="s">
        <v>671</v>
      </c>
      <c r="F36" s="150" t="str">
        <f t="shared" si="6"/>
        <v>MR. MUNEER KHAN</v>
      </c>
      <c r="H36" s="149" t="s">
        <v>700</v>
      </c>
      <c r="I36" s="149" t="str">
        <f t="shared" si="7"/>
        <v>Mr. Muneer Khan</v>
      </c>
    </row>
    <row r="37" spans="2:25" x14ac:dyDescent="0.25">
      <c r="B37" s="149" t="s">
        <v>672</v>
      </c>
      <c r="C37" s="150" t="str">
        <f t="shared" si="5"/>
        <v>mr. affan ahmed</v>
      </c>
      <c r="E37" s="149" t="s">
        <v>672</v>
      </c>
      <c r="F37" s="150" t="str">
        <f t="shared" si="6"/>
        <v>MR. AFFAN AHMED</v>
      </c>
      <c r="H37" s="149" t="s">
        <v>701</v>
      </c>
      <c r="I37" s="149" t="str">
        <f t="shared" si="7"/>
        <v>Mr. Affan Ahmed</v>
      </c>
    </row>
    <row r="38" spans="2:25" x14ac:dyDescent="0.25">
      <c r="B38" s="149" t="s">
        <v>673</v>
      </c>
      <c r="C38" s="150" t="str">
        <f t="shared" si="5"/>
        <v>ms. ayesha malik</v>
      </c>
      <c r="E38" s="149" t="s">
        <v>673</v>
      </c>
      <c r="F38" s="150" t="str">
        <f t="shared" si="6"/>
        <v>MS. AYESHA MALIK</v>
      </c>
      <c r="H38" s="149" t="s">
        <v>702</v>
      </c>
      <c r="I38" s="149" t="str">
        <f t="shared" si="7"/>
        <v>Ms. Ayesha Malik</v>
      </c>
    </row>
    <row r="39" spans="2:25" x14ac:dyDescent="0.25">
      <c r="B39" s="149" t="s">
        <v>674</v>
      </c>
      <c r="C39" s="150" t="str">
        <f t="shared" si="5"/>
        <v>mr. abdul wasay</v>
      </c>
      <c r="E39" s="149" t="s">
        <v>674</v>
      </c>
      <c r="F39" s="150" t="str">
        <f t="shared" si="6"/>
        <v>MR. ABDUL WASAY</v>
      </c>
      <c r="H39" s="149" t="s">
        <v>703</v>
      </c>
      <c r="I39" s="149" t="str">
        <f t="shared" si="7"/>
        <v>Mr. Abdul Wasay</v>
      </c>
    </row>
    <row r="40" spans="2:25" x14ac:dyDescent="0.25">
      <c r="B40" s="149" t="s">
        <v>675</v>
      </c>
      <c r="C40" s="150" t="str">
        <f t="shared" si="5"/>
        <v>ms. fatima raza</v>
      </c>
      <c r="E40" s="149" t="s">
        <v>675</v>
      </c>
      <c r="F40" s="150" t="str">
        <f t="shared" si="6"/>
        <v>MS. FATIMA RAZA</v>
      </c>
      <c r="H40" s="149" t="s">
        <v>704</v>
      </c>
      <c r="I40" s="149" t="str">
        <f t="shared" si="7"/>
        <v>Ms. Fatima Raza</v>
      </c>
    </row>
    <row r="41" spans="2:25" x14ac:dyDescent="0.25">
      <c r="B41" s="149" t="s">
        <v>676</v>
      </c>
      <c r="C41" s="150" t="str">
        <f t="shared" si="5"/>
        <v>mr. hamza sheikh</v>
      </c>
      <c r="E41" s="149" t="s">
        <v>676</v>
      </c>
      <c r="F41" s="150" t="str">
        <f t="shared" si="6"/>
        <v>MR. HAMZA SHEIKH</v>
      </c>
      <c r="H41" s="149" t="s">
        <v>705</v>
      </c>
      <c r="I41" s="149" t="str">
        <f t="shared" si="7"/>
        <v>Mr. Hamza Sheikh</v>
      </c>
    </row>
    <row r="42" spans="2:25" x14ac:dyDescent="0.25">
      <c r="B42" s="149" t="s">
        <v>677</v>
      </c>
      <c r="C42" s="150" t="str">
        <f t="shared" si="5"/>
        <v>ms. zainab ali</v>
      </c>
      <c r="E42" s="149" t="s">
        <v>677</v>
      </c>
      <c r="F42" s="150" t="str">
        <f t="shared" si="6"/>
        <v>MS. ZAINAB ALI</v>
      </c>
      <c r="H42" s="149" t="s">
        <v>706</v>
      </c>
      <c r="I42" s="149" t="str">
        <f t="shared" si="7"/>
        <v>Ms. Zainab Ali</v>
      </c>
    </row>
    <row r="45" spans="2:25" ht="18" customHeight="1" x14ac:dyDescent="0.25">
      <c r="B45" s="208" t="s">
        <v>732</v>
      </c>
      <c r="C45" s="208"/>
      <c r="D45" s="208"/>
      <c r="E45" s="170"/>
      <c r="F45" s="170"/>
      <c r="G45" s="208" t="s">
        <v>719</v>
      </c>
      <c r="H45" s="208"/>
      <c r="I45" s="208"/>
      <c r="J45" s="170"/>
      <c r="K45" s="208" t="s">
        <v>707</v>
      </c>
      <c r="L45" s="208"/>
      <c r="M45" s="208"/>
      <c r="O45" s="208" t="s">
        <v>730</v>
      </c>
      <c r="P45" s="208"/>
      <c r="Q45" s="208"/>
      <c r="S45" s="208" t="s">
        <v>731</v>
      </c>
      <c r="T45" s="208"/>
      <c r="U45" s="208"/>
      <c r="W45" s="208" t="s">
        <v>733</v>
      </c>
      <c r="X45" s="208"/>
      <c r="Y45" s="208"/>
    </row>
    <row r="46" spans="2:25" ht="18" customHeight="1" x14ac:dyDescent="0.25">
      <c r="B46" s="167" t="s">
        <v>710</v>
      </c>
      <c r="C46" s="167" t="s">
        <v>708</v>
      </c>
      <c r="D46" s="167" t="s">
        <v>709</v>
      </c>
      <c r="E46" s="170"/>
      <c r="F46" s="170"/>
      <c r="G46" s="167" t="s">
        <v>708</v>
      </c>
      <c r="H46" s="167" t="s">
        <v>709</v>
      </c>
      <c r="I46" s="167" t="s">
        <v>710</v>
      </c>
      <c r="J46" s="170"/>
      <c r="K46" s="167" t="s">
        <v>708</v>
      </c>
      <c r="L46" s="167" t="s">
        <v>709</v>
      </c>
      <c r="M46" s="167" t="s">
        <v>710</v>
      </c>
      <c r="O46" s="167" t="s">
        <v>708</v>
      </c>
      <c r="P46" s="167" t="s">
        <v>709</v>
      </c>
      <c r="Q46" s="167" t="s">
        <v>710</v>
      </c>
      <c r="S46" s="167" t="s">
        <v>708</v>
      </c>
      <c r="T46" s="167" t="s">
        <v>709</v>
      </c>
      <c r="U46" s="167" t="s">
        <v>710</v>
      </c>
      <c r="W46" s="167" t="s">
        <v>708</v>
      </c>
      <c r="X46" s="167" t="s">
        <v>709</v>
      </c>
      <c r="Y46" s="167" t="s">
        <v>710</v>
      </c>
    </row>
    <row r="47" spans="2:25" ht="18" customHeight="1" x14ac:dyDescent="0.25">
      <c r="B47" s="169" t="s">
        <v>720</v>
      </c>
      <c r="C47" s="168"/>
      <c r="D47" s="168"/>
      <c r="E47" s="170"/>
      <c r="F47" s="170"/>
      <c r="G47" s="168" t="s">
        <v>711</v>
      </c>
      <c r="H47" s="168" t="s">
        <v>712</v>
      </c>
      <c r="I47" s="169" t="s">
        <v>720</v>
      </c>
      <c r="J47" s="170"/>
      <c r="K47" s="168" t="s">
        <v>711</v>
      </c>
      <c r="L47" s="168" t="s">
        <v>712</v>
      </c>
      <c r="M47" s="169" t="str">
        <f>_xlfn.TEXTJOIN(" ",TRUE,K47,L47)</f>
        <v>Oneeb Arif</v>
      </c>
      <c r="O47" s="168" t="s">
        <v>711</v>
      </c>
      <c r="P47" s="168" t="s">
        <v>712</v>
      </c>
      <c r="Q47" s="169" t="str">
        <f>CONCATENATE(O47," ",P47)</f>
        <v>Oneeb Arif</v>
      </c>
      <c r="S47" s="168" t="s">
        <v>711</v>
      </c>
      <c r="T47" s="168" t="s">
        <v>712</v>
      </c>
      <c r="U47" s="169" t="str">
        <f>_xlfn.CONCAT(S47,T47)</f>
        <v>OneebArif</v>
      </c>
      <c r="W47" s="168" t="s">
        <v>711</v>
      </c>
      <c r="X47" s="168" t="s">
        <v>712</v>
      </c>
      <c r="Y47" s="169" t="str">
        <f>W47&amp;" "&amp;X47</f>
        <v>Oneeb Arif</v>
      </c>
    </row>
    <row r="48" spans="2:25" ht="18" customHeight="1" x14ac:dyDescent="0.25">
      <c r="B48" s="169" t="s">
        <v>721</v>
      </c>
      <c r="C48" s="168" t="s">
        <v>171</v>
      </c>
      <c r="D48" s="168" t="s">
        <v>60</v>
      </c>
      <c r="E48" s="170"/>
      <c r="F48" s="170"/>
      <c r="G48" s="168" t="s">
        <v>171</v>
      </c>
      <c r="H48" s="168" t="s">
        <v>60</v>
      </c>
      <c r="I48" s="169" t="s">
        <v>721</v>
      </c>
      <c r="J48" s="170"/>
      <c r="K48" s="168" t="s">
        <v>171</v>
      </c>
      <c r="L48" s="168" t="s">
        <v>60</v>
      </c>
      <c r="M48" s="169" t="str">
        <f t="shared" ref="M48:M56" si="8">_xlfn.TEXTJOIN(" ",TRUE,K48,L48)</f>
        <v>Bilal Ahmed</v>
      </c>
      <c r="O48" s="168" t="s">
        <v>171</v>
      </c>
      <c r="P48" s="168" t="s">
        <v>60</v>
      </c>
      <c r="Q48" s="169" t="str">
        <f t="shared" ref="Q48:Q56" si="9">CONCATENATE(O48," ",P48)</f>
        <v>Bilal Ahmed</v>
      </c>
      <c r="S48" s="168" t="s">
        <v>171</v>
      </c>
      <c r="T48" s="168" t="s">
        <v>60</v>
      </c>
      <c r="U48" s="169" t="str">
        <f t="shared" ref="U48:U56" si="10">_xlfn.CONCAT(S48,"-",T48)</f>
        <v>Bilal-Ahmed</v>
      </c>
      <c r="W48" s="168" t="s">
        <v>171</v>
      </c>
      <c r="X48" s="168" t="s">
        <v>60</v>
      </c>
      <c r="Y48" s="169" t="str">
        <f t="shared" ref="Y48:Y56" si="11">W48&amp;" "&amp;X48</f>
        <v>Bilal Ahmed</v>
      </c>
    </row>
    <row r="49" spans="2:25" ht="18" customHeight="1" x14ac:dyDescent="0.25">
      <c r="B49" s="169" t="s">
        <v>722</v>
      </c>
      <c r="C49" s="168"/>
      <c r="D49" s="168"/>
      <c r="E49" s="170"/>
      <c r="F49" s="170"/>
      <c r="G49" s="168" t="s">
        <v>713</v>
      </c>
      <c r="H49" s="168" t="s">
        <v>201</v>
      </c>
      <c r="I49" s="169" t="s">
        <v>722</v>
      </c>
      <c r="J49" s="170"/>
      <c r="K49" s="168" t="s">
        <v>713</v>
      </c>
      <c r="L49" s="168" t="s">
        <v>201</v>
      </c>
      <c r="M49" s="169" t="str">
        <f t="shared" si="8"/>
        <v>Muneer Khan</v>
      </c>
      <c r="O49" s="168" t="s">
        <v>713</v>
      </c>
      <c r="P49" s="168" t="s">
        <v>201</v>
      </c>
      <c r="Q49" s="169" t="str">
        <f t="shared" si="9"/>
        <v>Muneer Khan</v>
      </c>
      <c r="S49" s="168" t="s">
        <v>713</v>
      </c>
      <c r="T49" s="168" t="s">
        <v>201</v>
      </c>
      <c r="U49" s="169" t="str">
        <f t="shared" si="10"/>
        <v>Muneer-Khan</v>
      </c>
      <c r="W49" s="168" t="s">
        <v>713</v>
      </c>
      <c r="X49" s="168" t="s">
        <v>201</v>
      </c>
      <c r="Y49" s="169" t="str">
        <f t="shared" si="11"/>
        <v>Muneer Khan</v>
      </c>
    </row>
    <row r="50" spans="2:25" ht="18" customHeight="1" x14ac:dyDescent="0.25">
      <c r="B50" s="169" t="s">
        <v>723</v>
      </c>
      <c r="C50" s="168"/>
      <c r="D50" s="168"/>
      <c r="E50" s="170"/>
      <c r="F50" s="170"/>
      <c r="G50" s="168" t="s">
        <v>714</v>
      </c>
      <c r="H50" s="168" t="s">
        <v>60</v>
      </c>
      <c r="I50" s="169" t="s">
        <v>723</v>
      </c>
      <c r="J50" s="170"/>
      <c r="K50" s="168" t="s">
        <v>714</v>
      </c>
      <c r="L50" s="168" t="s">
        <v>60</v>
      </c>
      <c r="M50" s="169" t="str">
        <f t="shared" si="8"/>
        <v>Affan Ahmed</v>
      </c>
      <c r="O50" s="168" t="s">
        <v>714</v>
      </c>
      <c r="P50" s="168" t="s">
        <v>60</v>
      </c>
      <c r="Q50" s="169" t="str">
        <f t="shared" si="9"/>
        <v>Affan Ahmed</v>
      </c>
      <c r="S50" s="168" t="s">
        <v>714</v>
      </c>
      <c r="T50" s="168" t="s">
        <v>60</v>
      </c>
      <c r="U50" s="169" t="str">
        <f t="shared" si="10"/>
        <v>Affan-Ahmed</v>
      </c>
      <c r="W50" s="168" t="s">
        <v>714</v>
      </c>
      <c r="X50" s="168" t="s">
        <v>60</v>
      </c>
      <c r="Y50" s="169" t="str">
        <f t="shared" si="11"/>
        <v>Affan Ahmed</v>
      </c>
    </row>
    <row r="51" spans="2:25" ht="18" customHeight="1" x14ac:dyDescent="0.25">
      <c r="B51" s="169" t="s">
        <v>724</v>
      </c>
      <c r="C51" s="168"/>
      <c r="D51" s="168"/>
      <c r="E51" s="170"/>
      <c r="F51" s="170"/>
      <c r="G51" s="168" t="s">
        <v>176</v>
      </c>
      <c r="H51" s="168" t="s">
        <v>191</v>
      </c>
      <c r="I51" s="169" t="s">
        <v>724</v>
      </c>
      <c r="J51" s="170"/>
      <c r="K51" s="168" t="s">
        <v>176</v>
      </c>
      <c r="L51" s="168" t="s">
        <v>191</v>
      </c>
      <c r="M51" s="169" t="str">
        <f t="shared" si="8"/>
        <v>Ayesha Malik</v>
      </c>
      <c r="O51" s="168" t="s">
        <v>176</v>
      </c>
      <c r="P51" s="168" t="s">
        <v>191</v>
      </c>
      <c r="Q51" s="169" t="str">
        <f t="shared" si="9"/>
        <v>Ayesha Malik</v>
      </c>
      <c r="S51" s="168" t="s">
        <v>176</v>
      </c>
      <c r="T51" s="168" t="s">
        <v>191</v>
      </c>
      <c r="U51" s="169" t="str">
        <f t="shared" si="10"/>
        <v>Ayesha-Malik</v>
      </c>
      <c r="W51" s="168" t="s">
        <v>176</v>
      </c>
      <c r="X51" s="168" t="s">
        <v>191</v>
      </c>
      <c r="Y51" s="169" t="str">
        <f t="shared" si="11"/>
        <v>Ayesha Malik</v>
      </c>
    </row>
    <row r="52" spans="2:25" ht="18" customHeight="1" x14ac:dyDescent="0.25">
      <c r="B52" s="169" t="s">
        <v>725</v>
      </c>
      <c r="C52" s="168"/>
      <c r="D52" s="168"/>
      <c r="E52" s="170"/>
      <c r="F52" s="170"/>
      <c r="G52" s="168" t="s">
        <v>715</v>
      </c>
      <c r="H52" s="168" t="s">
        <v>716</v>
      </c>
      <c r="I52" s="169" t="s">
        <v>725</v>
      </c>
      <c r="J52" s="170"/>
      <c r="K52" s="168" t="s">
        <v>715</v>
      </c>
      <c r="L52" s="168" t="s">
        <v>716</v>
      </c>
      <c r="M52" s="169" t="str">
        <f t="shared" si="8"/>
        <v>Abdul Wasay</v>
      </c>
      <c r="O52" s="168" t="s">
        <v>715</v>
      </c>
      <c r="P52" s="168" t="s">
        <v>716</v>
      </c>
      <c r="Q52" s="169" t="str">
        <f t="shared" si="9"/>
        <v>Abdul Wasay</v>
      </c>
      <c r="S52" s="168" t="s">
        <v>715</v>
      </c>
      <c r="T52" s="168" t="s">
        <v>716</v>
      </c>
      <c r="U52" s="169" t="str">
        <f t="shared" si="10"/>
        <v>Abdul-Wasay</v>
      </c>
      <c r="W52" s="168" t="s">
        <v>715</v>
      </c>
      <c r="X52" s="168" t="s">
        <v>716</v>
      </c>
      <c r="Y52" s="169" t="str">
        <f t="shared" si="11"/>
        <v>Abdul Wasay</v>
      </c>
    </row>
    <row r="53" spans="2:25" ht="18" customHeight="1" x14ac:dyDescent="0.25">
      <c r="B53" s="169" t="s">
        <v>726</v>
      </c>
      <c r="C53" s="168"/>
      <c r="D53" s="168"/>
      <c r="E53" s="170"/>
      <c r="F53" s="170"/>
      <c r="G53" s="168" t="s">
        <v>196</v>
      </c>
      <c r="H53" s="168" t="s">
        <v>77</v>
      </c>
      <c r="I53" s="169" t="s">
        <v>726</v>
      </c>
      <c r="J53" s="170"/>
      <c r="K53" s="168" t="s">
        <v>196</v>
      </c>
      <c r="L53" s="168" t="s">
        <v>77</v>
      </c>
      <c r="M53" s="169" t="str">
        <f t="shared" si="8"/>
        <v>Fatima Raza</v>
      </c>
      <c r="O53" s="168" t="s">
        <v>196</v>
      </c>
      <c r="P53" s="168" t="s">
        <v>77</v>
      </c>
      <c r="Q53" s="169" t="str">
        <f t="shared" si="9"/>
        <v>Fatima Raza</v>
      </c>
      <c r="S53" s="168" t="s">
        <v>196</v>
      </c>
      <c r="T53" s="168" t="s">
        <v>77</v>
      </c>
      <c r="U53" s="169" t="str">
        <f t="shared" si="10"/>
        <v>Fatima-Raza</v>
      </c>
      <c r="W53" s="168" t="s">
        <v>196</v>
      </c>
      <c r="X53" s="168" t="s">
        <v>77</v>
      </c>
      <c r="Y53" s="169" t="str">
        <f t="shared" si="11"/>
        <v>Fatima Raza</v>
      </c>
    </row>
    <row r="54" spans="2:25" ht="18" customHeight="1" x14ac:dyDescent="0.25">
      <c r="B54" s="169" t="s">
        <v>727</v>
      </c>
      <c r="C54" s="168"/>
      <c r="D54" s="168"/>
      <c r="E54" s="170"/>
      <c r="F54" s="170"/>
      <c r="G54" s="168" t="s">
        <v>59</v>
      </c>
      <c r="H54" s="168" t="s">
        <v>290</v>
      </c>
      <c r="I54" s="169" t="s">
        <v>727</v>
      </c>
      <c r="J54" s="170"/>
      <c r="K54" s="168" t="s">
        <v>59</v>
      </c>
      <c r="L54" s="168" t="s">
        <v>290</v>
      </c>
      <c r="M54" s="169" t="str">
        <f t="shared" si="8"/>
        <v>Hamza Sheikh</v>
      </c>
      <c r="O54" s="168" t="s">
        <v>59</v>
      </c>
      <c r="P54" s="168" t="s">
        <v>290</v>
      </c>
      <c r="Q54" s="169" t="str">
        <f t="shared" si="9"/>
        <v>Hamza Sheikh</v>
      </c>
      <c r="S54" s="168" t="s">
        <v>59</v>
      </c>
      <c r="T54" s="168" t="s">
        <v>290</v>
      </c>
      <c r="U54" s="169" t="str">
        <f t="shared" si="10"/>
        <v>Hamza-Sheikh</v>
      </c>
      <c r="W54" s="168" t="s">
        <v>59</v>
      </c>
      <c r="X54" s="168" t="s">
        <v>290</v>
      </c>
      <c r="Y54" s="169" t="str">
        <f t="shared" si="11"/>
        <v>Hamza Sheikh</v>
      </c>
    </row>
    <row r="55" spans="2:25" ht="18" customHeight="1" x14ac:dyDescent="0.25">
      <c r="B55" s="169" t="s">
        <v>728</v>
      </c>
      <c r="C55" s="168"/>
      <c r="D55" s="168"/>
      <c r="E55" s="170"/>
      <c r="F55" s="170"/>
      <c r="G55" s="168" t="s">
        <v>717</v>
      </c>
      <c r="H55" s="168" t="s">
        <v>42</v>
      </c>
      <c r="I55" s="169" t="s">
        <v>728</v>
      </c>
      <c r="J55" s="170"/>
      <c r="K55" s="168" t="s">
        <v>717</v>
      </c>
      <c r="L55" s="168" t="s">
        <v>42</v>
      </c>
      <c r="M55" s="169" t="str">
        <f t="shared" si="8"/>
        <v>Zainab Ali</v>
      </c>
      <c r="O55" s="168" t="s">
        <v>717</v>
      </c>
      <c r="P55" s="168" t="s">
        <v>42</v>
      </c>
      <c r="Q55" s="169" t="str">
        <f t="shared" si="9"/>
        <v>Zainab Ali</v>
      </c>
      <c r="S55" s="168" t="s">
        <v>717</v>
      </c>
      <c r="T55" s="168" t="s">
        <v>42</v>
      </c>
      <c r="U55" s="169" t="str">
        <f t="shared" si="10"/>
        <v>Zainab-Ali</v>
      </c>
      <c r="W55" s="168" t="s">
        <v>717</v>
      </c>
      <c r="X55" s="168" t="s">
        <v>42</v>
      </c>
      <c r="Y55" s="169" t="str">
        <f t="shared" si="11"/>
        <v>Zainab Ali</v>
      </c>
    </row>
    <row r="56" spans="2:25" ht="18" customHeight="1" x14ac:dyDescent="0.25">
      <c r="B56" s="169" t="s">
        <v>729</v>
      </c>
      <c r="C56" s="168"/>
      <c r="D56" s="168"/>
      <c r="E56" s="170"/>
      <c r="F56" s="170"/>
      <c r="G56" s="168" t="s">
        <v>216</v>
      </c>
      <c r="H56" s="168" t="s">
        <v>718</v>
      </c>
      <c r="I56" s="169" t="s">
        <v>729</v>
      </c>
      <c r="J56" s="170"/>
      <c r="K56" s="168" t="s">
        <v>216</v>
      </c>
      <c r="L56" s="168" t="s">
        <v>718</v>
      </c>
      <c r="M56" s="169" t="str">
        <f t="shared" si="8"/>
        <v>Usman Tariq</v>
      </c>
      <c r="O56" s="168" t="s">
        <v>216</v>
      </c>
      <c r="P56" s="168" t="s">
        <v>718</v>
      </c>
      <c r="Q56" s="169" t="str">
        <f t="shared" si="9"/>
        <v>Usman Tariq</v>
      </c>
      <c r="S56" s="168" t="s">
        <v>216</v>
      </c>
      <c r="T56" s="168" t="s">
        <v>718</v>
      </c>
      <c r="U56" s="169" t="str">
        <f t="shared" si="10"/>
        <v>Usman-Tariq</v>
      </c>
      <c r="W56" s="168" t="s">
        <v>216</v>
      </c>
      <c r="X56" s="168" t="s">
        <v>718</v>
      </c>
      <c r="Y56" s="169" t="str">
        <f t="shared" si="11"/>
        <v>Usman Tariq</v>
      </c>
    </row>
    <row r="57" spans="2:25" ht="18" customHeight="1" x14ac:dyDescent="0.25">
      <c r="B57" s="170"/>
      <c r="C57" s="170"/>
      <c r="D57" s="170"/>
      <c r="E57" s="170"/>
      <c r="F57" s="170"/>
      <c r="G57" s="170"/>
      <c r="H57" s="170"/>
      <c r="I57" s="170"/>
      <c r="J57" s="170"/>
      <c r="K57" s="170"/>
      <c r="L57" s="170"/>
    </row>
    <row r="58" spans="2:25" ht="18" customHeight="1" x14ac:dyDescent="0.25">
      <c r="B58" s="170"/>
      <c r="C58" s="170"/>
      <c r="D58" s="170"/>
      <c r="E58" s="170"/>
      <c r="F58" s="170"/>
      <c r="G58" s="170"/>
      <c r="H58" s="170"/>
      <c r="I58" s="170"/>
      <c r="J58" s="170"/>
      <c r="K58" s="170"/>
      <c r="L58" s="170"/>
    </row>
    <row r="59" spans="2:25" ht="18" customHeight="1" x14ac:dyDescent="0.25">
      <c r="B59" s="170"/>
      <c r="C59" s="170"/>
      <c r="D59" s="170"/>
      <c r="E59" s="170"/>
      <c r="F59" s="170"/>
      <c r="G59" s="208" t="s">
        <v>735</v>
      </c>
      <c r="H59" s="208"/>
      <c r="I59" s="208"/>
      <c r="J59" s="170"/>
      <c r="K59" s="170"/>
      <c r="L59" s="170"/>
    </row>
    <row r="60" spans="2:25" ht="18" customHeight="1" x14ac:dyDescent="0.25">
      <c r="E60" s="170"/>
      <c r="G60" s="167" t="s">
        <v>710</v>
      </c>
      <c r="H60" s="167" t="s">
        <v>736</v>
      </c>
      <c r="I60" s="167" t="s">
        <v>737</v>
      </c>
    </row>
    <row r="61" spans="2:25" ht="18" customHeight="1" x14ac:dyDescent="0.25">
      <c r="E61" s="170"/>
      <c r="G61" s="169" t="s">
        <v>720</v>
      </c>
      <c r="H61" s="168"/>
      <c r="I61" s="168"/>
    </row>
    <row r="62" spans="2:25" ht="18" customHeight="1" x14ac:dyDescent="0.25">
      <c r="E62" s="170"/>
      <c r="G62" s="169" t="s">
        <v>721</v>
      </c>
      <c r="H62" s="168" t="s">
        <v>171</v>
      </c>
      <c r="I62" s="168" t="s">
        <v>60</v>
      </c>
    </row>
    <row r="63" spans="2:25" ht="18" customHeight="1" x14ac:dyDescent="0.25">
      <c r="E63" s="170"/>
      <c r="G63" s="169" t="s">
        <v>722</v>
      </c>
      <c r="H63" s="168"/>
      <c r="I63" s="168"/>
    </row>
    <row r="64" spans="2:25" ht="18" customHeight="1" x14ac:dyDescent="0.25">
      <c r="E64" s="170"/>
      <c r="G64" s="169" t="s">
        <v>723</v>
      </c>
      <c r="H64" s="168"/>
      <c r="I64" s="168"/>
    </row>
    <row r="65" spans="2:12" ht="18" customHeight="1" x14ac:dyDescent="0.25">
      <c r="E65" s="170"/>
      <c r="G65" s="169" t="s">
        <v>724</v>
      </c>
      <c r="H65" s="168"/>
      <c r="I65" s="168"/>
    </row>
    <row r="66" spans="2:12" ht="18" customHeight="1" x14ac:dyDescent="0.25">
      <c r="E66" s="170"/>
      <c r="G66" s="169" t="s">
        <v>725</v>
      </c>
      <c r="H66" s="168"/>
      <c r="I66" s="168"/>
    </row>
    <row r="67" spans="2:12" ht="18" customHeight="1" x14ac:dyDescent="0.25">
      <c r="E67" s="170"/>
      <c r="G67" s="169" t="s">
        <v>726</v>
      </c>
      <c r="H67" s="168"/>
      <c r="I67" s="168"/>
    </row>
    <row r="68" spans="2:12" ht="18" customHeight="1" x14ac:dyDescent="0.25">
      <c r="E68" s="170"/>
      <c r="G68" s="169" t="s">
        <v>727</v>
      </c>
      <c r="H68" s="168"/>
      <c r="I68" s="168"/>
    </row>
    <row r="69" spans="2:12" ht="18" customHeight="1" x14ac:dyDescent="0.25">
      <c r="E69" s="170"/>
      <c r="G69" s="169" t="s">
        <v>728</v>
      </c>
      <c r="H69" s="168"/>
      <c r="I69" s="168"/>
    </row>
    <row r="70" spans="2:12" ht="18" customHeight="1" x14ac:dyDescent="0.25">
      <c r="E70" s="170"/>
      <c r="G70" s="169" t="s">
        <v>729</v>
      </c>
      <c r="H70" s="168"/>
      <c r="I70" s="168"/>
    </row>
    <row r="71" spans="2:12" ht="18" customHeight="1" x14ac:dyDescent="0.25">
      <c r="E71" s="170"/>
      <c r="I71" s="170"/>
    </row>
    <row r="74" spans="2:12" ht="15.75" thickBot="1" x14ac:dyDescent="0.3"/>
    <row r="75" spans="2:12" x14ac:dyDescent="0.25">
      <c r="B75" s="206" t="s">
        <v>738</v>
      </c>
      <c r="C75" s="207"/>
      <c r="E75" s="206" t="s">
        <v>741</v>
      </c>
      <c r="F75" s="207"/>
      <c r="H75" s="206" t="s">
        <v>740</v>
      </c>
      <c r="I75" s="207"/>
      <c r="K75" s="206" t="s">
        <v>742</v>
      </c>
      <c r="L75" s="207"/>
    </row>
    <row r="76" spans="2:12" x14ac:dyDescent="0.25">
      <c r="B76" s="148" t="s">
        <v>667</v>
      </c>
      <c r="C76" s="148" t="s">
        <v>739</v>
      </c>
      <c r="E76" s="148" t="s">
        <v>667</v>
      </c>
      <c r="F76" s="148" t="s">
        <v>739</v>
      </c>
      <c r="H76" s="148" t="s">
        <v>667</v>
      </c>
      <c r="I76" s="148" t="s">
        <v>739</v>
      </c>
      <c r="K76" s="148" t="s">
        <v>535</v>
      </c>
      <c r="L76" s="148" t="s">
        <v>739</v>
      </c>
    </row>
    <row r="77" spans="2:12" x14ac:dyDescent="0.25">
      <c r="B77" s="149" t="s">
        <v>678</v>
      </c>
      <c r="C77" s="149" t="str">
        <f>SUBSTITUTE(B77,"-","@")</f>
        <v>AXP@7842@MNO</v>
      </c>
      <c r="E77" s="149" t="s">
        <v>678</v>
      </c>
      <c r="F77" s="149">
        <f>FIND("A",E77)</f>
        <v>1</v>
      </c>
      <c r="H77" s="149" t="s">
        <v>678</v>
      </c>
      <c r="I77" s="149" t="str">
        <f>REPLACE(H77,5,4,2026)</f>
        <v>AXP-2026-MNO</v>
      </c>
      <c r="K77" s="149" t="s">
        <v>678</v>
      </c>
      <c r="L77" s="149">
        <f>SEARCH("o",K77)</f>
        <v>12</v>
      </c>
    </row>
    <row r="78" spans="2:12" x14ac:dyDescent="0.25">
      <c r="B78" s="149" t="s">
        <v>679</v>
      </c>
      <c r="C78" s="149" t="str">
        <f t="shared" ref="C78:C85" si="12">SUBSTITUTE(B78,"-","@")</f>
        <v>BTR@8492@KLM</v>
      </c>
      <c r="E78" s="149" t="s">
        <v>679</v>
      </c>
      <c r="F78" s="149" t="e">
        <f t="shared" ref="F78:F85" si="13">FIND("A",E78)</f>
        <v>#VALUE!</v>
      </c>
      <c r="H78" s="149" t="s">
        <v>679</v>
      </c>
      <c r="I78" s="149" t="str">
        <f t="shared" ref="I78:I85" si="14">REPLACE(H78,5,4,2026)</f>
        <v>BTR-2026-KLM</v>
      </c>
      <c r="K78" s="149" t="s">
        <v>679</v>
      </c>
      <c r="L78" s="149" t="e">
        <f t="shared" ref="L78:L85" si="15">SEARCH("o",K78)</f>
        <v>#VALUE!</v>
      </c>
    </row>
    <row r="79" spans="2:12" x14ac:dyDescent="0.25">
      <c r="B79" s="149" t="s">
        <v>680</v>
      </c>
      <c r="C79" s="149" t="str">
        <f t="shared" si="12"/>
        <v>COS@2345@YZQ</v>
      </c>
      <c r="E79" s="149" t="s">
        <v>680</v>
      </c>
      <c r="F79" s="149" t="e">
        <f t="shared" si="13"/>
        <v>#VALUE!</v>
      </c>
      <c r="H79" s="149" t="s">
        <v>680</v>
      </c>
      <c r="I79" s="149" t="str">
        <f t="shared" si="14"/>
        <v>COS-2026-YZQ</v>
      </c>
      <c r="K79" s="149" t="s">
        <v>680</v>
      </c>
      <c r="L79" s="149">
        <f t="shared" si="15"/>
        <v>2</v>
      </c>
    </row>
    <row r="80" spans="2:12" x14ac:dyDescent="0.25">
      <c r="B80" s="149" t="s">
        <v>681</v>
      </c>
      <c r="C80" s="149" t="str">
        <f t="shared" si="12"/>
        <v>DYN@6789@PQR</v>
      </c>
      <c r="E80" s="149" t="s">
        <v>681</v>
      </c>
      <c r="F80" s="149" t="e">
        <f t="shared" si="13"/>
        <v>#VALUE!</v>
      </c>
      <c r="H80" s="149" t="s">
        <v>681</v>
      </c>
      <c r="I80" s="149" t="str">
        <f t="shared" si="14"/>
        <v>DYN-2026-PQR</v>
      </c>
      <c r="K80" s="149" t="s">
        <v>681</v>
      </c>
      <c r="L80" s="149" t="e">
        <f t="shared" si="15"/>
        <v>#VALUE!</v>
      </c>
    </row>
    <row r="81" spans="2:12" x14ac:dyDescent="0.25">
      <c r="B81" s="149" t="s">
        <v>682</v>
      </c>
      <c r="C81" s="149" t="str">
        <f t="shared" si="12"/>
        <v>EIM@4532@ABC</v>
      </c>
      <c r="E81" s="149" t="s">
        <v>682</v>
      </c>
      <c r="F81" s="149">
        <f>FIND("A",E81)</f>
        <v>10</v>
      </c>
      <c r="H81" s="149" t="s">
        <v>682</v>
      </c>
      <c r="I81" s="149" t="str">
        <f t="shared" si="14"/>
        <v>EIM-2026-ABC</v>
      </c>
      <c r="K81" s="149" t="s">
        <v>682</v>
      </c>
      <c r="L81" s="149" t="e">
        <f t="shared" si="15"/>
        <v>#VALUE!</v>
      </c>
    </row>
    <row r="82" spans="2:12" x14ac:dyDescent="0.25">
      <c r="B82" s="149" t="s">
        <v>683</v>
      </c>
      <c r="C82" s="149" t="str">
        <f t="shared" si="12"/>
        <v>FVK@9102@DEF</v>
      </c>
      <c r="E82" s="149" t="s">
        <v>683</v>
      </c>
      <c r="F82" s="149" t="e">
        <f t="shared" si="13"/>
        <v>#VALUE!</v>
      </c>
      <c r="H82" s="149" t="s">
        <v>683</v>
      </c>
      <c r="I82" s="149" t="str">
        <f t="shared" si="14"/>
        <v>FVK-2026-DEF</v>
      </c>
      <c r="K82" s="149" t="s">
        <v>683</v>
      </c>
      <c r="L82" s="149" t="e">
        <f t="shared" si="15"/>
        <v>#VALUE!</v>
      </c>
    </row>
    <row r="83" spans="2:12" x14ac:dyDescent="0.25">
      <c r="B83" s="149" t="s">
        <v>684</v>
      </c>
      <c r="C83" s="149" t="str">
        <f t="shared" si="12"/>
        <v>GWL@3217@GHI</v>
      </c>
      <c r="E83" s="149" t="s">
        <v>684</v>
      </c>
      <c r="F83" s="149" t="e">
        <f t="shared" si="13"/>
        <v>#VALUE!</v>
      </c>
      <c r="H83" s="149" t="s">
        <v>684</v>
      </c>
      <c r="I83" s="149" t="str">
        <f t="shared" si="14"/>
        <v>GWL-2026-GHI</v>
      </c>
      <c r="K83" s="149" t="s">
        <v>684</v>
      </c>
      <c r="L83" s="149" t="e">
        <f t="shared" si="15"/>
        <v>#VALUE!</v>
      </c>
    </row>
    <row r="84" spans="2:12" x14ac:dyDescent="0.25">
      <c r="B84" s="149" t="s">
        <v>685</v>
      </c>
      <c r="C84" s="149" t="str">
        <f t="shared" si="12"/>
        <v>HZS@7654@JKL</v>
      </c>
      <c r="E84" s="149" t="s">
        <v>685</v>
      </c>
      <c r="F84" s="149" t="e">
        <f t="shared" si="13"/>
        <v>#VALUE!</v>
      </c>
      <c r="H84" s="149" t="s">
        <v>685</v>
      </c>
      <c r="I84" s="149" t="str">
        <f t="shared" si="14"/>
        <v>HZS-2026-JKL</v>
      </c>
      <c r="K84" s="149" t="s">
        <v>685</v>
      </c>
      <c r="L84" s="149" t="e">
        <f t="shared" si="15"/>
        <v>#VALUE!</v>
      </c>
    </row>
    <row r="85" spans="2:12" x14ac:dyDescent="0.25">
      <c r="B85" s="149" t="s">
        <v>686</v>
      </c>
      <c r="C85" s="149" t="str">
        <f t="shared" si="12"/>
        <v>JQP@1876@STU</v>
      </c>
      <c r="E85" s="149" t="s">
        <v>686</v>
      </c>
      <c r="F85" s="149" t="e">
        <f t="shared" si="13"/>
        <v>#VALUE!</v>
      </c>
      <c r="H85" s="149" t="s">
        <v>686</v>
      </c>
      <c r="I85" s="149" t="str">
        <f t="shared" si="14"/>
        <v>JQP-2026-STU</v>
      </c>
      <c r="K85" s="149" t="s">
        <v>686</v>
      </c>
      <c r="L85" s="149" t="e">
        <f t="shared" si="15"/>
        <v>#VALUE!</v>
      </c>
    </row>
    <row r="89" spans="2:12" ht="15.75" thickBot="1" x14ac:dyDescent="0.3"/>
    <row r="90" spans="2:12" ht="15.75" thickBot="1" x14ac:dyDescent="0.3">
      <c r="B90" s="206" t="s">
        <v>628</v>
      </c>
      <c r="C90" s="207"/>
    </row>
    <row r="91" spans="2:12" x14ac:dyDescent="0.25">
      <c r="B91" s="148" t="s">
        <v>743</v>
      </c>
      <c r="C91" s="148" t="s">
        <v>744</v>
      </c>
      <c r="D91" s="148" t="s">
        <v>745</v>
      </c>
      <c r="F91" s="206" t="s">
        <v>746</v>
      </c>
      <c r="G91" s="207"/>
      <c r="I91" s="206" t="s">
        <v>748</v>
      </c>
      <c r="J91" s="207"/>
    </row>
    <row r="92" spans="2:12" ht="30" x14ac:dyDescent="0.25">
      <c r="B92" s="183">
        <v>46309</v>
      </c>
      <c r="C92" s="149" t="str">
        <f>TEXT(B92,"D DDD")</f>
        <v>14 Wed</v>
      </c>
      <c r="D92" s="149" t="str">
        <f>TEXT(B92,"MMMM")</f>
        <v>October</v>
      </c>
      <c r="F92" s="209" t="s">
        <v>747</v>
      </c>
      <c r="G92" s="149">
        <f>VALUE(F92)</f>
        <v>12345</v>
      </c>
      <c r="I92" s="210" t="s">
        <v>749</v>
      </c>
      <c r="J92" s="149" t="str">
        <f>CLEAN(I92)</f>
        <v>OneebArif</v>
      </c>
    </row>
    <row r="93" spans="2:12" x14ac:dyDescent="0.25">
      <c r="B93" s="183">
        <v>46310</v>
      </c>
      <c r="C93" s="149" t="str">
        <f t="shared" ref="C93:D100" si="16">TEXT(B93,"DDDD")</f>
        <v>Thursday</v>
      </c>
      <c r="D93" s="149" t="str">
        <f t="shared" ref="D93:D100" si="17">TEXT(B93,"MMMM")</f>
        <v>October</v>
      </c>
    </row>
    <row r="94" spans="2:12" x14ac:dyDescent="0.25">
      <c r="B94" s="183">
        <v>46311</v>
      </c>
      <c r="C94" s="149" t="str">
        <f t="shared" si="16"/>
        <v>Friday</v>
      </c>
      <c r="D94" s="149" t="str">
        <f t="shared" si="17"/>
        <v>October</v>
      </c>
    </row>
    <row r="95" spans="2:12" x14ac:dyDescent="0.25">
      <c r="B95" s="183">
        <v>46312</v>
      </c>
      <c r="C95" s="149" t="str">
        <f t="shared" si="16"/>
        <v>Saturday</v>
      </c>
      <c r="D95" s="149" t="str">
        <f t="shared" si="17"/>
        <v>October</v>
      </c>
    </row>
    <row r="96" spans="2:12" ht="15.75" thickBot="1" x14ac:dyDescent="0.3">
      <c r="B96" s="183">
        <v>46313</v>
      </c>
      <c r="C96" s="149" t="str">
        <f t="shared" si="16"/>
        <v>Sunday</v>
      </c>
      <c r="D96" s="149" t="str">
        <f t="shared" si="17"/>
        <v>October</v>
      </c>
    </row>
    <row r="97" spans="2:10" x14ac:dyDescent="0.25">
      <c r="B97" s="183">
        <v>46314</v>
      </c>
      <c r="C97" s="149" t="str">
        <f t="shared" si="16"/>
        <v>Monday</v>
      </c>
      <c r="D97" s="149" t="str">
        <f t="shared" si="17"/>
        <v>October</v>
      </c>
      <c r="F97" s="206" t="s">
        <v>637</v>
      </c>
      <c r="G97" s="207"/>
      <c r="I97" s="206" t="s">
        <v>641</v>
      </c>
      <c r="J97" s="207"/>
    </row>
    <row r="98" spans="2:10" x14ac:dyDescent="0.25">
      <c r="B98" s="183">
        <v>46315</v>
      </c>
      <c r="C98" s="149" t="str">
        <f t="shared" si="16"/>
        <v>Tuesday</v>
      </c>
      <c r="D98" s="149" t="str">
        <f t="shared" si="17"/>
        <v>October</v>
      </c>
      <c r="F98" s="209" t="s">
        <v>750</v>
      </c>
      <c r="G98" s="149" t="str">
        <f>CHAR(F98)</f>
        <v>A</v>
      </c>
      <c r="I98" s="209" t="s">
        <v>751</v>
      </c>
      <c r="J98" s="149" t="str">
        <f>REPT(I98,5)</f>
        <v>%$%$%$%$%$</v>
      </c>
    </row>
    <row r="99" spans="2:10" x14ac:dyDescent="0.25">
      <c r="B99" s="183">
        <v>46316</v>
      </c>
      <c r="C99" s="149" t="str">
        <f t="shared" si="16"/>
        <v>Wednesday</v>
      </c>
      <c r="D99" s="149" t="str">
        <f t="shared" si="17"/>
        <v>October</v>
      </c>
    </row>
    <row r="100" spans="2:10" x14ac:dyDescent="0.25">
      <c r="B100" s="183">
        <v>46317</v>
      </c>
      <c r="C100" s="149" t="str">
        <f t="shared" si="16"/>
        <v>Thursday</v>
      </c>
      <c r="D100" s="149" t="str">
        <f t="shared" si="17"/>
        <v>October</v>
      </c>
    </row>
  </sheetData>
  <mergeCells count="24">
    <mergeCell ref="F97:G97"/>
    <mergeCell ref="I97:J97"/>
    <mergeCell ref="W45:Y45"/>
    <mergeCell ref="B32:C32"/>
    <mergeCell ref="E32:F32"/>
    <mergeCell ref="H32:I32"/>
    <mergeCell ref="E2:F2"/>
    <mergeCell ref="B2:C2"/>
    <mergeCell ref="H2:I2"/>
    <mergeCell ref="B16:C16"/>
    <mergeCell ref="E16:F16"/>
    <mergeCell ref="B45:D45"/>
    <mergeCell ref="G45:I45"/>
    <mergeCell ref="K45:M45"/>
    <mergeCell ref="O45:Q45"/>
    <mergeCell ref="S45:U45"/>
    <mergeCell ref="B90:C90"/>
    <mergeCell ref="G59:I59"/>
    <mergeCell ref="B75:C75"/>
    <mergeCell ref="E75:F75"/>
    <mergeCell ref="K75:L75"/>
    <mergeCell ref="H75:I75"/>
    <mergeCell ref="F91:G91"/>
    <mergeCell ref="I91:J9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 Data</vt:lpstr>
      <vt:lpstr>Formulaes</vt:lpstr>
      <vt:lpstr>Mark Sheet</vt:lpstr>
      <vt:lpstr>Clipboard</vt:lpstr>
      <vt:lpstr>Sales Data</vt:lpstr>
      <vt:lpstr>Filter</vt:lpstr>
      <vt:lpstr>Table</vt:lpstr>
      <vt:lpstr>fill</vt:lpstr>
      <vt:lpstr>Go to Special</vt:lpstr>
      <vt:lpstr>Paste Special With Find&amp;Replace</vt:lpstr>
      <vt:lpstr>Clear</vt:lpstr>
      <vt:lpstr>Cell Referencing</vt:lpstr>
      <vt:lpstr>Text Formulas Notes</vt:lpstr>
      <vt:lpstr>Text Formulas Practice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ONEEB</cp:lastModifiedBy>
  <cp:lastPrinted>2026-10-14T17:49:27Z</cp:lastPrinted>
  <dcterms:created xsi:type="dcterms:W3CDTF">2026-10-09T15:26:40Z</dcterms:created>
  <dcterms:modified xsi:type="dcterms:W3CDTF">2026-10-14T18:32:37Z</dcterms:modified>
</cp:coreProperties>
</file>