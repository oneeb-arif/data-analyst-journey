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09\"/>
    </mc:Choice>
  </mc:AlternateContent>
  <xr:revisionPtr revIDLastSave="0" documentId="13_ncr:1_{FD492517-8D0B-45A6-86F7-8FD18781B252}" xr6:coauthVersionLast="47" xr6:coauthVersionMax="47" xr10:uidLastSave="{00000000-0000-0000-0000-000000000000}"/>
  <bookViews>
    <workbookView xWindow="1125" yWindow="1125" windowWidth="21600" windowHeight="11835" tabRatio="678" firstSheet="17" activeTab="18"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Sheet1" sheetId="18" r:id="rId11"/>
    <sheet name="Clear" sheetId="12" r:id="rId12"/>
    <sheet name="Cell Referencing" sheetId="13" r:id="rId13"/>
    <sheet name="Text Formulas Notes" sheetId="14" r:id="rId14"/>
    <sheet name="Text Formulas Practice" sheetId="15" r:id="rId15"/>
    <sheet name="Statistical Formulas Notes" sheetId="16" r:id="rId16"/>
    <sheet name="Statistical Formulas Practice" sheetId="17" r:id="rId17"/>
    <sheet name="Date &amp; Time Formulas Notes" sheetId="20" r:id="rId18"/>
    <sheet name="Date &amp; Time Practice" sheetId="21" r:id="rId19"/>
  </sheets>
  <definedNames>
    <definedName name="_xlnm._FilterDatabase" localSheetId="5" hidden="1">Filter!$A$1:$F$38</definedName>
    <definedName name="Slicer_Department">#N/A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0"/>
        <x14:slicerCache r:id="rId2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21" l="1"/>
  <c r="D5" i="21"/>
  <c r="C120" i="21"/>
  <c r="D120" i="21" s="1"/>
  <c r="C119" i="21"/>
  <c r="D119" i="21" s="1"/>
  <c r="F99" i="21"/>
  <c r="F100" i="21"/>
  <c r="F101" i="21"/>
  <c r="F102" i="21"/>
  <c r="F103" i="21"/>
  <c r="F104" i="21"/>
  <c r="F105" i="21"/>
  <c r="F106" i="21"/>
  <c r="F107" i="21"/>
  <c r="F108" i="21"/>
  <c r="F109" i="21"/>
  <c r="F110" i="21"/>
  <c r="F111" i="21"/>
  <c r="F112" i="21"/>
  <c r="F113" i="21"/>
  <c r="F114" i="21"/>
  <c r="F115" i="21"/>
  <c r="F98" i="21"/>
  <c r="E98" i="21"/>
  <c r="E99" i="21"/>
  <c r="E100" i="21"/>
  <c r="E101" i="21"/>
  <c r="E102" i="21"/>
  <c r="E103" i="21"/>
  <c r="E104" i="21"/>
  <c r="E105" i="21"/>
  <c r="E106" i="21"/>
  <c r="E107" i="21"/>
  <c r="E108" i="21"/>
  <c r="E109" i="21"/>
  <c r="E110" i="21"/>
  <c r="E111" i="21"/>
  <c r="E112" i="21"/>
  <c r="E113" i="21"/>
  <c r="E114" i="21"/>
  <c r="E115" i="21"/>
  <c r="D99" i="21"/>
  <c r="D100" i="21"/>
  <c r="D101" i="21"/>
  <c r="D102" i="21"/>
  <c r="D103" i="21"/>
  <c r="D104" i="21"/>
  <c r="D105" i="21"/>
  <c r="D106" i="21"/>
  <c r="D107" i="21"/>
  <c r="D108" i="21"/>
  <c r="D109" i="21"/>
  <c r="D110" i="21"/>
  <c r="D111" i="21"/>
  <c r="D112" i="21"/>
  <c r="D113" i="21"/>
  <c r="D114" i="21"/>
  <c r="D115" i="21"/>
  <c r="D98" i="21"/>
  <c r="G79" i="21"/>
  <c r="G78" i="21"/>
  <c r="F78" i="21"/>
  <c r="F79" i="21"/>
  <c r="F80" i="21"/>
  <c r="F81" i="21"/>
  <c r="F82" i="21"/>
  <c r="F83" i="21"/>
  <c r="F84" i="21"/>
  <c r="F85" i="21"/>
  <c r="F86" i="21"/>
  <c r="F87" i="21"/>
  <c r="F88" i="21"/>
  <c r="F89" i="21"/>
  <c r="F90" i="21"/>
  <c r="F91" i="21"/>
  <c r="F92" i="21"/>
  <c r="F93" i="21"/>
  <c r="F94" i="21"/>
  <c r="F77" i="21"/>
  <c r="G80" i="21"/>
  <c r="G81" i="21"/>
  <c r="G82" i="21"/>
  <c r="G83" i="21"/>
  <c r="G84" i="21"/>
  <c r="G85" i="21"/>
  <c r="G86" i="21"/>
  <c r="G87" i="21"/>
  <c r="G88" i="21"/>
  <c r="G89" i="21"/>
  <c r="G90" i="21"/>
  <c r="G91" i="21"/>
  <c r="G92" i="21"/>
  <c r="G93" i="21"/>
  <c r="G94" i="21"/>
  <c r="G77" i="21"/>
  <c r="E77" i="21"/>
  <c r="E78" i="21"/>
  <c r="E79" i="21"/>
  <c r="E80" i="21"/>
  <c r="E81" i="21"/>
  <c r="E82" i="21"/>
  <c r="E83" i="21"/>
  <c r="E84" i="21"/>
  <c r="E85" i="21"/>
  <c r="E86" i="21"/>
  <c r="E87" i="21"/>
  <c r="E88" i="21"/>
  <c r="E89" i="21"/>
  <c r="E90" i="21"/>
  <c r="E91" i="21"/>
  <c r="E92" i="21"/>
  <c r="E93" i="21"/>
  <c r="E94" i="21"/>
  <c r="D78" i="21"/>
  <c r="D79" i="21"/>
  <c r="D80" i="21"/>
  <c r="D81" i="21"/>
  <c r="D82" i="21"/>
  <c r="D83" i="21"/>
  <c r="D84" i="21"/>
  <c r="D85" i="21"/>
  <c r="D86" i="21"/>
  <c r="D87" i="21"/>
  <c r="D88" i="21"/>
  <c r="D89" i="21"/>
  <c r="D90" i="21"/>
  <c r="D91" i="21"/>
  <c r="D92" i="21"/>
  <c r="D93" i="21"/>
  <c r="D94" i="21"/>
  <c r="D77" i="21"/>
  <c r="E55" i="21"/>
  <c r="E56" i="21"/>
  <c r="E57" i="21"/>
  <c r="E58" i="21"/>
  <c r="E59" i="21"/>
  <c r="E60" i="21"/>
  <c r="E61" i="21"/>
  <c r="E62" i="21"/>
  <c r="E63" i="21"/>
  <c r="E64" i="21"/>
  <c r="E65" i="21"/>
  <c r="E66" i="21"/>
  <c r="E67" i="21"/>
  <c r="E68" i="21"/>
  <c r="E69" i="21"/>
  <c r="E70" i="21"/>
  <c r="E71" i="21"/>
  <c r="E54" i="21"/>
  <c r="I55" i="21"/>
  <c r="I56" i="21"/>
  <c r="I57" i="21"/>
  <c r="I58" i="21"/>
  <c r="I59" i="21"/>
  <c r="I60" i="21"/>
  <c r="I61" i="21"/>
  <c r="I62" i="21"/>
  <c r="I63" i="21"/>
  <c r="I64" i="21"/>
  <c r="I65" i="21"/>
  <c r="I66" i="21"/>
  <c r="I67" i="21"/>
  <c r="I68" i="21"/>
  <c r="I69" i="21"/>
  <c r="I70" i="21"/>
  <c r="I71" i="21"/>
  <c r="I54" i="21"/>
  <c r="D55" i="21"/>
  <c r="D56" i="21"/>
  <c r="D57" i="21"/>
  <c r="D58" i="21"/>
  <c r="D59" i="21"/>
  <c r="D60" i="21"/>
  <c r="D61" i="21"/>
  <c r="D62" i="21"/>
  <c r="D63" i="21"/>
  <c r="D64" i="21"/>
  <c r="D65" i="21"/>
  <c r="D66" i="21"/>
  <c r="D67" i="21"/>
  <c r="D68" i="21"/>
  <c r="D69" i="21"/>
  <c r="D70" i="21"/>
  <c r="D71" i="21"/>
  <c r="H55" i="21"/>
  <c r="H56" i="21"/>
  <c r="H57" i="21"/>
  <c r="H58" i="21"/>
  <c r="H59" i="21"/>
  <c r="H60" i="21"/>
  <c r="H61" i="21"/>
  <c r="H62" i="21"/>
  <c r="H63" i="21"/>
  <c r="H64" i="21"/>
  <c r="H65" i="21"/>
  <c r="H66" i="21"/>
  <c r="H67" i="21"/>
  <c r="H68" i="21"/>
  <c r="H69" i="21"/>
  <c r="H70" i="21"/>
  <c r="H71" i="21"/>
  <c r="D54" i="21"/>
  <c r="H54" i="21"/>
  <c r="G54" i="21"/>
  <c r="G55" i="21"/>
  <c r="G56" i="21"/>
  <c r="G57" i="21"/>
  <c r="G58" i="21"/>
  <c r="G59" i="21"/>
  <c r="G60" i="21"/>
  <c r="G61" i="21"/>
  <c r="G62" i="21"/>
  <c r="G63" i="21"/>
  <c r="G64" i="21"/>
  <c r="G65" i="21"/>
  <c r="G66" i="21"/>
  <c r="G67" i="21"/>
  <c r="G68" i="21"/>
  <c r="G69" i="21"/>
  <c r="G70" i="21"/>
  <c r="G71" i="21"/>
  <c r="F54" i="21"/>
  <c r="F55" i="21"/>
  <c r="F56" i="21"/>
  <c r="F57" i="21"/>
  <c r="F58" i="21"/>
  <c r="F59" i="21"/>
  <c r="F60" i="21"/>
  <c r="F61" i="21"/>
  <c r="F62" i="21"/>
  <c r="F63" i="21"/>
  <c r="F64" i="21"/>
  <c r="F65" i="21"/>
  <c r="F66" i="21"/>
  <c r="F67" i="21"/>
  <c r="F68" i="21"/>
  <c r="F69" i="21"/>
  <c r="F70" i="21"/>
  <c r="F71" i="21"/>
  <c r="F33" i="21"/>
  <c r="F34" i="21"/>
  <c r="F35" i="21"/>
  <c r="F36" i="21"/>
  <c r="F37" i="21"/>
  <c r="F38" i="21"/>
  <c r="F39" i="21"/>
  <c r="F40" i="21"/>
  <c r="F41" i="21"/>
  <c r="F42" i="21"/>
  <c r="F43" i="21"/>
  <c r="F44" i="21"/>
  <c r="F45" i="21"/>
  <c r="F46" i="21"/>
  <c r="F47" i="21"/>
  <c r="F48" i="21"/>
  <c r="F49" i="21"/>
  <c r="F32" i="21"/>
  <c r="B33" i="21"/>
  <c r="C33" i="21" s="1"/>
  <c r="B34" i="21"/>
  <c r="C34" i="21" s="1"/>
  <c r="B35" i="21"/>
  <c r="C35" i="21" s="1"/>
  <c r="B36" i="21"/>
  <c r="C36" i="21" s="1"/>
  <c r="B37" i="21"/>
  <c r="C37" i="21" s="1"/>
  <c r="B38" i="21"/>
  <c r="C38" i="21" s="1"/>
  <c r="B39" i="21"/>
  <c r="C39" i="21" s="1"/>
  <c r="B40" i="21"/>
  <c r="C40" i="21" s="1"/>
  <c r="B41" i="21"/>
  <c r="C41" i="21" s="1"/>
  <c r="B42" i="21"/>
  <c r="C42" i="21" s="1"/>
  <c r="B43" i="21"/>
  <c r="C43" i="21" s="1"/>
  <c r="B44" i="21"/>
  <c r="C44" i="21" s="1"/>
  <c r="B45" i="21"/>
  <c r="C45" i="21" s="1"/>
  <c r="B46" i="21"/>
  <c r="C46" i="21" s="1"/>
  <c r="B47" i="21"/>
  <c r="C47" i="21" s="1"/>
  <c r="B48" i="21"/>
  <c r="C48" i="21" s="1"/>
  <c r="B49" i="21"/>
  <c r="C49" i="21" s="1"/>
  <c r="B32" i="21"/>
  <c r="C32" i="21" s="1"/>
  <c r="F11" i="21"/>
  <c r="F12" i="21"/>
  <c r="F13" i="21"/>
  <c r="F14" i="21"/>
  <c r="F15" i="21"/>
  <c r="F16" i="21"/>
  <c r="F17" i="21"/>
  <c r="F18" i="21"/>
  <c r="F19" i="21"/>
  <c r="F20" i="21"/>
  <c r="F21" i="21"/>
  <c r="F22" i="21"/>
  <c r="F23" i="21"/>
  <c r="F24" i="21"/>
  <c r="F25" i="21"/>
  <c r="F26" i="21"/>
  <c r="F27" i="21"/>
  <c r="F10" i="21"/>
  <c r="E11" i="21"/>
  <c r="E12" i="21"/>
  <c r="E13" i="21"/>
  <c r="E14" i="21"/>
  <c r="E15" i="21"/>
  <c r="E16" i="21"/>
  <c r="E17" i="21"/>
  <c r="E18" i="21"/>
  <c r="E19" i="21"/>
  <c r="E20" i="21"/>
  <c r="E21" i="21"/>
  <c r="E22" i="21"/>
  <c r="E23" i="21"/>
  <c r="E24" i="21"/>
  <c r="E25" i="21"/>
  <c r="E26" i="21"/>
  <c r="E27" i="21"/>
  <c r="E10" i="21"/>
  <c r="D15" i="21"/>
  <c r="D16" i="21"/>
  <c r="D17" i="21"/>
  <c r="D18" i="21"/>
  <c r="D19" i="21"/>
  <c r="D20" i="21"/>
  <c r="D21" i="21"/>
  <c r="D22" i="21"/>
  <c r="D23" i="21"/>
  <c r="D24" i="21"/>
  <c r="D25" i="21"/>
  <c r="D26" i="21"/>
  <c r="D27" i="21"/>
  <c r="D14" i="21"/>
  <c r="D11" i="21"/>
  <c r="D12" i="21"/>
  <c r="D13" i="21"/>
  <c r="D10" i="21"/>
  <c r="C11" i="21"/>
  <c r="C12" i="21"/>
  <c r="C13" i="21"/>
  <c r="C14" i="21"/>
  <c r="C15" i="21"/>
  <c r="C16" i="21"/>
  <c r="C17" i="21"/>
  <c r="C18" i="21"/>
  <c r="C19" i="21"/>
  <c r="C20" i="21"/>
  <c r="C21" i="21"/>
  <c r="C22" i="21"/>
  <c r="C23" i="21"/>
  <c r="C24" i="21"/>
  <c r="C25" i="21"/>
  <c r="C26" i="21"/>
  <c r="C27" i="21"/>
  <c r="C10" i="21"/>
  <c r="D4" i="21"/>
  <c r="P48" i="17"/>
  <c r="P49" i="17"/>
  <c r="P50" i="17"/>
  <c r="P51" i="17"/>
  <c r="P52" i="17"/>
  <c r="P53" i="17"/>
  <c r="P54" i="17"/>
  <c r="P55" i="17"/>
  <c r="P56" i="17"/>
  <c r="P47" i="17"/>
  <c r="O48" i="17"/>
  <c r="O49" i="17"/>
  <c r="O50" i="17"/>
  <c r="O51" i="17"/>
  <c r="O52" i="17"/>
  <c r="O53" i="17"/>
  <c r="O54" i="17"/>
  <c r="O55" i="17"/>
  <c r="O56" i="17"/>
  <c r="O47" i="17"/>
  <c r="N48" i="17"/>
  <c r="N49" i="17"/>
  <c r="N50" i="17"/>
  <c r="N51" i="17"/>
  <c r="N52" i="17"/>
  <c r="N53" i="17"/>
  <c r="N54" i="17"/>
  <c r="N55" i="17"/>
  <c r="N56" i="17"/>
  <c r="N47" i="17"/>
  <c r="M48" i="17"/>
  <c r="M49" i="17"/>
  <c r="M50" i="17"/>
  <c r="M51" i="17"/>
  <c r="M52" i="17"/>
  <c r="M53" i="17"/>
  <c r="M54" i="17"/>
  <c r="M55" i="17"/>
  <c r="M56" i="17"/>
  <c r="M47" i="17"/>
  <c r="L48" i="17"/>
  <c r="L49" i="17"/>
  <c r="L50" i="17"/>
  <c r="L51" i="17"/>
  <c r="L52" i="17"/>
  <c r="L53" i="17"/>
  <c r="L54" i="17"/>
  <c r="L55" i="17"/>
  <c r="L56" i="17"/>
  <c r="L47" i="17"/>
  <c r="N34" i="17"/>
  <c r="N35" i="17"/>
  <c r="N36" i="17"/>
  <c r="N37" i="17"/>
  <c r="N38" i="17"/>
  <c r="N39" i="17"/>
  <c r="N40" i="17"/>
  <c r="N41" i="17"/>
  <c r="N42" i="17"/>
  <c r="N33" i="17"/>
  <c r="M34" i="17"/>
  <c r="M35" i="17"/>
  <c r="M36" i="17"/>
  <c r="M37" i="17"/>
  <c r="M38" i="17"/>
  <c r="M39" i="17"/>
  <c r="M40" i="17"/>
  <c r="M41" i="17"/>
  <c r="M42" i="17"/>
  <c r="M33" i="17"/>
  <c r="L34" i="17"/>
  <c r="L35" i="17"/>
  <c r="L36" i="17"/>
  <c r="L37" i="17"/>
  <c r="L38" i="17"/>
  <c r="L39" i="17"/>
  <c r="L40" i="17"/>
  <c r="L41" i="17"/>
  <c r="L42" i="17"/>
  <c r="L33" i="17"/>
  <c r="M20" i="17"/>
  <c r="M21" i="17"/>
  <c r="M22" i="17"/>
  <c r="M23" i="17"/>
  <c r="M24" i="17"/>
  <c r="M25" i="17"/>
  <c r="M26" i="17"/>
  <c r="M27" i="17"/>
  <c r="M28" i="17"/>
  <c r="M19" i="17"/>
  <c r="L20" i="17"/>
  <c r="L21" i="17"/>
  <c r="L22" i="17"/>
  <c r="L23" i="17"/>
  <c r="L24" i="17"/>
  <c r="L25" i="17"/>
  <c r="L26" i="17"/>
  <c r="L27" i="17"/>
  <c r="L28" i="17"/>
  <c r="L19" i="17"/>
  <c r="H20" i="17"/>
  <c r="H21" i="17"/>
  <c r="H22" i="17"/>
  <c r="H23" i="17"/>
  <c r="H24" i="17"/>
  <c r="H25" i="17"/>
  <c r="H26" i="17"/>
  <c r="H27" i="17"/>
  <c r="H28" i="17"/>
  <c r="H19" i="17"/>
  <c r="H33" i="17"/>
  <c r="H34" i="17"/>
  <c r="H35" i="17"/>
  <c r="H36" i="17"/>
  <c r="H37" i="17"/>
  <c r="H38" i="17"/>
  <c r="H39" i="17"/>
  <c r="H40" i="17"/>
  <c r="H41" i="17"/>
  <c r="H32" i="17"/>
  <c r="H6" i="17"/>
  <c r="H7" i="17"/>
  <c r="H8" i="17"/>
  <c r="H9" i="17"/>
  <c r="H10" i="17"/>
  <c r="H11" i="17"/>
  <c r="H12" i="17"/>
  <c r="H13" i="17"/>
  <c r="H14" i="17"/>
  <c r="H5" i="17"/>
  <c r="H45" i="17" a="1"/>
  <c r="H45" i="17" s="1"/>
  <c r="B31" i="17" a="1"/>
  <c r="B31" i="17" s="1"/>
  <c r="B1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4" i="17"/>
  <c r="C4" i="17"/>
  <c r="D4" i="17"/>
  <c r="B5" i="17"/>
  <c r="C5" i="17"/>
  <c r="D5" i="17"/>
  <c r="B6" i="17"/>
  <c r="C6" i="17"/>
  <c r="D6" i="17"/>
  <c r="B7" i="17"/>
  <c r="C7" i="17"/>
  <c r="D7" i="17"/>
  <c r="B8" i="17"/>
  <c r="C8" i="17"/>
  <c r="D8" i="17"/>
  <c r="B9" i="17"/>
  <c r="C9" i="17"/>
  <c r="D9" i="17"/>
  <c r="B10" i="17"/>
  <c r="C10" i="17"/>
  <c r="D10" i="17"/>
  <c r="B11" i="17"/>
  <c r="C11" i="17"/>
  <c r="D11" i="17"/>
  <c r="B12" i="17"/>
  <c r="C12" i="17"/>
  <c r="D12" i="17"/>
  <c r="B13" i="17"/>
  <c r="C13" i="17"/>
  <c r="D13" i="17"/>
  <c r="J98" i="15"/>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E120" i="21" l="1"/>
  <c r="E119" i="21"/>
  <c r="G10" i="21"/>
  <c r="G12" i="21"/>
  <c r="G17" i="21"/>
  <c r="G25" i="21"/>
  <c r="G20" i="21"/>
  <c r="G15" i="21"/>
  <c r="G24" i="21"/>
  <c r="G16" i="21"/>
  <c r="G23" i="21"/>
  <c r="G22" i="21"/>
  <c r="G14" i="21"/>
  <c r="G21" i="21"/>
  <c r="G13" i="21"/>
  <c r="G27" i="21"/>
  <c r="G19" i="21"/>
  <c r="G11" i="21"/>
  <c r="G26" i="21"/>
  <c r="G18" i="21"/>
  <c r="E48" i="21"/>
  <c r="E40" i="21"/>
  <c r="E47" i="21"/>
  <c r="E39" i="21"/>
  <c r="E46" i="21"/>
  <c r="E38" i="21"/>
  <c r="E45" i="21"/>
  <c r="E37" i="21"/>
  <c r="E44" i="21"/>
  <c r="E36" i="21"/>
  <c r="E43" i="21"/>
  <c r="E35" i="21"/>
  <c r="E42" i="21"/>
  <c r="E34" i="21"/>
  <c r="E49" i="21"/>
  <c r="E41" i="21"/>
  <c r="E33" i="21"/>
  <c r="D47" i="21"/>
  <c r="D39" i="21"/>
  <c r="E32" i="21"/>
  <c r="D48" i="21"/>
  <c r="D40" i="21"/>
  <c r="D46" i="21"/>
  <c r="D38" i="21"/>
  <c r="D45" i="21"/>
  <c r="D37" i="21"/>
  <c r="D44" i="21"/>
  <c r="D36" i="21"/>
  <c r="D43" i="21"/>
  <c r="D35" i="21"/>
  <c r="D42" i="21"/>
  <c r="D34" i="21"/>
  <c r="D49" i="21"/>
  <c r="D41" i="21"/>
  <c r="D33" i="21"/>
  <c r="D32" i="21"/>
  <c r="I41" i="13"/>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G32" i="21" l="1"/>
  <c r="G48" i="21"/>
  <c r="G33" i="21"/>
  <c r="G44" i="21"/>
  <c r="G36" i="21"/>
  <c r="G42" i="21"/>
  <c r="G46" i="21"/>
  <c r="G35" i="21"/>
  <c r="G40" i="21"/>
  <c r="G39" i="21"/>
  <c r="G43" i="21"/>
  <c r="G47" i="21"/>
  <c r="G34" i="21"/>
  <c r="G38" i="21"/>
  <c r="G41" i="21"/>
  <c r="G37" i="21"/>
  <c r="G49" i="21"/>
  <c r="G45" i="21"/>
  <c r="E7" i="2"/>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<sst xmlns="http://schemas.openxmlformats.org/spreadsheetml/2006/main" count="4593" uniqueCount="1075">
  <si>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</si>
  <si>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</si>
  <si>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</si>
  <si>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</si>
  <si>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</si>
  <si>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</si>
  <si>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</si>
  <si>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</si>
  <si>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</si>
  <si>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</si>
  <si>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</si>
  <si>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</si>
  <si>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</si>
  <si>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</si>
  <si>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</si>
  <si>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</si>
  <si>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</si>
  <si>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</si>
  <si>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</si>
  <si>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</si>
  <si>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</si>
  <si>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</si>
  <si>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</si>
  <si>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</si>
  <si>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</si>
  <si>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</si>
  <si>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</si>
  <si>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</si>
  <si>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</si>
  <si>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</si>
  <si>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</si>
  <si>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</si>
  <si>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</si>
  <si>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</si>
  <si>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</si>
  <si>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</si>
  <si>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</si>
  <si>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</si>
  <si>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</si>
  <si>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</si>
  <si>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</si>
  <si>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</si>
  <si>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</si>
  <si>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</si>
  <si>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</si>
  <si>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</si>
  <si>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</si>
  <si>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</si>
  <si>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</si>
  <si>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</si>
  <si>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</si>
  <si>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</si>
  <si>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</si>
  <si>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</si>
  <si>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</si>
  <si>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</si>
  <si>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</si>
  <si>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</si>
  <si>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</si>
  <si>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</si>
  <si>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</si>
  <si>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</si>
  <si>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</si>
  <si>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</si>
  <si>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</si>
  <si>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</si>
  <si>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</si>
  <si>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</si>
  <si>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</si>
  <si>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</si>
  <si>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</si>
  <si>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</si>
  <si>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</si>
  <si>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</si>
  <si>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</si>
  <si>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</si>
  <si>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</si>
  <si>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</si>
  <si>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</si>
  <si>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</si>
  <si>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</si>
  <si>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</si>
  <si>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</si>
  <si>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</si>
  <si>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</si>
  <si>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</si>
  <si>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</si>
  <si>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</si>
  <si>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</si>
  <si>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</si>
  <si>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</si>
  <si>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</si>
  <si>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</si>
  <si>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</si>
  <si>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</si>
  <si>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</si>
  <si>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</si>
  <si>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</si>
  <si>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</si>
  <si>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</si>
  <si>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</si>
  <si>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</si>
  <si>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</si>
  <si>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</si>
  <si>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</si>
  <si>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</si>
  <si>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</si>
  <si>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</si>
  <si>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</si>
  <si>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</si>
  <si>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</si>
  <si>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</si>
  <si>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</si>
  <si>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</si>
  <si>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</si>
  <si>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</si>
  <si>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</si>
  <si>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</si>
  <si>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</si>
  <si>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</si>
  <si>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</si>
  <si>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</si>
  <si>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</si>
  <si>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</si>
  <si>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</si>
  <si>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</si>
  <si>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</si>
  <si>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</si>
  <si>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</si>
  <si>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</si>
  <si>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</si>
  <si>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</si>
  <si>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</si>
  <si>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</si>
  <si>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</si>
  <si>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</si>
  <si>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</si>
  <si>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</si>
  <si>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</si>
  <si>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</si>
  <si>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</si>
  <si>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</si>
  <si>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</si>
  <si>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</si>
  <si>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</si>
  <si>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</si>
  <si>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</si>
  <si>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</si>
  <si>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</si>
  <si>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</si>
  <si>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</si>
  <si>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</si>
  <si>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</si>
  <si>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</si>
  <si>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</si>
  <si>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</si>
  <si>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</si>
  <si>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</si>
  <si>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</si>
  <si>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</si>
  <si>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</si>
  <si>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</si>
  <si>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</si>
  <si>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</si>
  <si>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</si>
  <si>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</si>
  <si>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</si>
  <si>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</si>
  <si>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</si>
  <si>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</si>
  <si>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</si>
  <si>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</si>
  <si>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</si>
  <si>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</si>
  <si>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</si>
  <si>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</si>
  <si>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</si>
  <si>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</si>
  <si>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</si>
  <si>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</si>
  <si>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</si>
  <si>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</si>
  <si>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</si>
  <si>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</si>
  <si>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</si>
  <si>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</si>
  <si>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</si>
  <si>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</si>
  <si>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</si>
  <si>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</si>
  <si>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</si>
  <si>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</si>
  <si>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</si>
  <si>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</si>
  <si>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</si>
  <si>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</si>
  <si>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</si>
  <si>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</si>
  <si>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</si>
  <si>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</si>
  <si>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</si>
  <si>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</si>
  <si>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</si>
  <si>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</si>
  <si>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</si>
  <si>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</si>
  <si>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</si>
  <si>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</si>
  <si>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</si>
  <si>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</si>
  <si>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</si>
  <si>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</si>
  <si>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</si>
  <si>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</si>
  <si>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</si>
  <si>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</si>
  <si>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</si>
  <si>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</si>
  <si>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</si>
  <si>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</si>
  <si>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</si>
  <si>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</si>
  <si>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</si>
  <si>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</si>
  <si>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</si>
  <si>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</si>
  <si>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</si>
  <si>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</si>
  <si>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</si>
  <si>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</si>
  <si>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</si>
  <si>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</si>
  <si>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</si>
  <si>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</si>
  <si>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</si>
  <si>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</si>
  <si>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</si>
  <si>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</si>
  <si>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</si>
  <si>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</si>
  <si>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</si>
  <si>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</si>
  <si>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</si>
  <si>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</si>
  <si>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</si>
  <si>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</si>
  <si>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</si>
  <si>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</si>
  <si>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</si>
  <si>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</si>
  <si>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</si>
  <si>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</si>
  <si>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</si>
  <si>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</si>
  <si>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</si>
  <si>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</si>
  <si>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</si>
  <si>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</si>
  <si>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</si>
  <si>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</si>
  <si>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</si>
  <si>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</si>
  <si>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</si>
  <si>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</si>
  <si>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</si>
  <si>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</si>
  <si>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</si>
  <si>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</si>
  <si>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</si>
  <si>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</si>
  <si>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</si>
  <si>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</si>
  <si>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</si>
  <si>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</si>
  <si>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</si>
  <si>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</si>
  <si>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</si>
  <si>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</si>
  <si>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</si>
  <si>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</si>
  <si>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</si>
  <si>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</si>
  <si>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</si>
  <si>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</si>
  <si>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</si>
  <si>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</si>
  <si>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</si>
  <si>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</si>
  <si>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</si>
  <si>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</si>
  <si>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</si>
  <si>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</si>
  <si>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</si>
  <si>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</si>
  <si>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</si>
  <si>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</si>
  <si>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</si>
  <si>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</si>
  <si>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</si>
  <si>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</si>
  <si>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</si>
  <si>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</si>
  <si>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</si>
  <si>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</si>
  <si>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</si>
  <si>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</si>
  <si>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</si>
  <si>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</si>
  <si>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</si>
  <si>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</si>
  <si>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</si>
  <si>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</si>
  <si>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</si>
  <si>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</si>
  <si>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</si>
  <si>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</si>
  <si>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</si>
  <si>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</si>
  <si>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</si>
  <si>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</si>
  <si>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</si>
  <si>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</si>
  <si>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</si>
  <si>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</si>
  <si>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</si>
  <si>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</si>
  <si>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</si>
  <si>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</si>
  <si>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</si>
  <si>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</si>
  <si>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</si>
  <si>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</si>
  <si>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</si>
  <si>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</si>
  <si>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</si>
  <si>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</si>
  <si>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</si>
  <si>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</si>
  <si>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</si>
  <si>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</si>
  <si>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</si>
  <si>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</si>
  <si>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</si>
  <si>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</si>
  <si>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</si>
  <si>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</si>
  <si>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</si>
  <si>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</si>
  <si>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</si>
  <si>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</si>
  <si>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</si>
  <si>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</si>
  <si>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</si>
  <si>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</si>
  <si>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</si>
  <si>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</si>
  <si>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</si>
  <si>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</si>
  <si>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</si>
  <si>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</si>
  <si>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</si>
  <si>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</si>
  <si>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</si>
  <si>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</si>
  <si>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</si>
  <si>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</si>
  <si>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</si>
  <si>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</si>
  <si>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</si>
  <si>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</si>
  <si>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</si>
  <si>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</si>
  <si>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</si>
  <si>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</si>
  <si>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</si>
  <si>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</si>
  <si>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</si>
  <si>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</si>
  <si>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</si>
  <si>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</si>
  <si>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</si>
  <si>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</si>
  <si>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</si>
  <si>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</si>
  <si>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</si>
  <si>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</si>
  <si>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</si>
  <si>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</si>
  <si>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</si>
  <si>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</si>
  <si>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</si>
  <si>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</si>
  <si>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</si>
  <si>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</si>
  <si>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</si>
  <si>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</si>
  <si>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</si>
  <si>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</si>
  <si>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</si>
  <si>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</si>
  <si>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</si>
  <si>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</si>
  <si>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</si>
  <si>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</si>
  <si>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</si>
  <si>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</si>
  <si>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</si>
  <si>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</si>
  <si>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</si>
  <si>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</si>
  <si>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</si>
  <si>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</si>
  <si>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</si>
  <si>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</si>
  <si>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</si>
  <si>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</si>
  <si>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</si>
  <si>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</si>
  <si>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</si>
  <si>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</si>
  <si>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</si>
  <si>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</si>
  <si>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</si>
  <si>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</si>
  <si>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</si>
  <si>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</si>
  <si>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</si>
  <si>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</si>
  <si>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</si>
  <si>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</si>
  <si>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</si>
  <si>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</si>
  <si>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</si>
  <si>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</si>
  <si>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</si>
  <si>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</si>
  <si>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</si>
  <si>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</si>
  <si>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</si>
  <si>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</si>
  <si>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</si>
  <si>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</si>
  <si>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</si>
  <si>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</si>
  <si>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</si>
  <si>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</si>
  <si>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</si>
  <si>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</si>
  <si>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</si>
  <si>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</si>
  <si>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</si>
  <si>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</si>
  <si>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</si>
  <si>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</si>
  <si>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</si>
  <si>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</si>
  <si>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</si>
  <si>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</si>
  <si>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</si>
  <si>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</si>
  <si>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</si>
  <si>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</si>
  <si>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</si>
  <si>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</si>
  <si>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</si>
  <si>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</si>
  <si>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</si>
  <si>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</si>
  <si>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</si>
  <si>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</si>
  <si>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</si>
  <si>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</si>
  <si>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</si>
  <si>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</si>
  <si>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</si>
  <si>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</si>
  <si>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</si>
  <si>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</si>
  <si>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</si>
  <si>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</si>
  <si>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</si>
  <si>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</si>
  <si>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</si>
  <si>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</si>
  <si>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</si>
  <si>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</si>
  <si>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</si>
  <si>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</si>
  <si>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</si>
  <si>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</si>
  <si>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</si>
  <si>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</si>
  <si>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</si>
  <si>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</si>
  <si>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</si>
  <si>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</si>
  <si>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</si>
  <si>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</si>
  <si>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</si>
  <si>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</si>
  <si>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</si>
  <si>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</si>
  <si>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</si>
  <si>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</si>
  <si>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</si>
  <si>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</si>
  <si>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</si>
  <si>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</si>
  <si>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</si>
  <si>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</si>
  <si>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</si>
  <si>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</si>
  <si>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</si>
  <si>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</si>
  <si>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</si>
  <si>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</si>
  <si>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</si>
  <si>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</si>
  <si>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</si>
  <si>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</si>
  <si>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</si>
  <si>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</si>
  <si>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</si>
  <si>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</si>
  <si>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</si>
  <si>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</si>
  <si>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</si>
  <si>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</si>
  <si>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</si>
  <si>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</si>
  <si>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</si>
  <si>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</si>
  <si>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</si>
  <si>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</si>
  <si>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</si>
  <si>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</si>
  <si>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</si>
  <si>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</si>
  <si>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</si>
  <si>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</si>
  <si>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</si>
  <si>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</si>
  <si>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</si>
  <si>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</si>
  <si>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</si>
  <si>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</si>
  <si>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</si>
  <si>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</si>
  <si>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</si>
  <si>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</si>
  <si>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</si>
  <si>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</si>
  <si>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</si>
  <si>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</si>
  <si>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</si>
  <si>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</si>
  <si>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</si>
  <si>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</si>
  <si>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</si>
  <si>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</si>
  <si>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</si>
  <si>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</si>
  <si>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</si>
  <si>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</si>
  <si>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</si>
  <si>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</si>
  <si>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</si>
  <si>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</si>
  <si>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</si>
  <si>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</si>
  <si>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</si>
  <si>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</si>
  <si>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</si>
  <si>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</si>
  <si>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</si>
  <si>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</si>
  <si>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</si>
  <si>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</si>
  <si>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</si>
  <si>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</si>
  <si>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</si>
  <si>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</si>
  <si>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</si>
  <si>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</si>
  <si>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</si>
  <si>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</si>
  <si>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</si>
  <si>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</si>
  <si>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</si>
  <si>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</si>
  <si>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</si>
  <si>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</si>
  <si>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</si>
  <si>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</si>
  <si>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</si>
  <si>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</si>
  <si>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</si>
  <si>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</si>
  <si>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</si>
  <si>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</si>
  <si>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</si>
  <si>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</si>
  <si>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</si>
  <si>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</si>
  <si>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</si>
  <si>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</si>
  <si>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</si>
  <si>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</si>
  <si>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</si>
  <si>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</si>
  <si>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</si>
  <si>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</si>
  <si>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</si>
  <si>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</si>
  <si>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</si>
  <si>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</si>
  <si>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</si>
  <si>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</si>
  <si>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</si>
  <si>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</si>
  <si>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</si>
  <si>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</si>
  <si>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</si>
  <si>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</si>
  <si>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</si>
  <si>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</si>
  <si>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</si>
  <si>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</si>
  <si>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</si>
  <si>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</si>
  <si>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</si>
  <si>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</si>
  <si>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</si>
  <si>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</si>
  <si>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</si>
  <si>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</si>
  <si>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</si>
  <si>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</si>
  <si>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</si>
  <si>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</si>
  <si>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</si>
  <si>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</si>
  <si>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</si>
  <si>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</si>
  <si>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</si>
  <si>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</si>
  <si>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</si>
  <si>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</si>
  <si>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</si>
  <si>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</si>
  <si>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</si>
  <si>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</si>
  <si>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</si>
  <si>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</si>
  <si>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</si>
  <si>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</si>
  <si>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</si>
  <si>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</si>
  <si>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</si>
  <si>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</si>
  <si>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</si>
  <si>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</si>
  <si>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</si>
  <si>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</si>
  <si>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</si>
  <si>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</si>
  <si>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</si>
  <si>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</si>
  <si>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</si>
  <si>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</si>
  <si>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</si>
  <si>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</si>
  <si>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</si>
  <si>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</si>
  <si>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</si>
  <si>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</si>
  <si>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</si>
  <si>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</si>
  <si>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</si>
  <si>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</si>
  <si>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</si>
  <si>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</si>
  <si>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</si>
  <si>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</si>
  <si>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</si>
  <si>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</si>
  <si>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</si>
  <si>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</si>
  <si>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</si>
  <si>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</si>
  <si>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</si>
  <si>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</si>
  <si>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</si>
  <si>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</si>
  <si>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</si>
  <si>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</si>
  <si>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</si>
  <si>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</si>
  <si>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</si>
  <si>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</si>
  <si>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</si>
  <si>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</si>
  <si>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</si>
  <si>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</si>
  <si>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</si>
  <si>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</si>
  <si>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</si>
  <si>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</si>
  <si>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</si>
  <si>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</si>
  <si>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</si>
  <si>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</si>
  <si>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</si>
  <si>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</si>
  <si>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</si>
  <si>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</si>
  <si>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</si>
  <si>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</si>
  <si>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</si>
  <si>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</si>
  <si>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</si>
  <si>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</si>
  <si>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</si>
  <si>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</si>
  <si>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</si>
  <si>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</si>
  <si>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</si>
  <si>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</si>
  <si>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</si>
  <si>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</si>
  <si>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</si>
  <si>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</si>
  <si>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</si>
  <si>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</si>
  <si>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</si>
  <si>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</si>
  <si>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</si>
  <si>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</si>
  <si>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</si>
  <si>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</si>
  <si>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</si>
  <si>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</si>
  <si>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</si>
  <si>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</si>
  <si>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</si>
  <si>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</si>
  <si>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</si>
  <si>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</si>
  <si>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</si>
  <si>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</si>
  <si>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</si>
  <si>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</si>
  <si>
    <t>Meaning</t>
  </si>
  <si>
    <t>AVERAGE</t>
  </si>
  <si>
    <t>AVERAGE(range)</t>
  </si>
  <si>
    <t>Average nikaalta hai</t>
  </si>
  <si>
    <t>Mean calculation</t>
  </si>
  <si>
    <t xml:space="preserve"> =AVERAGE(10,20,30) → 20</t>
  </si>
  <si>
    <t>MAX</t>
  </si>
  <si>
    <t>MAX(range)</t>
  </si>
  <si>
    <t>Sabse badi value</t>
  </si>
  <si>
    <t>Highest find</t>
  </si>
  <si>
    <t xml:space="preserve"> =MAX(10,50,30) → 50</t>
  </si>
  <si>
    <t>MIN</t>
  </si>
  <si>
    <t>MIN(range)</t>
  </si>
  <si>
    <t>Sabse chhoti value</t>
  </si>
  <si>
    <t>Lowest find</t>
  </si>
  <si>
    <t xml:space="preserve"> =MIN(10,50,30) → 10</t>
  </si>
  <si>
    <t>COUNT</t>
  </si>
  <si>
    <t>COUNT(range)</t>
  </si>
  <si>
    <t>Numeric cells count karta hai</t>
  </si>
  <si>
    <t>Numbers count</t>
  </si>
  <si>
    <t xml:space="preserve"> =COUNT(1,2,"A") → 2</t>
  </si>
  <si>
    <t>COUNTA</t>
  </si>
  <si>
    <t>COUNTA(range)</t>
  </si>
  <si>
    <t>Non-empty cells count karta hai</t>
  </si>
  <si>
    <t>Filled cells</t>
  </si>
  <si>
    <t xml:space="preserve"> =COUNTA(1,"A") → 2</t>
  </si>
  <si>
    <t>COUNTIF</t>
  </si>
  <si>
    <t>COUNTIF(range, criteria)</t>
  </si>
  <si>
    <t>Condition par count karta hai</t>
  </si>
  <si>
    <t>Conditional count</t>
  </si>
  <si>
    <t xml:space="preserve"> =COUNTIF(A1,"&gt;50")</t>
  </si>
  <si>
    <t>COUNTIFS</t>
  </si>
  <si>
    <t>COUNTIFS(range1, criteria1, ...)</t>
  </si>
  <si>
    <t>Multiple conditions par count karta hai</t>
  </si>
  <si>
    <t>Advanced filtering</t>
  </si>
  <si>
    <t xml:space="preserve"> =COUNTIFS(A1,"&gt;50",B1,"Pass")</t>
  </si>
  <si>
    <t>AVERAGEIF</t>
  </si>
  <si>
    <t>AVERAGEIF(range, criteria)</t>
  </si>
  <si>
    <t>Condition par average karta hai</t>
  </si>
  <si>
    <t>Filtered average</t>
  </si>
  <si>
    <t xml:space="preserve"> =AVERAGEIF(A1,"&gt;50")</t>
  </si>
  <si>
    <t>AVERAGEIFS</t>
  </si>
  <si>
    <t>AVERAGEIFS(avg_range, criteria_range1, criteria1, ...)</t>
  </si>
  <si>
    <t>Multiple conditions par average karta hai</t>
  </si>
  <si>
    <t>Advanced average</t>
  </si>
  <si>
    <t xml:space="preserve"> =AVERAGEIFS(C1,A1,"&gt;50")</t>
  </si>
  <si>
    <t>SUM</t>
  </si>
  <si>
    <t>SUM(range)</t>
  </si>
  <si>
    <t>Total sum karta hai</t>
  </si>
  <si>
    <t>Total calculation</t>
  </si>
  <si>
    <t xml:space="preserve"> =SUM(10,20,30) → 60</t>
  </si>
  <si>
    <t>SUMIF</t>
  </si>
  <si>
    <t>SUMIF(range, criteria, sum_range)</t>
  </si>
  <si>
    <t>Condition par sum karta hai</t>
  </si>
  <si>
    <t>Conditional total</t>
  </si>
  <si>
    <t xml:space="preserve"> =SUMIF(A1,"&gt;50",B1)</t>
  </si>
  <si>
    <t>SUMIFS</t>
  </si>
  <si>
    <t>SUMIFS(sum_range, criteria_range1, criteria1, ...)</t>
  </si>
  <si>
    <t>Multiple conditions par sum karta hai</t>
  </si>
  <si>
    <t>Complex analysis</t>
  </si>
  <si>
    <t xml:space="preserve"> =SUMIFS(C1,A1,"&gt;50",B1,"Pass")</t>
  </si>
  <si>
    <t>LARGE</t>
  </si>
  <si>
    <t>LARGE(range, k)</t>
  </si>
  <si>
    <t>K-th largest value</t>
  </si>
  <si>
    <t>Top values</t>
  </si>
  <si>
    <t xml:space="preserve"> =LARGE(A1,2)</t>
  </si>
  <si>
    <t>SMALL</t>
  </si>
  <si>
    <t>SMALL(range, k)</t>
  </si>
  <si>
    <t>K-th smallest value</t>
  </si>
  <si>
    <t>Bottom values</t>
  </si>
  <si>
    <t xml:space="preserve"> =SMALL(A1,2)</t>
  </si>
  <si>
    <t>RANK</t>
  </si>
  <si>
    <t>RANK(number, range)</t>
  </si>
  <si>
    <t>Rank deta hai</t>
  </si>
  <si>
    <t>Position</t>
  </si>
  <si>
    <t xml:space="preserve"> =RANK(80,A1)</t>
  </si>
  <si>
    <t>ROUND</t>
  </si>
  <si>
    <t>ROUND(number, num_digits)</t>
  </si>
  <si>
    <t>Normal rounding</t>
  </si>
  <si>
    <t>Approximate value</t>
  </si>
  <si>
    <t xml:space="preserve"> =ROUND(12.345,2) → 12.35</t>
  </si>
  <si>
    <t>ROUNDUP</t>
  </si>
  <si>
    <t>ROUNDUP(number, num_digits)</t>
  </si>
  <si>
    <t>Zero se door round karta hai</t>
  </si>
  <si>
    <t>Always round away from zero</t>
  </si>
  <si>
    <t xml:space="preserve"> =ROUNDUP(12.341,2) → 12.35</t>
  </si>
  <si>
    <t>ROUNDDOWN</t>
  </si>
  <si>
    <t>ROUNDDOWN(number, num_digits)</t>
  </si>
  <si>
    <t>Zero ki taraf round karta hai</t>
  </si>
  <si>
    <t>Rounding down</t>
  </si>
  <si>
    <t xml:space="preserve"> =ROUNDDOWN(12.349,2) → 12.34</t>
  </si>
  <si>
    <t>INT</t>
  </si>
  <si>
    <t>INT(number)</t>
  </si>
  <si>
    <t>Lower integer deta hai</t>
  </si>
  <si>
    <t>Integer conversion</t>
  </si>
  <si>
    <t xml:space="preserve"> =INT(12.9) → 12</t>
  </si>
  <si>
    <t>TRUNC</t>
  </si>
  <si>
    <t>TRUNC(number, [digits])</t>
  </si>
  <si>
    <t>Decimal digits cut karta hai</t>
  </si>
  <si>
    <t>Exact truncation</t>
  </si>
  <si>
    <t xml:space="preserve"> =TRUNC(12.987,2) → 12.98</t>
  </si>
  <si>
    <t>FLOOR</t>
  </si>
  <si>
    <t>FLOOR(number, significance)</t>
  </si>
  <si>
    <t>Lower multiple tak round karta hai</t>
  </si>
  <si>
    <t>Lower multiple</t>
  </si>
  <si>
    <t xml:space="preserve"> =FLOOR(23,5) → 20</t>
  </si>
  <si>
    <t>MROUND</t>
  </si>
  <si>
    <t>MROUND(number, multiple)</t>
  </si>
  <si>
    <t>Nearest multiple tak round karta hai</t>
  </si>
  <si>
    <t>Smart rounding</t>
  </si>
  <si>
    <t xml:space="preserve"> =MROUND(23,5) → 25</t>
  </si>
  <si>
    <t>RAND</t>
  </si>
  <si>
    <t>RAND()</t>
  </si>
  <si>
    <t>Random decimal deta hai</t>
  </si>
  <si>
    <t>Random data</t>
  </si>
  <si>
    <t xml:space="preserve"> =RAND()</t>
  </si>
  <si>
    <t>RANDBETWEEN</t>
  </si>
  <si>
    <t>RANDBETWEEN(bottom, top)</t>
  </si>
  <si>
    <t>Random integer deta hai</t>
  </si>
  <si>
    <t>Testing data</t>
  </si>
  <si>
    <t xml:space="preserve"> =RANDBETWEEN(1,100)</t>
  </si>
  <si>
    <t>RANDARRAY</t>
  </si>
  <si>
    <t>RANDARRAY(rows, cols, min, max, integer)</t>
  </si>
  <si>
    <t>Random numbers ki table banata hai</t>
  </si>
  <si>
    <t>Bulk data</t>
  </si>
  <si>
    <t xml:space="preserve"> =RANDARRAY(5,3,1,100,TRUE)</t>
  </si>
  <si>
    <t>ABS</t>
  </si>
  <si>
    <t>ABS(number)</t>
  </si>
  <si>
    <t>Absolute value deta hai</t>
  </si>
  <si>
    <t>Distance calculation</t>
  </si>
  <si>
    <t xml:space="preserve"> =ABS(-10) → 10</t>
  </si>
  <si>
    <t>MOD</t>
  </si>
  <si>
    <t>MOD(number, divisor)</t>
  </si>
  <si>
    <t>Remainder deta hai</t>
  </si>
  <si>
    <t>Even/odd check</t>
  </si>
  <si>
    <t xml:space="preserve"> =MOD(10,3) → 1</t>
  </si>
  <si>
    <t>POWER</t>
  </si>
  <si>
    <t>POWER(number, power)</t>
  </si>
  <si>
    <t>Power nikaalta hai</t>
  </si>
  <si>
    <t>Exponential calculation</t>
  </si>
  <si>
    <t xml:space="preserve"> =POWER(2,3) → 8</t>
  </si>
  <si>
    <t>SQRT</t>
  </si>
  <si>
    <t>SQRT(number)</t>
  </si>
  <si>
    <t>Square root nikaalta hai</t>
  </si>
  <si>
    <t>Math calculation</t>
  </si>
  <si>
    <t xml:space="preserve"> =SQRT(16) → 4</t>
  </si>
  <si>
    <t>Statistical, rounding, random and mathematical formulas reference</t>
  </si>
  <si>
    <t>Rand (0 to 1)</t>
  </si>
  <si>
    <t>RANDBETWEEN(TOP,BOTTOM)</t>
  </si>
  <si>
    <t>S.NO</t>
  </si>
  <si>
    <t>NUMBERS</t>
  </si>
  <si>
    <t>ROUND UP</t>
  </si>
  <si>
    <t>ROUND DOWN</t>
  </si>
  <si>
    <t>INTEGER</t>
  </si>
  <si>
    <t>INTEGER,TRUNC</t>
  </si>
  <si>
    <t>CEILING</t>
  </si>
  <si>
    <t>CEILING(number, significance)</t>
  </si>
  <si>
    <t>Number ko next specified multiple tak round up karta hai</t>
  </si>
  <si>
    <t>Price/quantity rounding</t>
  </si>
  <si>
    <t xml:space="preserve"> =CEILING(12.3,1) → 13</t>
  </si>
  <si>
    <t>FLOOR,CEILING,MROUND</t>
  </si>
  <si>
    <t>ABS, MOD, POWER, SQRT</t>
  </si>
  <si>
    <t>-ABS</t>
  </si>
  <si>
    <t>TODAY</t>
  </si>
  <si>
    <t>TODAY()</t>
  </si>
  <si>
    <t>Aaj ki date deta hai</t>
  </si>
  <si>
    <t>Current date</t>
  </si>
  <si>
    <t>NOW</t>
  </si>
  <si>
    <t>NOW()</t>
  </si>
  <si>
    <t>Current date + time</t>
  </si>
  <si>
    <t>Live timestamp</t>
  </si>
  <si>
    <t>DATE</t>
  </si>
  <si>
    <t>DATE(year,month,day)</t>
  </si>
  <si>
    <t>Custom date banata hai</t>
  </si>
  <si>
    <t>Date creation</t>
  </si>
  <si>
    <t>DATE(2026,4,9)</t>
  </si>
  <si>
    <t>TIME</t>
  </si>
  <si>
    <t>TIME(hour,minute,second)</t>
  </si>
  <si>
    <t>Time create karta hai</t>
  </si>
  <si>
    <t>Custom time</t>
  </si>
  <si>
    <t>TIME(10,30,0)</t>
  </si>
  <si>
    <t>DAY</t>
  </si>
  <si>
    <t>DAY(date)</t>
  </si>
  <si>
    <t>Day nikaalta hai</t>
  </si>
  <si>
    <t>Extract day</t>
  </si>
  <si>
    <t>DAY(A1)</t>
  </si>
  <si>
    <t>MONTH</t>
  </si>
  <si>
    <t>MONTH(date)</t>
  </si>
  <si>
    <t>Month nikaalta hai</t>
  </si>
  <si>
    <t>Extract month</t>
  </si>
  <si>
    <t>MONTH(A1)</t>
  </si>
  <si>
    <t>YEAR</t>
  </si>
  <si>
    <t>YEAR(date)</t>
  </si>
  <si>
    <t>Year nikaalta hai</t>
  </si>
  <si>
    <t>Extract year</t>
  </si>
  <si>
    <t>YEAR(A1)</t>
  </si>
  <si>
    <t>HOUR</t>
  </si>
  <si>
    <t>HOUR(time)</t>
  </si>
  <si>
    <t>Hour nikaalta hai</t>
  </si>
  <si>
    <t>Time breakdown</t>
  </si>
  <si>
    <t>HOUR(A1)</t>
  </si>
  <si>
    <t>MINUTE</t>
  </si>
  <si>
    <t>MINUTE(time)</t>
  </si>
  <si>
    <t>Minute nikaalta hai</t>
  </si>
  <si>
    <t>MINUTE(A1)</t>
  </si>
  <si>
    <t>SECOND</t>
  </si>
  <si>
    <t>SECOND(time)</t>
  </si>
  <si>
    <t>Seconds nikaalta hai</t>
  </si>
  <si>
    <t>SECOND(A1)</t>
  </si>
  <si>
    <t>WEEKDAY</t>
  </si>
  <si>
    <t>WEEKDAY(date,[type])</t>
  </si>
  <si>
    <t>Week day number deta hai</t>
  </si>
  <si>
    <t>Day identify</t>
  </si>
  <si>
    <t>WEEKDAY(A1,2)</t>
  </si>
  <si>
    <t>WEEKNUM</t>
  </si>
  <si>
    <t>WEEKNUM(date,[type])</t>
  </si>
  <si>
    <t>Week number deta hai</t>
  </si>
  <si>
    <t>Weekly tracking</t>
  </si>
  <si>
    <t>WEEKNUM(A1)</t>
  </si>
  <si>
    <t>ISOWEEKNUM</t>
  </si>
  <si>
    <t>ISOWEEKNUM(date)</t>
  </si>
  <si>
    <t>ISO standard week number</t>
  </si>
  <si>
    <t>International reporting</t>
  </si>
  <si>
    <t>ISOWEEKNUM(A1)</t>
  </si>
  <si>
    <t>EDATE</t>
  </si>
  <si>
    <t>EDATE(start_date,months)</t>
  </si>
  <si>
    <t>Months add/subtract</t>
  </si>
  <si>
    <t>EMI planning</t>
  </si>
  <si>
    <t>EDATE(A1,1)</t>
  </si>
  <si>
    <t>EOMONTH</t>
  </si>
  <si>
    <t>EOMONTH(start_date,months)</t>
  </si>
  <si>
    <t>Month end date</t>
  </si>
  <si>
    <t>Month closing</t>
  </si>
  <si>
    <t>EOMONTH(A1,1)</t>
  </si>
  <si>
    <t>DATEDIF</t>
  </si>
  <si>
    <t>DATEDIF(start,end,unit)</t>
  </si>
  <si>
    <t>Date difference</t>
  </si>
  <si>
    <t>Age calc</t>
  </si>
  <si>
    <t>DATEDIF(A1,B1,"Y")</t>
  </si>
  <si>
    <t>DAYS</t>
  </si>
  <si>
    <t>DAYS(end,start)</t>
  </si>
  <si>
    <t>Total days difference</t>
  </si>
  <si>
    <t>Gap calc</t>
  </si>
  <si>
    <t>DAYS(B1,A1)</t>
  </si>
  <si>
    <t>DAYS360</t>
  </si>
  <si>
    <t>DAYS360(start,end)</t>
  </si>
  <si>
    <t>360-day basis calc</t>
  </si>
  <si>
    <t>DAYS360(A1,B1)</t>
  </si>
  <si>
    <t>NETWORKDAYS</t>
  </si>
  <si>
    <t>NETWORKDAYS(start,end,[holidays])</t>
  </si>
  <si>
    <t>Working days count</t>
  </si>
  <si>
    <t>Office days</t>
  </si>
  <si>
    <t>NETWORKDAYS(A1,B1)</t>
  </si>
  <si>
    <t>NETWORKDAYS.INTL</t>
  </si>
  <si>
    <t>NETWORKDAYS.INTL(start,end,[weekend],[holidays])</t>
  </si>
  <si>
    <t>Custom weekend ke saath working days</t>
  </si>
  <si>
    <t>Shift / custom week</t>
  </si>
  <si>
    <t>NETWORKDAYS.INTL(A1,B1,1)</t>
  </si>
  <si>
    <t>WORKDAY</t>
  </si>
  <si>
    <t>WORKDAY(start,days,[holidays])</t>
  </si>
  <si>
    <t>Future working date</t>
  </si>
  <si>
    <t>Deadline</t>
  </si>
  <si>
    <t>WORKDAY(A1,5)</t>
  </si>
  <si>
    <t>WORKDAY.INTL</t>
  </si>
  <si>
    <t>WORKDAY.INTL(start,days,[weekend],[holidays])</t>
  </si>
  <si>
    <t>Custom weekend ke saath working date</t>
  </si>
  <si>
    <t>Flexible planning</t>
  </si>
  <si>
    <t>WORKDAY.INTL(A1,5,1)</t>
  </si>
  <si>
    <t>YEARFRAC</t>
  </si>
  <si>
    <t>YEARFRAC(start,end,[basis])</t>
  </si>
  <si>
    <t>Years ka fraction</t>
  </si>
  <si>
    <t>Financial calc</t>
  </si>
  <si>
    <t>YEARFRAC(A1,B1)</t>
  </si>
  <si>
    <t>TEXT(value,format_text)</t>
  </si>
  <si>
    <t>Date format change karta hai</t>
  </si>
  <si>
    <t>Custom display</t>
  </si>
  <si>
    <t>TEXT(A1,"dd-mm-yyyy")</t>
  </si>
  <si>
    <t>TIMEVALUE</t>
  </si>
  <si>
    <t>TIMEVALUE(text)</t>
  </si>
  <si>
    <t>Text ko time me convert</t>
  </si>
  <si>
    <t>Time conversion</t>
  </si>
  <si>
    <t>TIMEVALUE("10:30 AM")</t>
  </si>
  <si>
    <t>DATEVALUE</t>
  </si>
  <si>
    <t>DATEVALUE(text)</t>
  </si>
  <si>
    <t>Text ko date me convert</t>
  </si>
  <si>
    <t>Date conversion</t>
  </si>
  <si>
    <t>DATEVALUE("09-Apr-2026")</t>
  </si>
  <si>
    <t>TODAY()+n</t>
  </si>
  <si>
    <t>Future/past date</t>
  </si>
  <si>
    <t>Planning</t>
  </si>
  <si>
    <t>TODAY()+728</t>
  </si>
  <si>
    <t>NOW()+n</t>
  </si>
  <si>
    <t>Future time/date</t>
  </si>
  <si>
    <t>Scheduling</t>
  </si>
  <si>
    <t>NOW()+1</t>
  </si>
  <si>
    <t>Text Split ,Ampersand ,Flashfill ,TextBeforeDelimiter, TextAfterDelimiter</t>
  </si>
  <si>
    <t>Day</t>
  </si>
  <si>
    <t>Year</t>
  </si>
  <si>
    <t>Hour</t>
  </si>
  <si>
    <t>Months</t>
  </si>
  <si>
    <t>Text</t>
  </si>
  <si>
    <t>Current Date</t>
  </si>
  <si>
    <t>Current Time</t>
  </si>
  <si>
    <t>DATE &amp; TIME</t>
  </si>
  <si>
    <t>Shortcut Key</t>
  </si>
  <si>
    <t>Formulae</t>
  </si>
  <si>
    <t>Miunte</t>
  </si>
  <si>
    <t>Second</t>
  </si>
  <si>
    <t>AM/PM</t>
  </si>
  <si>
    <t>Start Date</t>
  </si>
  <si>
    <t>End Date</t>
  </si>
  <si>
    <t>NETWORK DAYS</t>
  </si>
  <si>
    <t>NETWORKDAYS (HOLIDAYS)</t>
  </si>
  <si>
    <t>HOLIDAYS DATE</t>
  </si>
  <si>
    <t>NETWORK DAYS.INTL</t>
  </si>
  <si>
    <t>NETWORK DAYS.INTL (HOLIDAY)</t>
  </si>
  <si>
    <t>DAYS 360</t>
  </si>
  <si>
    <t>Workday</t>
  </si>
  <si>
    <t>Workday (holiday)</t>
  </si>
  <si>
    <t>Workday.intl</t>
  </si>
  <si>
    <t>WORK DAYS.INTL (HOLIDAY)</t>
  </si>
  <si>
    <t>DOB</t>
  </si>
  <si>
    <t>AGE (datedif)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</si>
</sst>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PKR]\ #,##0.00"/>
    <numFmt numFmtId="166" formatCode="dd/mm/yyyy"/>
    <numFmt numFmtId="167" formatCode="&quot;Rs. &quot;#,##0"/>
    <numFmt numFmtId="168" formatCode="&quot;Rs.&quot;\ #,##0"/>
    <numFmt numFmtId="169" formatCode="dd\-mm\-yyyy"/>
    <numFmt numFmtId="170" formatCode="dd"/>
    <numFmt numFmtId="171" formatCode="mm\-dd\-yyyy"/>
  </numFmts>
  <fonts count="32"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
      <b/>
      <sz val="11"/>
      <color rgb="FFFFFFFF"/>
      <name val="Calibri"/>
      <scheme val="minor"/>
    </font>
    <font>
      <sz val="11"/>
      <color rgb="FF000000"/>
      <name val="Calibri"/>
      <scheme val="minor"/>
    </font>
    <font>
      <b/>
      <sz val="11"/>
      <color rgb="FF000000"/>
      <name val="Calibri"/>
      <scheme val="minor"/>
    </font>
    <font>
      <b/>
      <sz val="11"/>
      <color rgb="FFFFFFFF"/>
      <name val="Arial"/>
      <family val="2"/>
    </font>
    <font>
      <b/>
      <sz val="11"/>
      <color rgb="FF1F4E78"/>
      <name val="Calibri"/>
      <scheme val="minor"/>
    </font>
  </fonts>
  <fills count="43">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
      <patternFill patternType="solid">
        <fgColor rgb="FFD9E1F2"/>
        <bgColor indexed="64"/>
      </patternFill>
    </fill>
    <fill>
      <patternFill patternType="solid">
        <fgColor rgb="FFA9D3E5"/>
        <bgColor indexed="64"/>
      </patternFill>
    </fill>
    <fill>
      <patternFill patternType="solid">
        <fgColor rgb="FFF4B183"/>
        <bgColor indexed="64"/>
      </patternFill>
    </fill>
    <fill>
      <patternFill patternType="solid">
        <fgColor rgb="FF70AD47"/>
        <bgColor indexed="64"/>
      </patternFill>
    </fill>
    <fill>
      <patternFill patternType="solid">
        <fgColor rgb="FF8BC34A"/>
        <bgColor indexed="64"/>
      </patternFill>
    </fill>
    <fill>
      <patternFill patternType="solid">
        <fgColor rgb="FFD9D2E9"/>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bgColor indexed="64"/>
      </patternFill>
    </fill>
    <fill>
      <patternFill patternType="solid">
        <fgColor theme="9" tint="0.79998168889431442"/>
        <bgColor indexed="64"/>
      </patternFill>
    </fill>
  </fills>
  <borders count="74">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rgb="FF1F1F1F"/>
      </top>
      <bottom/>
      <diagonal/>
    </border>
    <border>
      <left/>
      <right/>
      <top style="thin">
        <color rgb="FF808080"/>
      </top>
      <bottom/>
      <diagonal/>
    </border>
    <border>
      <left style="thin">
        <color rgb="FF1F1F1F"/>
      </left>
      <right/>
      <top style="thin">
        <color rgb="FF1F1F1F"/>
      </top>
      <bottom/>
      <diagonal/>
    </border>
    <border>
      <left/>
      <right style="thin">
        <color rgb="FF1F1F1F"/>
      </right>
      <top style="thin">
        <color rgb="FF1F1F1F"/>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1F1F1F"/>
      </top>
      <bottom/>
      <diagonal/>
    </border>
    <border>
      <left/>
      <right style="thin">
        <color rgb="FF808080"/>
      </right>
      <top/>
      <bottom/>
      <diagonal/>
    </border>
    <border>
      <left style="thin">
        <color rgb="FF808080"/>
      </left>
      <right/>
      <top style="thin">
        <color rgb="FF808080"/>
      </top>
      <bottom/>
      <diagonal/>
    </border>
    <border>
      <left/>
      <right style="thin">
        <color rgb="FF808080"/>
      </right>
      <top style="thin">
        <color rgb="FF808080"/>
      </top>
      <bottom/>
      <diagonal/>
    </border>
    <border>
      <left style="thin">
        <color rgb="FF548235"/>
      </left>
      <right/>
      <top/>
      <bottom style="thin">
        <color rgb="FF548235"/>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right/>
      <top/>
      <bottom style="thin">
        <color rgb="FF548235"/>
      </bottom>
      <diagonal/>
    </border>
    <border>
      <left/>
      <right style="thin">
        <color rgb="FF548235"/>
      </right>
      <top/>
      <bottom style="thin">
        <color rgb="FF548235"/>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s>
  <cellStyleXfs count="2">
    <xf numFmtId="0" fontId="0" fillId="0" borderId="0"/>
    <xf numFmtId="9" fontId="14" fillId="0" borderId="0" applyFont="0" applyFill="0" applyBorder="0" applyAlignment="0" applyProtection="0"/>
  </cellStyleXfs>
  <cellXfs count="327">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27" fillId="19" borderId="54" xfId="0" applyNumberFormat="1" applyFont="1" applyFill="1" applyBorder="1" applyAlignment="1">
      <alignment horizontal="center"/>
    </xf>
    <xf numFmtId="0" fontId="28" fillId="31" borderId="0" xfId="0" applyNumberFormat="1" applyFont="1" applyFill="1" applyBorder="1" applyAlignment="1">
      <alignment horizontal="left"/>
    </xf>
    <xf numFmtId="0" fontId="27" fillId="19" borderId="56" xfId="0" applyNumberFormat="1" applyFont="1" applyFill="1" applyBorder="1" applyAlignment="1">
      <alignment horizontal="center"/>
    </xf>
    <xf numFmtId="0" fontId="27" fillId="19" borderId="57" xfId="0" applyNumberFormat="1" applyFont="1" applyFill="1" applyBorder="1" applyAlignment="1">
      <alignment horizontal="center"/>
    </xf>
    <xf numFmtId="0" fontId="28" fillId="31" borderId="54" xfId="0" applyNumberFormat="1" applyFont="1" applyFill="1" applyBorder="1" applyAlignment="1">
      <alignment horizontal="left"/>
    </xf>
    <xf numFmtId="0" fontId="28" fillId="31" borderId="60" xfId="0" quotePrefix="1" applyNumberFormat="1" applyFont="1" applyFill="1" applyBorder="1" applyAlignment="1">
      <alignment horizontal="left"/>
    </xf>
    <xf numFmtId="0" fontId="28" fillId="31" borderId="61" xfId="0" quotePrefix="1" applyNumberFormat="1" applyFont="1" applyFill="1" applyBorder="1" applyAlignment="1">
      <alignment horizontal="left"/>
    </xf>
    <xf numFmtId="0" fontId="28" fillId="32" borderId="55" xfId="0" applyNumberFormat="1" applyFont="1" applyFill="1" applyBorder="1" applyAlignment="1">
      <alignment horizontal="left"/>
    </xf>
    <xf numFmtId="0" fontId="28" fillId="32" borderId="0" xfId="0" applyNumberFormat="1" applyFont="1" applyFill="1" applyBorder="1" applyAlignment="1">
      <alignment horizontal="left"/>
    </xf>
    <xf numFmtId="0" fontId="28" fillId="32" borderId="63" xfId="0" quotePrefix="1" applyNumberFormat="1" applyFont="1" applyFill="1" applyBorder="1" applyAlignment="1">
      <alignment horizontal="left"/>
    </xf>
    <xf numFmtId="0" fontId="28" fillId="32" borderId="61" xfId="0" quotePrefix="1" applyNumberFormat="1" applyFont="1" applyFill="1" applyBorder="1" applyAlignment="1">
      <alignment horizontal="left"/>
    </xf>
    <xf numFmtId="0" fontId="28" fillId="33" borderId="0" xfId="0" applyNumberFormat="1" applyFont="1" applyFill="1" applyBorder="1" applyAlignment="1">
      <alignment horizontal="left"/>
    </xf>
    <xf numFmtId="0" fontId="28" fillId="33" borderId="61" xfId="0" quotePrefix="1" applyNumberFormat="1" applyFont="1" applyFill="1" applyBorder="1" applyAlignment="1">
      <alignment horizontal="left"/>
    </xf>
    <xf numFmtId="0" fontId="29" fillId="31" borderId="65" xfId="0" applyNumberFormat="1" applyFont="1" applyFill="1" applyBorder="1" applyAlignment="1">
      <alignment horizontal="left"/>
    </xf>
    <xf numFmtId="0" fontId="29" fillId="31" borderId="66" xfId="0" applyNumberFormat="1" applyFont="1" applyFill="1" applyBorder="1" applyAlignment="1">
      <alignment horizontal="left"/>
    </xf>
    <xf numFmtId="0" fontId="29" fillId="31" borderId="62" xfId="0" applyNumberFormat="1" applyFont="1" applyFill="1" applyBorder="1" applyAlignment="1">
      <alignment horizontal="left"/>
    </xf>
    <xf numFmtId="0" fontId="29" fillId="31" borderId="58" xfId="0" applyNumberFormat="1" applyFont="1" applyFill="1" applyBorder="1" applyAlignment="1">
      <alignment horizontal="left"/>
    </xf>
    <xf numFmtId="0" fontId="29" fillId="32" borderId="66" xfId="0" applyNumberFormat="1" applyFont="1" applyFill="1" applyBorder="1" applyAlignment="1">
      <alignment horizontal="left"/>
    </xf>
    <xf numFmtId="0" fontId="29" fillId="32" borderId="58" xfId="0" applyNumberFormat="1" applyFont="1" applyFill="1" applyBorder="1" applyAlignment="1">
      <alignment horizontal="left"/>
    </xf>
    <xf numFmtId="0" fontId="29" fillId="32" borderId="62" xfId="0" applyNumberFormat="1" applyFont="1" applyFill="1" applyBorder="1" applyAlignment="1">
      <alignment horizontal="left"/>
    </xf>
    <xf numFmtId="0" fontId="29" fillId="32" borderId="65" xfId="0" applyNumberFormat="1" applyFont="1" applyFill="1" applyBorder="1" applyAlignment="1">
      <alignment horizontal="left"/>
    </xf>
    <xf numFmtId="0" fontId="29" fillId="33" borderId="66" xfId="0" applyNumberFormat="1" applyFont="1" applyFill="1" applyBorder="1" applyAlignment="1">
      <alignment horizontal="left"/>
    </xf>
    <xf numFmtId="0" fontId="29" fillId="33" borderId="58" xfId="0" applyNumberFormat="1" applyFont="1" applyFill="1" applyBorder="1" applyAlignment="1">
      <alignment horizontal="left"/>
    </xf>
    <xf numFmtId="0" fontId="11" fillId="0" borderId="14" xfId="0" applyFont="1" applyFill="1" applyBorder="1" applyAlignment="1">
      <alignment horizontal="center" vertical="center"/>
    </xf>
    <xf numFmtId="0" fontId="29" fillId="0" borderId="58" xfId="0" applyNumberFormat="1" applyFont="1" applyFill="1" applyBorder="1" applyAlignment="1">
      <alignment horizontal="left"/>
    </xf>
    <xf numFmtId="0" fontId="29" fillId="0" borderId="66" xfId="0" applyNumberFormat="1" applyFont="1" applyFill="1" applyBorder="1" applyAlignment="1">
      <alignment horizontal="left"/>
    </xf>
    <xf numFmtId="0" fontId="28" fillId="0" borderId="0" xfId="0" applyNumberFormat="1" applyFont="1" applyFill="1" applyBorder="1" applyAlignment="1">
      <alignment horizontal="left"/>
    </xf>
    <xf numFmtId="0" fontId="28" fillId="0" borderId="61" xfId="0" quotePrefix="1" applyNumberFormat="1" applyFont="1" applyFill="1" applyBorder="1" applyAlignment="1">
      <alignment horizontal="left"/>
    </xf>
    <xf numFmtId="0" fontId="29" fillId="0" borderId="59" xfId="0" applyNumberFormat="1" applyFont="1" applyFill="1" applyBorder="1" applyAlignment="1">
      <alignment horizontal="left"/>
    </xf>
    <xf numFmtId="0" fontId="29" fillId="0" borderId="67" xfId="0" applyNumberFormat="1" applyFont="1" applyFill="1" applyBorder="1" applyAlignment="1">
      <alignment horizontal="left"/>
    </xf>
    <xf numFmtId="0" fontId="29" fillId="10" borderId="58" xfId="0" applyNumberFormat="1" applyFont="1" applyFill="1" applyBorder="1" applyAlignment="1">
      <alignment horizontal="left"/>
    </xf>
    <xf numFmtId="0" fontId="29" fillId="10" borderId="66" xfId="0" applyNumberFormat="1" applyFont="1" applyFill="1" applyBorder="1" applyAlignment="1">
      <alignment horizontal="left"/>
    </xf>
    <xf numFmtId="0" fontId="28" fillId="10" borderId="0" xfId="0" applyNumberFormat="1" applyFont="1" applyFill="1" applyBorder="1" applyAlignment="1">
      <alignment horizontal="left"/>
    </xf>
    <xf numFmtId="0" fontId="28" fillId="10" borderId="61" xfId="0" quotePrefix="1" applyNumberFormat="1" applyFont="1" applyFill="1" applyBorder="1" applyAlignment="1">
      <alignment horizontal="left"/>
    </xf>
    <xf numFmtId="0" fontId="29" fillId="8" borderId="62" xfId="0" applyNumberFormat="1" applyFont="1" applyFill="1" applyBorder="1" applyAlignment="1">
      <alignment horizontal="left"/>
    </xf>
    <xf numFmtId="0" fontId="29" fillId="8" borderId="65" xfId="0" applyNumberFormat="1" applyFont="1" applyFill="1" applyBorder="1" applyAlignment="1">
      <alignment horizontal="left"/>
    </xf>
    <xf numFmtId="0" fontId="28" fillId="8" borderId="55" xfId="0" applyNumberFormat="1" applyFont="1" applyFill="1" applyBorder="1" applyAlignment="1">
      <alignment horizontal="left"/>
    </xf>
    <xf numFmtId="0" fontId="28" fillId="8" borderId="63" xfId="0" quotePrefix="1" applyNumberFormat="1" applyFont="1" applyFill="1" applyBorder="1" applyAlignment="1">
      <alignment horizontal="left"/>
    </xf>
    <xf numFmtId="0" fontId="29" fillId="8" borderId="58" xfId="0" applyNumberFormat="1" applyFont="1" applyFill="1" applyBorder="1" applyAlignment="1">
      <alignment horizontal="left"/>
    </xf>
    <xf numFmtId="0" fontId="29" fillId="8" borderId="66" xfId="0" applyNumberFormat="1" applyFont="1" applyFill="1" applyBorder="1" applyAlignment="1">
      <alignment horizontal="left"/>
    </xf>
    <xf numFmtId="0" fontId="28" fillId="8" borderId="0" xfId="0" applyNumberFormat="1" applyFont="1" applyFill="1" applyBorder="1" applyAlignment="1">
      <alignment horizontal="left"/>
    </xf>
    <xf numFmtId="0" fontId="28" fillId="8" borderId="61" xfId="0" quotePrefix="1" applyNumberFormat="1" applyFont="1" applyFill="1" applyBorder="1" applyAlignment="1">
      <alignment horizontal="left"/>
    </xf>
    <xf numFmtId="0" fontId="29" fillId="5" borderId="58" xfId="0" applyNumberFormat="1" applyFont="1" applyFill="1" applyBorder="1" applyAlignment="1">
      <alignment horizontal="left"/>
    </xf>
    <xf numFmtId="0" fontId="29" fillId="5" borderId="66" xfId="0" applyNumberFormat="1" applyFont="1" applyFill="1" applyBorder="1" applyAlignment="1">
      <alignment horizontal="left"/>
    </xf>
    <xf numFmtId="0" fontId="28" fillId="5" borderId="0" xfId="0" applyNumberFormat="1" applyFont="1" applyFill="1" applyBorder="1" applyAlignment="1">
      <alignment horizontal="left"/>
    </xf>
    <xf numFmtId="0" fontId="28" fillId="5" borderId="61" xfId="0" quotePrefix="1" applyNumberFormat="1" applyFont="1" applyFill="1" applyBorder="1" applyAlignment="1">
      <alignment horizontal="left"/>
    </xf>
    <xf numFmtId="0" fontId="29" fillId="5" borderId="62" xfId="0" applyNumberFormat="1" applyFont="1" applyFill="1" applyBorder="1" applyAlignment="1">
      <alignment horizontal="left"/>
    </xf>
    <xf numFmtId="0" fontId="29" fillId="5" borderId="65" xfId="0" applyNumberFormat="1" applyFont="1" applyFill="1" applyBorder="1" applyAlignment="1">
      <alignment horizontal="left"/>
    </xf>
    <xf numFmtId="0" fontId="28" fillId="5" borderId="55" xfId="0" applyNumberFormat="1" applyFont="1" applyFill="1" applyBorder="1" applyAlignment="1">
      <alignment horizontal="left"/>
    </xf>
    <xf numFmtId="0" fontId="28" fillId="5" borderId="63" xfId="0" quotePrefix="1" applyNumberFormat="1" applyFont="1" applyFill="1" applyBorder="1" applyAlignment="1">
      <alignment horizontal="left"/>
    </xf>
    <xf numFmtId="0" fontId="22" fillId="27" borderId="0" xfId="0" applyFont="1" applyFill="1" applyBorder="1" applyAlignment="1">
      <alignment horizontal="center" vertical="center"/>
    </xf>
    <xf numFmtId="0" fontId="22" fillId="27" borderId="0" xfId="0" quotePrefix="1" applyFont="1" applyFill="1" applyAlignment="1">
      <alignment horizontal="center" vertical="center"/>
    </xf>
    <xf numFmtId="0" fontId="0" fillId="0" borderId="0" xfId="0" applyFill="1"/>
    <xf numFmtId="0" fontId="27" fillId="19" borderId="72" xfId="0" applyFont="1" applyFill="1" applyBorder="1" applyAlignment="1">
      <alignment horizontal="center" vertical="center"/>
    </xf>
    <xf numFmtId="0" fontId="28" fillId="36" borderId="72" xfId="0" applyFont="1" applyFill="1" applyBorder="1" applyAlignment="1">
      <alignment horizontal="center" vertical="center"/>
    </xf>
    <xf numFmtId="0" fontId="31" fillId="36" borderId="72" xfId="0" applyFont="1" applyFill="1" applyBorder="1" applyAlignment="1">
      <alignment vertical="center"/>
    </xf>
    <xf numFmtId="0" fontId="28" fillId="36" borderId="72" xfId="0" applyFont="1" applyFill="1" applyBorder="1" applyAlignment="1">
      <alignment vertical="center"/>
    </xf>
    <xf numFmtId="0" fontId="28" fillId="33" borderId="72" xfId="0" applyFont="1" applyFill="1" applyBorder="1" applyAlignment="1">
      <alignment horizontal="center" vertical="center"/>
    </xf>
    <xf numFmtId="0" fontId="31" fillId="33" borderId="72" xfId="0" applyFont="1" applyFill="1" applyBorder="1" applyAlignment="1">
      <alignment vertical="center"/>
    </xf>
    <xf numFmtId="0" fontId="28" fillId="33" borderId="72" xfId="0" applyFont="1" applyFill="1" applyBorder="1" applyAlignment="1">
      <alignment vertical="center"/>
    </xf>
    <xf numFmtId="0" fontId="0" fillId="0" borderId="0" xfId="0" applyAlignment="1">
      <alignment wrapText="1"/>
    </xf>
    <xf numFmtId="0" fontId="15" fillId="7" borderId="14" xfId="0" applyFont="1" applyFill="1" applyBorder="1"/>
    <xf numFmtId="0" fontId="15" fillId="37" borderId="14" xfId="0" applyFont="1" applyFill="1" applyBorder="1"/>
    <xf numFmtId="0" fontId="28" fillId="12" borderId="72" xfId="0" applyFont="1" applyFill="1" applyBorder="1" applyAlignment="1">
      <alignment horizontal="center" vertical="center"/>
    </xf>
    <xf numFmtId="0" fontId="31" fillId="12" borderId="72" xfId="0" applyFont="1" applyFill="1" applyBorder="1" applyAlignment="1">
      <alignment vertical="center"/>
    </xf>
    <xf numFmtId="0" fontId="28" fillId="12" borderId="72" xfId="0" applyFont="1" applyFill="1" applyBorder="1" applyAlignment="1">
      <alignment vertical="center"/>
    </xf>
    <xf numFmtId="14" fontId="0" fillId="7" borderId="19" xfId="0" applyNumberFormat="1" applyFill="1" applyBorder="1" applyAlignment="1">
      <alignment horizontal="center"/>
    </xf>
    <xf numFmtId="14" fontId="0" fillId="7" borderId="21" xfId="0" applyNumberFormat="1" applyFill="1" applyBorder="1" applyAlignment="1">
      <alignment horizontal="center"/>
    </xf>
    <xf numFmtId="18" fontId="0" fillId="7" borderId="19" xfId="0" applyNumberFormat="1" applyFill="1" applyBorder="1" applyAlignment="1">
      <alignment horizontal="center"/>
    </xf>
    <xf numFmtId="169" fontId="0" fillId="7" borderId="19" xfId="0" applyNumberFormat="1" applyFill="1" applyBorder="1" applyAlignment="1">
      <alignment horizontal="center"/>
    </xf>
    <xf numFmtId="169" fontId="0" fillId="7" borderId="21" xfId="0" applyNumberFormat="1" applyFill="1" applyBorder="1" applyAlignment="1">
      <alignment horizontal="center"/>
    </xf>
    <xf numFmtId="170" fontId="0" fillId="7" borderId="21" xfId="0" applyNumberFormat="1" applyFill="1" applyBorder="1" applyAlignment="1">
      <alignment horizontal="center"/>
    </xf>
    <xf numFmtId="0" fontId="28" fillId="9" borderId="72" xfId="0" applyFont="1" applyFill="1" applyBorder="1" applyAlignment="1">
      <alignment horizontal="center" vertical="center"/>
    </xf>
    <xf numFmtId="0" fontId="31" fillId="9" borderId="72" xfId="0" applyFont="1" applyFill="1" applyBorder="1" applyAlignment="1">
      <alignment vertical="center"/>
    </xf>
    <xf numFmtId="0" fontId="28" fillId="9" borderId="72" xfId="0" applyFont="1" applyFill="1" applyBorder="1" applyAlignment="1">
      <alignment vertical="center"/>
    </xf>
    <xf numFmtId="0" fontId="28" fillId="5" borderId="72" xfId="0" applyFont="1" applyFill="1" applyBorder="1" applyAlignment="1">
      <alignment horizontal="center" vertical="center"/>
    </xf>
    <xf numFmtId="0" fontId="31" fillId="5" borderId="72" xfId="0" applyFont="1" applyFill="1" applyBorder="1" applyAlignment="1">
      <alignment vertical="center"/>
    </xf>
    <xf numFmtId="0" fontId="28" fillId="5" borderId="72" xfId="0" applyFont="1" applyFill="1" applyBorder="1" applyAlignment="1">
      <alignment vertical="center"/>
    </xf>
    <xf numFmtId="0" fontId="28" fillId="38" borderId="72" xfId="0" applyFont="1" applyFill="1" applyBorder="1" applyAlignment="1">
      <alignment horizontal="center" vertical="center"/>
    </xf>
    <xf numFmtId="0" fontId="31" fillId="38" borderId="72" xfId="0" applyFont="1" applyFill="1" applyBorder="1" applyAlignment="1">
      <alignment vertical="center"/>
    </xf>
    <xf numFmtId="0" fontId="28" fillId="38" borderId="72" xfId="0" applyFont="1" applyFill="1" applyBorder="1" applyAlignment="1">
      <alignment vertical="center"/>
    </xf>
    <xf numFmtId="0" fontId="28" fillId="39" borderId="72" xfId="0" applyFont="1" applyFill="1" applyBorder="1" applyAlignment="1">
      <alignment horizontal="center" vertical="center"/>
    </xf>
    <xf numFmtId="0" fontId="31" fillId="39" borderId="72" xfId="0" applyFont="1" applyFill="1" applyBorder="1" applyAlignment="1">
      <alignment vertical="center"/>
    </xf>
    <xf numFmtId="0" fontId="28" fillId="39" borderId="72" xfId="0" applyFont="1" applyFill="1" applyBorder="1" applyAlignment="1">
      <alignment vertical="center"/>
    </xf>
    <xf numFmtId="170" fontId="0" fillId="37" borderId="21" xfId="0" applyNumberFormat="1" applyFill="1" applyBorder="1" applyAlignment="1">
      <alignment horizontal="center"/>
    </xf>
    <xf numFmtId="169" fontId="0" fillId="37" borderId="21" xfId="0" applyNumberFormat="1" applyFill="1" applyBorder="1" applyAlignment="1">
      <alignment horizontal="center"/>
    </xf>
    <xf numFmtId="14" fontId="0" fillId="12" borderId="14" xfId="0" applyNumberFormat="1" applyFill="1" applyBorder="1"/>
    <xf numFmtId="22" fontId="0" fillId="12" borderId="14" xfId="0" applyNumberFormat="1" applyFill="1" applyBorder="1"/>
    <xf numFmtId="18" fontId="0" fillId="12" borderId="14" xfId="0" applyNumberFormat="1" applyFill="1" applyBorder="1"/>
    <xf numFmtId="0" fontId="0" fillId="40" borderId="14" xfId="0" applyFill="1" applyBorder="1" applyAlignment="1">
      <alignment horizontal="center"/>
    </xf>
    <xf numFmtId="14" fontId="0" fillId="40" borderId="20" xfId="0" applyNumberFormat="1" applyFill="1" applyBorder="1" applyAlignment="1">
      <alignment horizontal="center"/>
    </xf>
    <xf numFmtId="18" fontId="0" fillId="40" borderId="14" xfId="0" applyNumberFormat="1" applyFill="1" applyBorder="1" applyAlignment="1">
      <alignment horizontal="center"/>
    </xf>
    <xf numFmtId="0" fontId="0" fillId="7" borderId="21" xfId="0" applyNumberFormat="1" applyFill="1" applyBorder="1" applyAlignment="1">
      <alignment horizontal="center"/>
    </xf>
    <xf numFmtId="0" fontId="28" fillId="26" borderId="72" xfId="0" applyFont="1" applyFill="1" applyBorder="1" applyAlignment="1">
      <alignment horizontal="center" vertical="center"/>
    </xf>
    <xf numFmtId="0" fontId="31" fillId="26" borderId="72" xfId="0" applyFont="1" applyFill="1" applyBorder="1" applyAlignment="1">
      <alignment vertical="center"/>
    </xf>
    <xf numFmtId="0" fontId="28" fillId="26" borderId="72" xfId="0" applyFont="1" applyFill="1" applyBorder="1" applyAlignment="1">
      <alignment vertical="center"/>
    </xf>
    <xf numFmtId="0" fontId="28" fillId="10" borderId="72" xfId="0" applyFont="1" applyFill="1" applyBorder="1" applyAlignment="1">
      <alignment horizontal="center" vertical="center"/>
    </xf>
    <xf numFmtId="0" fontId="31" fillId="10" borderId="72" xfId="0" applyFont="1" applyFill="1" applyBorder="1" applyAlignment="1">
      <alignment vertical="center"/>
    </xf>
    <xf numFmtId="0" fontId="28" fillId="10" borderId="72" xfId="0" applyFont="1" applyFill="1" applyBorder="1" applyAlignment="1">
      <alignment vertical="center"/>
    </xf>
    <xf numFmtId="0" fontId="28" fillId="41" borderId="72" xfId="0" applyFont="1" applyFill="1" applyBorder="1" applyAlignment="1">
      <alignment horizontal="center" vertical="center"/>
    </xf>
    <xf numFmtId="0" fontId="31" fillId="41" borderId="72" xfId="0" applyFont="1" applyFill="1" applyBorder="1" applyAlignment="1">
      <alignment vertical="center"/>
    </xf>
    <xf numFmtId="0" fontId="28" fillId="41" borderId="72" xfId="0" applyFont="1" applyFill="1" applyBorder="1" applyAlignment="1">
      <alignment vertical="center"/>
    </xf>
    <xf numFmtId="0" fontId="28" fillId="42" borderId="72" xfId="0" applyFont="1" applyFill="1" applyBorder="1" applyAlignment="1">
      <alignment horizontal="center" vertical="center"/>
    </xf>
    <xf numFmtId="0" fontId="31" fillId="42" borderId="72" xfId="0" applyFont="1" applyFill="1" applyBorder="1" applyAlignment="1">
      <alignment vertical="center"/>
    </xf>
    <xf numFmtId="0" fontId="28" fillId="42" borderId="72" xfId="0" applyFont="1" applyFill="1" applyBorder="1" applyAlignment="1">
      <alignment vertical="center"/>
    </xf>
    <xf numFmtId="22" fontId="0" fillId="7" borderId="21" xfId="0" applyNumberFormat="1" applyFill="1" applyBorder="1" applyAlignment="1">
      <alignment horizontal="center"/>
    </xf>
    <xf numFmtId="171" fontId="0" fillId="7" borderId="21" xfId="0" applyNumberFormat="1" applyFill="1" applyBorder="1" applyAlignment="1">
      <alignment horizontal="center"/>
    </xf>
    <xf numFmtId="0" fontId="0" fillId="37" borderId="21" xfId="0" applyNumberFormat="1" applyFill="1" applyBorder="1" applyAlignment="1">
      <alignment horizontal="center"/>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xf numFmtId="0" fontId="29" fillId="34" borderId="64" xfId="0" applyNumberFormat="1" applyFont="1" applyFill="1" applyBorder="1" applyAlignment="1">
      <alignment horizontal="center"/>
    </xf>
    <xf numFmtId="0" fontId="29" fillId="34" borderId="68" xfId="0" applyNumberFormat="1" applyFont="1" applyFill="1" applyBorder="1" applyAlignment="1">
      <alignment horizontal="center"/>
    </xf>
    <xf numFmtId="0" fontId="29" fillId="34" borderId="69" xfId="0" applyNumberFormat="1" applyFont="1" applyFill="1" applyBorder="1" applyAlignment="1">
      <alignment horizontal="center"/>
    </xf>
    <xf numFmtId="0" fontId="22" fillId="27" borderId="28" xfId="0" applyFont="1" applyFill="1" applyBorder="1" applyAlignment="1">
      <alignment horizontal="center" vertical="center"/>
    </xf>
    <xf numFmtId="0" fontId="30" fillId="27" borderId="28" xfId="0" applyFont="1" applyFill="1" applyBorder="1" applyAlignment="1">
      <alignment horizontal="center" vertical="center"/>
    </xf>
    <xf numFmtId="0" fontId="29" fillId="35" borderId="71" xfId="0" applyFont="1" applyFill="1" applyBorder="1" applyAlignment="1">
      <alignment horizontal="center" vertical="center"/>
    </xf>
    <xf numFmtId="0" fontId="29" fillId="35" borderId="70" xfId="0" applyFont="1" applyFill="1" applyBorder="1" applyAlignment="1">
      <alignment horizontal="center" vertical="center"/>
    </xf>
    <xf numFmtId="0" fontId="29" fillId="35" borderId="73" xfId="0" applyFont="1" applyFill="1" applyBorder="1" applyAlignment="1">
      <alignment horizontal="center" vertical="center"/>
    </xf>
  </cellXfs>
  <cellStyles count="2">
    <cellStyle name="Normal" xfId="0" builtinId="0"/>
    <cellStyle name="Percent" xfId="1" builtinId="5"/>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45" dataDxfId="43" headerRowBorderDxfId="44" tableBorderDxfId="42">
  <autoFilter ref="A1:F38" xr:uid="{2688C5AF-1E0A-4EDD-AF11-5A4BBABB9721}"/>
  <tableColumns count="6">
    <tableColumn id="1" xr3:uid="{B1033A5F-C26D-48E8-B4BE-5F7761A770FB}" name="Date" dataDxfId="41" totalsRowDxfId="40"/>
    <tableColumn id="2" xr3:uid="{AD6BA12D-25CE-4D3E-8E2A-1DD281A3FDA5}" name="Employee Name" dataDxfId="39" totalsRowDxfId="38"/>
    <tableColumn id="3" xr3:uid="{96E1CF2B-482C-42D2-8CEA-C0CE6D69979C}" name="Department" dataDxfId="37" totalsRowDxfId="36"/>
    <tableColumn id="4" xr3:uid="{602E6D48-4D10-4D1E-9636-6A41FF0A4753}" name="Region" dataDxfId="35" totalsRowDxfId="34"/>
    <tableColumn id="5" xr3:uid="{98D904BD-DEE8-4674-A97B-995E27B5AB23}" name="Sales (Rs.)" dataDxfId="33" totalsRowDxfId="32"/>
    <tableColumn id="6" xr3:uid="{F7A5EC06-42D8-4DD0-83BA-C91339988D38}" name="Target (Rs.)" totalsRowFunction="custom" dataDxfId="31" totalsRowDxfId="30">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C1" sqref="C1"/>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67</v>
      </c>
      <c r="E2" s="25">
        <f t="shared" ca="1" si="0"/>
        <v>48</v>
      </c>
      <c r="F2" s="25"/>
      <c r="G2" s="28">
        <f ca="1">COUNT(C2:F2)</f>
        <v>2</v>
      </c>
      <c r="H2" s="28">
        <f ca="1">COUNTA(C2:F2)</f>
        <v>3</v>
      </c>
      <c r="I2" s="29">
        <f ca="1">COUNTBLANK(C2:F2)</f>
        <v>1</v>
      </c>
    </row>
    <row r="3" spans="2:9" ht="33" thickTop="1" thickBot="1" x14ac:dyDescent="0.55000000000000004">
      <c r="B3" s="24" t="s">
        <v>89</v>
      </c>
      <c r="C3" s="25">
        <f t="shared" ca="1" si="0"/>
        <v>10</v>
      </c>
      <c r="D3" s="25">
        <f t="shared" ca="1" si="0"/>
        <v>37</v>
      </c>
      <c r="E3" s="25"/>
      <c r="F3" s="25">
        <f t="shared" ca="1" si="0"/>
        <v>82</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100</v>
      </c>
      <c r="E4" s="25">
        <f t="shared" ca="1" si="0"/>
        <v>62</v>
      </c>
      <c r="F4" s="25"/>
      <c r="G4" s="28">
        <f t="shared" ca="1" si="1"/>
        <v>2</v>
      </c>
      <c r="H4" s="28">
        <f t="shared" ca="1" si="2"/>
        <v>2</v>
      </c>
      <c r="I4" s="29">
        <f t="shared" ca="1" si="3"/>
        <v>2</v>
      </c>
    </row>
    <row r="5" spans="2:9" ht="33" thickTop="1" thickBot="1" x14ac:dyDescent="0.55000000000000004">
      <c r="B5" s="24" t="s">
        <v>59</v>
      </c>
      <c r="C5" s="25">
        <f t="shared" ca="1" si="0"/>
        <v>18</v>
      </c>
      <c r="D5" s="25">
        <f t="shared" ca="1" si="0"/>
        <v>47</v>
      </c>
      <c r="E5" s="25"/>
      <c r="F5" s="25">
        <f t="shared" ca="1" si="0"/>
        <v>36</v>
      </c>
      <c r="G5" s="28">
        <f t="shared" ca="1" si="1"/>
        <v>3</v>
      </c>
      <c r="H5" s="28">
        <f t="shared" ca="1" si="2"/>
        <v>3</v>
      </c>
      <c r="I5" s="29">
        <f t="shared" ca="1" si="3"/>
        <v>1</v>
      </c>
    </row>
    <row r="6" spans="2:9" ht="33" thickTop="1" thickBot="1" x14ac:dyDescent="0.55000000000000004">
      <c r="B6" s="24" t="s">
        <v>76</v>
      </c>
      <c r="C6" s="25">
        <f t="shared" ca="1" si="0"/>
        <v>8</v>
      </c>
      <c r="D6" s="25">
        <f t="shared" ca="1" si="0"/>
        <v>87</v>
      </c>
      <c r="E6" s="25"/>
      <c r="F6" s="25">
        <f t="shared" ca="1" si="0"/>
        <v>37</v>
      </c>
      <c r="G6" s="28">
        <f t="shared" ca="1" si="1"/>
        <v>3</v>
      </c>
      <c r="H6" s="28">
        <f t="shared" ca="1" si="2"/>
        <v>3</v>
      </c>
      <c r="I6" s="29">
        <f t="shared" ca="1" si="3"/>
        <v>1</v>
      </c>
    </row>
    <row r="7" spans="2:9" ht="33" thickTop="1" thickBot="1" x14ac:dyDescent="0.55000000000000004">
      <c r="B7" s="24" t="s">
        <v>142</v>
      </c>
      <c r="C7" s="25"/>
      <c r="D7" s="25">
        <f t="shared" ca="1" si="0"/>
        <v>36</v>
      </c>
      <c r="E7" s="25">
        <f t="shared" ca="1" si="0"/>
        <v>66</v>
      </c>
      <c r="F7" s="25">
        <f t="shared" ca="1" si="0"/>
        <v>28</v>
      </c>
      <c r="G7" s="28">
        <f t="shared" ca="1" si="1"/>
        <v>3</v>
      </c>
      <c r="H7" s="28">
        <f t="shared" ca="1" si="2"/>
        <v>3</v>
      </c>
      <c r="I7" s="29">
        <f t="shared" ca="1" si="3"/>
        <v>1</v>
      </c>
    </row>
    <row r="8" spans="2:9" ht="33" thickTop="1" thickBot="1" x14ac:dyDescent="0.55000000000000004">
      <c r="B8" s="24" t="s">
        <v>152</v>
      </c>
      <c r="C8" s="25">
        <f t="shared" ca="1" si="0"/>
        <v>20</v>
      </c>
      <c r="D8" s="25" t="s">
        <v>468</v>
      </c>
      <c r="E8" s="25" t="s">
        <v>468</v>
      </c>
      <c r="F8" s="25">
        <f t="shared" ca="1" si="0"/>
        <v>86</v>
      </c>
      <c r="G8" s="28">
        <f t="shared" ca="1" si="1"/>
        <v>2</v>
      </c>
      <c r="H8" s="28">
        <f t="shared" ca="1" si="2"/>
        <v>4</v>
      </c>
      <c r="I8" s="29">
        <f t="shared" ca="1" si="3"/>
        <v>0</v>
      </c>
    </row>
    <row r="9" spans="2:9" ht="33" thickTop="1" thickBot="1" x14ac:dyDescent="0.55000000000000004">
      <c r="B9" s="24" t="s">
        <v>156</v>
      </c>
      <c r="C9" s="25">
        <f t="shared" ca="1" si="0"/>
        <v>53</v>
      </c>
      <c r="D9" s="25">
        <f t="shared" ca="1" si="0"/>
        <v>84</v>
      </c>
      <c r="E9" s="25">
        <f t="shared" ca="1" si="0"/>
        <v>60</v>
      </c>
      <c r="F9" s="25">
        <f t="shared" ca="1" si="0"/>
        <v>51</v>
      </c>
      <c r="G9" s="28">
        <f t="shared" ca="1" si="1"/>
        <v>4</v>
      </c>
      <c r="H9" s="28">
        <f t="shared" ca="1" si="2"/>
        <v>4</v>
      </c>
      <c r="I9" s="29">
        <f t="shared" ca="1" si="3"/>
        <v>0</v>
      </c>
    </row>
    <row r="10" spans="2:9" ht="33" thickTop="1" thickBot="1" x14ac:dyDescent="0.55000000000000004">
      <c r="B10" s="24" t="s">
        <v>164</v>
      </c>
      <c r="C10" s="25">
        <f t="shared" ca="1" si="0"/>
        <v>22</v>
      </c>
      <c r="D10" s="25"/>
      <c r="E10" s="25">
        <f t="shared" ca="1" si="0"/>
        <v>33</v>
      </c>
      <c r="F10" s="25"/>
      <c r="G10" s="28">
        <f t="shared" ca="1" si="1"/>
        <v>2</v>
      </c>
      <c r="H10" s="28">
        <f t="shared" ca="1" si="2"/>
        <v>2</v>
      </c>
      <c r="I10" s="29">
        <f t="shared" ca="1" si="3"/>
        <v>2</v>
      </c>
    </row>
    <row r="11" spans="2:9" ht="33" thickTop="1" thickBot="1" x14ac:dyDescent="0.55000000000000004">
      <c r="B11" s="24" t="s">
        <v>171</v>
      </c>
      <c r="C11" s="25">
        <f t="shared" ca="1" si="0"/>
        <v>41</v>
      </c>
      <c r="D11" s="25">
        <f t="shared" ca="1" si="0"/>
        <v>65</v>
      </c>
      <c r="E11" s="25">
        <f t="shared" ca="1" si="0"/>
        <v>41</v>
      </c>
      <c r="F11" s="25">
        <f t="shared" ca="1" si="0"/>
        <v>57</v>
      </c>
      <c r="G11" s="28">
        <f t="shared" ca="1" si="1"/>
        <v>4</v>
      </c>
      <c r="H11" s="28">
        <f t="shared" ca="1" si="2"/>
        <v>4</v>
      </c>
      <c r="I11" s="29">
        <f t="shared" ca="1" si="3"/>
        <v>0</v>
      </c>
    </row>
    <row r="12" spans="2:9" ht="33" thickTop="1" thickBot="1" x14ac:dyDescent="0.55000000000000004">
      <c r="B12" s="24" t="s">
        <v>176</v>
      </c>
      <c r="C12" s="25">
        <f t="shared" ca="1" si="0"/>
        <v>94</v>
      </c>
      <c r="D12" s="25">
        <f t="shared" ca="1" si="0"/>
        <v>93</v>
      </c>
      <c r="E12" s="25">
        <f t="shared" ca="1" si="0"/>
        <v>32</v>
      </c>
      <c r="F12" s="25"/>
      <c r="G12" s="28">
        <f t="shared" ca="1" si="1"/>
        <v>3</v>
      </c>
      <c r="H12" s="28">
        <f t="shared" ca="1" si="2"/>
        <v>3</v>
      </c>
      <c r="I12" s="29">
        <f t="shared" ca="1" si="3"/>
        <v>1</v>
      </c>
    </row>
    <row r="13" spans="2:9" ht="33" thickTop="1" thickBot="1" x14ac:dyDescent="0.55000000000000004">
      <c r="B13" s="24" t="s">
        <v>181</v>
      </c>
      <c r="C13" s="25">
        <f t="shared" ca="1" si="0"/>
        <v>9</v>
      </c>
      <c r="D13" s="25">
        <f t="shared" ca="1" si="0"/>
        <v>20</v>
      </c>
      <c r="E13" s="25"/>
      <c r="F13" s="25">
        <f t="shared" ca="1" si="0"/>
        <v>20</v>
      </c>
      <c r="G13" s="28">
        <f t="shared" ca="1" si="1"/>
        <v>3</v>
      </c>
      <c r="H13" s="28">
        <f t="shared" ca="1" si="2"/>
        <v>3</v>
      </c>
      <c r="I13" s="29">
        <f t="shared" ca="1" si="3"/>
        <v>1</v>
      </c>
    </row>
    <row r="14" spans="2:9" ht="33" thickTop="1" thickBot="1" x14ac:dyDescent="0.55000000000000004">
      <c r="B14" s="24" t="s">
        <v>42</v>
      </c>
      <c r="C14" s="25">
        <f t="shared" ca="1" si="0"/>
        <v>10</v>
      </c>
      <c r="D14" s="25">
        <f t="shared" ca="1" si="0"/>
        <v>49</v>
      </c>
      <c r="E14" s="25" t="s">
        <v>468</v>
      </c>
      <c r="F14" s="25">
        <f t="shared" ca="1" si="0"/>
        <v>68</v>
      </c>
      <c r="G14" s="28">
        <f t="shared" ca="1" si="1"/>
        <v>3</v>
      </c>
      <c r="H14" s="28">
        <f t="shared" ca="1" si="2"/>
        <v>4</v>
      </c>
      <c r="I14" s="29">
        <f t="shared" ca="1" si="3"/>
        <v>0</v>
      </c>
    </row>
    <row r="15" spans="2:9" ht="33" thickTop="1" thickBot="1" x14ac:dyDescent="0.55000000000000004">
      <c r="B15" s="26" t="s">
        <v>196</v>
      </c>
      <c r="C15" s="27" t="s">
        <v>468</v>
      </c>
      <c r="D15" s="27"/>
      <c r="E15" s="27">
        <f t="shared" ca="1" si="0"/>
        <v>73</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59" priority="44" operator="equal">
      <formula>20000</formula>
    </cfRule>
    <cfRule type="cellIs" dxfId="58" priority="45" operator="between">
      <formula>50000</formula>
      <formula>100000</formula>
    </cfRule>
    <cfRule type="cellIs" dxfId="57" priority="46" operator="between">
      <formula>"Rs. 65,984"</formula>
      <formula>"Rs. 121,395"</formula>
    </cfRule>
    <cfRule type="cellIs" dxfId="56" priority="47" operator="lessThan">
      <formula>93689</formula>
    </cfRule>
    <cfRule type="cellIs" dxfId="55" priority="48" operator="greaterThan">
      <formula>93689</formula>
    </cfRule>
    <cfRule type="cellIs" dxfId="54" priority="49" operator="greaterThan">
      <formula>"Rs. 93,689"</formula>
    </cfRule>
  </conditionalFormatting>
  <conditionalFormatting sqref="B2:B53">
    <cfRule type="containsText" dxfId="53" priority="43" operator="containsText" text="Ayesha khan">
      <formula>NOT(ISERROR(SEARCH("Ayesha khan",B2)))</formula>
    </cfRule>
  </conditionalFormatting>
  <conditionalFormatting sqref="A3:A53">
    <cfRule type="timePeriod" dxfId="52" priority="41" timePeriod="yesterday">
      <formula>FLOOR(A3,1)=TODAY()-1</formula>
    </cfRule>
    <cfRule type="timePeriod" dxfId="51" priority="42" timePeriod="yesterday">
      <formula>FLOOR(A3,1)=TODAY()-1</formula>
    </cfRule>
  </conditionalFormatting>
  <conditionalFormatting sqref="A2:A53">
    <cfRule type="timePeriod" dxfId="50" priority="38" timePeriod="nextWeek">
      <formula>AND(ROUNDDOWN(A2,0)-TODAY()&gt;(7-WEEKDAY(TODAY())),ROUNDDOWN(A2,0)-TODAY()&lt;(15-WEEKDAY(TODAY())))</formula>
    </cfRule>
    <cfRule type="timePeriod" dxfId="49" priority="39" timePeriod="yesterday">
      <formula>FLOOR(A2,1)=TODAY()-1</formula>
    </cfRule>
    <cfRule type="timePeriod" dxfId="48" priority="40" timePeriod="today">
      <formula>FLOOR(A2,1)=TODAY()</formula>
    </cfRule>
  </conditionalFormatting>
  <conditionalFormatting sqref="F2:F53">
    <cfRule type="uniqueValues" dxfId="47" priority="36"/>
    <cfRule type="duplicateValues" dxfId="46"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topLeftCell="C22" zoomScale="70" zoomScaleNormal="7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294" t="s">
        <v>528</v>
      </c>
      <c r="D59" s="295"/>
      <c r="E59" s="295"/>
      <c r="F59" s="295"/>
      <c r="G59" s="295"/>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296" t="s">
        <v>534</v>
      </c>
      <c r="B169" s="297"/>
      <c r="C169" s="297"/>
      <c r="D169" s="297"/>
      <c r="E169" s="297"/>
      <c r="F169" s="297"/>
      <c r="G169" s="297"/>
      <c r="H169" s="297"/>
      <c r="I169" s="297"/>
      <c r="J169" s="297"/>
      <c r="K169" s="297"/>
      <c r="L169" s="297"/>
      <c r="M169" s="297"/>
      <c r="N169" s="297"/>
      <c r="O169" s="298"/>
    </row>
    <row r="170" spans="1:15" ht="15.75" thickBot="1" x14ac:dyDescent="0.3">
      <c r="A170" s="299"/>
      <c r="B170" s="300"/>
      <c r="C170" s="300"/>
      <c r="D170" s="300"/>
      <c r="E170" s="300"/>
      <c r="F170" s="300"/>
      <c r="G170" s="300"/>
      <c r="H170" s="300"/>
      <c r="I170" s="300"/>
      <c r="J170" s="300"/>
      <c r="K170" s="300"/>
      <c r="L170" s="300"/>
      <c r="M170" s="300"/>
      <c r="N170" s="300"/>
      <c r="O170" s="301"/>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302" t="s">
        <v>541</v>
      </c>
      <c r="E1" s="303"/>
      <c r="F1" s="303"/>
      <c r="G1" s="303"/>
      <c r="H1" s="303"/>
      <c r="I1" s="303"/>
      <c r="X1" s="304" t="s">
        <v>542</v>
      </c>
      <c r="Y1" s="305"/>
      <c r="Z1" s="305"/>
      <c r="AA1" s="305"/>
      <c r="AB1" s="305"/>
      <c r="AC1" s="306"/>
    </row>
    <row r="2" spans="4:29" x14ac:dyDescent="0.25">
      <c r="D2" s="106" t="s">
        <v>470</v>
      </c>
      <c r="E2" s="106" t="s">
        <v>6</v>
      </c>
      <c r="F2" s="106" t="s">
        <v>36</v>
      </c>
      <c r="G2" s="105" t="s">
        <v>472</v>
      </c>
      <c r="H2" s="134" t="s">
        <v>536</v>
      </c>
      <c r="I2" s="106" t="s">
        <v>537</v>
      </c>
      <c r="K2" s="304" t="s">
        <v>543</v>
      </c>
      <c r="L2" s="305"/>
      <c r="M2" s="305"/>
      <c r="N2" s="305"/>
      <c r="O2" s="305"/>
      <c r="P2" s="305"/>
      <c r="Q2" s="305"/>
      <c r="R2" s="305"/>
      <c r="S2" s="305"/>
      <c r="T2" s="305"/>
      <c r="U2" s="305"/>
      <c r="V2" s="306"/>
      <c r="X2" s="302" t="str">
        <f t="shared" ref="X2:X17" si="0">D1</f>
        <v>OPERATIONS</v>
      </c>
      <c r="Y2" s="303"/>
      <c r="Z2" s="303"/>
      <c r="AA2" s="303"/>
      <c r="AB2" s="303"/>
      <c r="AC2" s="303"/>
    </row>
    <row r="3" spans="4:29" x14ac:dyDescent="0.25">
      <c r="D3" s="105" t="s">
        <v>473</v>
      </c>
      <c r="E3" s="105" t="s">
        <v>93</v>
      </c>
      <c r="F3" s="105" t="s">
        <v>57</v>
      </c>
      <c r="G3" s="105">
        <v>137396</v>
      </c>
      <c r="H3" s="135">
        <f t="shared" ref="H3:H16" ca="1" si="1">(RANDBETWEEN(10,50))/100</f>
        <v>0.41</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0.15</v>
      </c>
      <c r="X4" s="105" t="str">
        <f t="shared" si="0"/>
        <v>Muhammad Ahmed</v>
      </c>
      <c r="Y4" s="105" t="str">
        <f t="shared" si="2"/>
        <v>Operations</v>
      </c>
      <c r="Z4" s="105" t="str">
        <f t="shared" si="2"/>
        <v>South</v>
      </c>
      <c r="AA4" s="105">
        <f t="shared" si="2"/>
        <v>137396</v>
      </c>
      <c r="AB4" s="135">
        <f t="shared" ca="1" si="2"/>
        <v>0.41</v>
      </c>
      <c r="AC4" s="105">
        <f t="shared" si="2"/>
        <v>100</v>
      </c>
    </row>
    <row r="5" spans="4:29" x14ac:dyDescent="0.25">
      <c r="D5" s="105" t="s">
        <v>475</v>
      </c>
      <c r="E5" s="105" t="s">
        <v>93</v>
      </c>
      <c r="F5" s="105" t="s">
        <v>87</v>
      </c>
      <c r="G5" s="105">
        <v>137280</v>
      </c>
      <c r="H5" s="135">
        <f t="shared" ca="1" si="1"/>
        <v>0.11</v>
      </c>
      <c r="X5" s="105" t="str">
        <f t="shared" si="0"/>
        <v>Ayesha Khan</v>
      </c>
      <c r="Y5" s="105" t="str">
        <f t="shared" ref="Y5:Y17" si="3">E4</f>
        <v>Marketing</v>
      </c>
      <c r="Z5" s="105" t="str">
        <f t="shared" ref="Z5:Z17" si="4">F4</f>
        <v>North</v>
      </c>
      <c r="AA5" s="105">
        <f t="shared" ref="AA5:AA17" si="5">G4</f>
        <v>58489</v>
      </c>
      <c r="AB5" s="135">
        <f t="shared" ref="AB5:AB17" ca="1" si="6">H4</f>
        <v>0.15</v>
      </c>
    </row>
    <row r="6" spans="4:29" x14ac:dyDescent="0.25">
      <c r="D6" s="105" t="s">
        <v>476</v>
      </c>
      <c r="E6" s="105" t="s">
        <v>80</v>
      </c>
      <c r="F6" s="105" t="s">
        <v>103</v>
      </c>
      <c r="G6" s="105">
        <v>95502</v>
      </c>
      <c r="H6" s="135">
        <f t="shared" ca="1" si="1"/>
        <v>0.45</v>
      </c>
      <c r="L6" s="304" t="s">
        <v>540</v>
      </c>
      <c r="M6" s="305"/>
      <c r="N6" s="305"/>
      <c r="O6" s="305"/>
      <c r="P6" s="305"/>
      <c r="Q6" s="305"/>
      <c r="R6" s="305"/>
      <c r="S6" s="305"/>
      <c r="T6" s="305"/>
      <c r="U6" s="306"/>
      <c r="X6" s="105" t="str">
        <f t="shared" si="0"/>
        <v>Muhammad Hamza</v>
      </c>
      <c r="Y6" s="105" t="str">
        <f t="shared" si="3"/>
        <v>Operations</v>
      </c>
      <c r="Z6" s="105" t="str">
        <f t="shared" si="4"/>
        <v>West</v>
      </c>
      <c r="AA6" s="105">
        <f t="shared" si="5"/>
        <v>137280</v>
      </c>
      <c r="AB6" s="135">
        <f t="shared" ca="1" si="6"/>
        <v>0.11</v>
      </c>
    </row>
    <row r="7" spans="4:29" x14ac:dyDescent="0.25">
      <c r="D7" s="105" t="s">
        <v>477</v>
      </c>
      <c r="E7" s="105" t="s">
        <v>134</v>
      </c>
      <c r="F7" s="105" t="s">
        <v>74</v>
      </c>
      <c r="G7" s="105">
        <v>68857</v>
      </c>
      <c r="H7" s="135">
        <f t="shared" ca="1" si="1"/>
        <v>0.28999999999999998</v>
      </c>
      <c r="X7" s="105" t="str">
        <f t="shared" si="0"/>
        <v>Fatima Ali</v>
      </c>
      <c r="Y7" s="105" t="str">
        <f t="shared" si="3"/>
        <v>IT</v>
      </c>
      <c r="Z7" s="105" t="str">
        <f t="shared" si="4"/>
        <v>Central</v>
      </c>
      <c r="AA7" s="105">
        <f t="shared" si="5"/>
        <v>95502</v>
      </c>
      <c r="AB7" s="135">
        <f t="shared" ca="1" si="6"/>
        <v>0.45</v>
      </c>
    </row>
    <row r="8" spans="4:29" x14ac:dyDescent="0.25">
      <c r="D8" s="105" t="s">
        <v>478</v>
      </c>
      <c r="E8" s="105" t="s">
        <v>45</v>
      </c>
      <c r="F8" s="105" t="s">
        <v>123</v>
      </c>
      <c r="G8" s="105">
        <v>66262</v>
      </c>
      <c r="H8" s="135">
        <f t="shared" ca="1" si="1"/>
        <v>0.33</v>
      </c>
      <c r="M8" s="105">
        <v>137196</v>
      </c>
      <c r="N8" s="105">
        <v>137196</v>
      </c>
      <c r="X8" s="105" t="str">
        <f t="shared" si="0"/>
        <v>Hassan Raza</v>
      </c>
      <c r="Y8" s="105" t="str">
        <f t="shared" si="3"/>
        <v>Finance</v>
      </c>
      <c r="Z8" s="105" t="str">
        <f t="shared" si="4"/>
        <v>North</v>
      </c>
      <c r="AA8" s="105">
        <f t="shared" si="5"/>
        <v>68857</v>
      </c>
      <c r="AB8" s="135">
        <f t="shared" ca="1" si="6"/>
        <v>0.28999999999999998</v>
      </c>
    </row>
    <row r="9" spans="4:29" x14ac:dyDescent="0.25">
      <c r="D9" s="105" t="s">
        <v>479</v>
      </c>
      <c r="E9" s="105" t="s">
        <v>93</v>
      </c>
      <c r="F9" s="105" t="s">
        <v>57</v>
      </c>
      <c r="G9" s="105">
        <v>99078</v>
      </c>
      <c r="H9" s="135">
        <f t="shared" ca="1" si="1"/>
        <v>0.2</v>
      </c>
      <c r="M9" s="105">
        <v>64256</v>
      </c>
      <c r="N9" s="105"/>
      <c r="X9" s="105" t="str">
        <f t="shared" si="0"/>
        <v>Sana Ahmed</v>
      </c>
      <c r="Y9" s="105" t="str">
        <f t="shared" si="3"/>
        <v>Sales</v>
      </c>
      <c r="Z9" s="105" t="str">
        <f t="shared" si="4"/>
        <v>East</v>
      </c>
      <c r="AA9" s="105">
        <f t="shared" si="5"/>
        <v>66262</v>
      </c>
      <c r="AB9" s="135">
        <f t="shared" ca="1" si="6"/>
        <v>0.33</v>
      </c>
    </row>
    <row r="10" spans="4:29" x14ac:dyDescent="0.25">
      <c r="D10" s="105" t="s">
        <v>480</v>
      </c>
      <c r="E10" s="105" t="s">
        <v>80</v>
      </c>
      <c r="F10" s="105" t="s">
        <v>103</v>
      </c>
      <c r="G10" s="105">
        <v>41051</v>
      </c>
      <c r="H10" s="135">
        <f t="shared" ca="1" si="1"/>
        <v>0.3</v>
      </c>
      <c r="M10" s="105">
        <v>137080</v>
      </c>
      <c r="N10" s="105">
        <v>137080</v>
      </c>
      <c r="X10" s="105" t="str">
        <f t="shared" si="0"/>
        <v>Usman Malik</v>
      </c>
      <c r="Y10" s="105" t="str">
        <f t="shared" si="3"/>
        <v>Operations</v>
      </c>
      <c r="Z10" s="105" t="str">
        <f t="shared" si="4"/>
        <v>South</v>
      </c>
      <c r="AA10" s="105">
        <f t="shared" si="5"/>
        <v>99078</v>
      </c>
      <c r="AB10" s="135">
        <f t="shared" ca="1" si="6"/>
        <v>0.2</v>
      </c>
    </row>
    <row r="11" spans="4:29" x14ac:dyDescent="0.25">
      <c r="D11" s="105" t="s">
        <v>481</v>
      </c>
      <c r="E11" s="105" t="s">
        <v>45</v>
      </c>
      <c r="F11" s="105" t="s">
        <v>123</v>
      </c>
      <c r="G11" s="105">
        <v>76621</v>
      </c>
      <c r="H11" s="135">
        <f t="shared" ca="1" si="1"/>
        <v>0.35</v>
      </c>
      <c r="M11" s="105">
        <v>95302</v>
      </c>
      <c r="N11" s="105">
        <v>95302</v>
      </c>
      <c r="X11" s="105" t="str">
        <f t="shared" si="0"/>
        <v>Zainab Siddiqui</v>
      </c>
      <c r="Y11" s="105" t="str">
        <f t="shared" si="3"/>
        <v>IT</v>
      </c>
      <c r="Z11" s="105" t="str">
        <f t="shared" si="4"/>
        <v>Central</v>
      </c>
      <c r="AA11" s="105">
        <f t="shared" si="5"/>
        <v>41051</v>
      </c>
      <c r="AB11" s="135">
        <f t="shared" ca="1" si="6"/>
        <v>0.3</v>
      </c>
    </row>
    <row r="12" spans="4:29" x14ac:dyDescent="0.25">
      <c r="D12" s="105" t="s">
        <v>482</v>
      </c>
      <c r="E12" s="105" t="s">
        <v>45</v>
      </c>
      <c r="F12" s="105" t="s">
        <v>87</v>
      </c>
      <c r="G12" s="105">
        <v>84318</v>
      </c>
      <c r="H12" s="135">
        <f t="shared" ca="1" si="1"/>
        <v>0.18</v>
      </c>
      <c r="M12" s="105">
        <v>68657</v>
      </c>
      <c r="N12" s="105">
        <v>68657</v>
      </c>
      <c r="X12" s="105" t="str">
        <f t="shared" si="0"/>
        <v>Bilal Hussain</v>
      </c>
      <c r="Y12" s="105" t="str">
        <f t="shared" si="3"/>
        <v>Sales</v>
      </c>
      <c r="Z12" s="105" t="str">
        <f t="shared" si="4"/>
        <v>East</v>
      </c>
      <c r="AA12" s="105">
        <f t="shared" si="5"/>
        <v>76621</v>
      </c>
      <c r="AB12" s="135">
        <f t="shared" ca="1" si="6"/>
        <v>0.35</v>
      </c>
    </row>
    <row r="13" spans="4:29" x14ac:dyDescent="0.25">
      <c r="D13" s="136" t="s">
        <v>544</v>
      </c>
      <c r="E13" s="105" t="s">
        <v>134</v>
      </c>
      <c r="F13" s="105" t="s">
        <v>57</v>
      </c>
      <c r="G13" s="105">
        <v>52876</v>
      </c>
      <c r="H13" s="135">
        <f t="shared" ca="1" si="1"/>
        <v>0.11</v>
      </c>
      <c r="M13" s="105">
        <v>66062</v>
      </c>
      <c r="N13" s="105">
        <v>66062</v>
      </c>
      <c r="X13" s="105" t="str">
        <f t="shared" si="0"/>
        <v>Maryam Sheikh</v>
      </c>
      <c r="Y13" s="105" t="str">
        <f t="shared" si="3"/>
        <v>Sales</v>
      </c>
      <c r="Z13" s="105" t="str">
        <f t="shared" si="4"/>
        <v>West</v>
      </c>
      <c r="AA13" s="105">
        <f t="shared" si="5"/>
        <v>84318</v>
      </c>
      <c r="AB13" s="135">
        <f t="shared" ca="1" si="6"/>
        <v>0.18</v>
      </c>
    </row>
    <row r="14" spans="4:29" x14ac:dyDescent="0.25">
      <c r="D14" s="105" t="s">
        <v>484</v>
      </c>
      <c r="E14" s="105" t="s">
        <v>185</v>
      </c>
      <c r="F14" s="105" t="s">
        <v>123</v>
      </c>
      <c r="G14" s="105">
        <v>74871</v>
      </c>
      <c r="H14" s="135">
        <f t="shared" ca="1" si="1"/>
        <v>0.2</v>
      </c>
      <c r="M14" s="105">
        <v>98878</v>
      </c>
      <c r="N14" s="105">
        <v>98878</v>
      </c>
      <c r="X14" s="105" t="str">
        <f t="shared" si="0"/>
        <v>Ali Khan</v>
      </c>
      <c r="Y14" s="105" t="str">
        <f t="shared" si="3"/>
        <v>Finance</v>
      </c>
      <c r="Z14" s="105" t="str">
        <f t="shared" si="4"/>
        <v>South</v>
      </c>
      <c r="AA14" s="105">
        <f t="shared" si="5"/>
        <v>52876</v>
      </c>
      <c r="AB14" s="135">
        <f t="shared" ca="1" si="6"/>
        <v>0.11</v>
      </c>
    </row>
    <row r="15" spans="4:29" x14ac:dyDescent="0.25">
      <c r="D15" s="105" t="s">
        <v>485</v>
      </c>
      <c r="E15" s="105" t="s">
        <v>134</v>
      </c>
      <c r="F15" s="105" t="s">
        <v>123</v>
      </c>
      <c r="G15" s="105">
        <v>56561</v>
      </c>
      <c r="H15" s="135">
        <f t="shared" ca="1" si="1"/>
        <v>0.22</v>
      </c>
      <c r="M15" s="105">
        <v>40851</v>
      </c>
      <c r="N15" s="105">
        <v>40851</v>
      </c>
      <c r="X15" s="105" t="str">
        <f t="shared" si="0"/>
        <v>Hira Shah</v>
      </c>
      <c r="Y15" s="105" t="str">
        <f t="shared" si="3"/>
        <v>Marketing</v>
      </c>
      <c r="Z15" s="105" t="str">
        <f t="shared" si="4"/>
        <v>East</v>
      </c>
      <c r="AA15" s="105">
        <f t="shared" si="5"/>
        <v>74871</v>
      </c>
      <c r="AB15" s="135">
        <f t="shared" ca="1" si="6"/>
        <v>0.2</v>
      </c>
    </row>
    <row r="16" spans="4:29" x14ac:dyDescent="0.25">
      <c r="D16" s="105" t="s">
        <v>486</v>
      </c>
      <c r="E16" s="105" t="s">
        <v>126</v>
      </c>
      <c r="F16" s="105" t="s">
        <v>57</v>
      </c>
      <c r="G16" s="105">
        <v>78627</v>
      </c>
      <c r="H16" s="135">
        <f t="shared" ca="1" si="1"/>
        <v>0.28999999999999998</v>
      </c>
      <c r="M16" s="105"/>
      <c r="N16" s="105"/>
      <c r="X16" s="105" t="str">
        <f t="shared" si="0"/>
        <v>Abdullah Qureshi</v>
      </c>
      <c r="Y16" s="105" t="str">
        <f t="shared" si="3"/>
        <v>Finance</v>
      </c>
      <c r="Z16" s="105" t="str">
        <f t="shared" si="4"/>
        <v>East</v>
      </c>
      <c r="AA16" s="105">
        <f t="shared" si="5"/>
        <v>56561</v>
      </c>
      <c r="AB16" s="135">
        <f t="shared" ca="1" si="6"/>
        <v>0.22</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0.28999999999999998</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303" t="s">
        <v>538</v>
      </c>
      <c r="E29" s="303"/>
      <c r="F29" s="303"/>
      <c r="G29" s="303"/>
      <c r="H29" s="303"/>
      <c r="I29" s="303"/>
      <c r="J29" s="303"/>
      <c r="K29" s="303"/>
      <c r="L29" s="303"/>
      <c r="M29" s="303"/>
      <c r="N29" s="303"/>
      <c r="O29" s="303"/>
      <c r="P29" s="303"/>
      <c r="Q29" s="303"/>
      <c r="R29" s="303"/>
      <c r="U29" s="304" t="s">
        <v>539</v>
      </c>
      <c r="V29" s="305"/>
      <c r="W29" s="305"/>
      <c r="X29" s="305"/>
      <c r="Y29" s="305"/>
      <c r="Z29" s="306"/>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3E889-3392-483F-BF6D-D6C07987CB32}">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307" t="s">
        <v>545</v>
      </c>
      <c r="B4" s="308"/>
      <c r="C4" s="308"/>
      <c r="D4" s="308"/>
      <c r="E4" s="308"/>
      <c r="F4" s="308"/>
      <c r="H4" s="307" t="s">
        <v>546</v>
      </c>
      <c r="I4" s="308"/>
      <c r="J4" s="308"/>
      <c r="K4" s="308"/>
      <c r="L4" s="308"/>
      <c r="M4" s="308"/>
      <c r="P4" s="307" t="s">
        <v>548</v>
      </c>
      <c r="Q4" s="308"/>
      <c r="R4" s="308"/>
      <c r="S4" s="308"/>
      <c r="T4" s="308"/>
      <c r="U4" s="308"/>
      <c r="W4" s="307" t="s">
        <v>547</v>
      </c>
      <c r="X4" s="308"/>
      <c r="Y4" s="308"/>
      <c r="Z4" s="308"/>
      <c r="AA4" s="308"/>
      <c r="AB4" s="308"/>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9" priority="37" operator="equal">
      <formula>20000</formula>
    </cfRule>
    <cfRule type="cellIs" dxfId="28" priority="38" operator="between">
      <formula>50000</formula>
      <formula>100000</formula>
    </cfRule>
    <cfRule type="cellIs" dxfId="27" priority="39" operator="between">
      <formula>"Rs. 65,984"</formula>
      <formula>"Rs. 121,395"</formula>
    </cfRule>
    <cfRule type="cellIs" dxfId="26" priority="40" operator="lessThan">
      <formula>93689</formula>
    </cfRule>
    <cfRule type="cellIs" dxfId="25" priority="41" operator="greaterThan">
      <formula>93689</formula>
    </cfRule>
    <cfRule type="cellIs" dxfId="24" priority="42" operator="greaterThan">
      <formula>"Rs. 93,689"</formula>
    </cfRule>
  </conditionalFormatting>
  <conditionalFormatting sqref="B7:B56">
    <cfRule type="containsText" dxfId="23" priority="36" operator="containsText" text="Ayesha khan">
      <formula>NOT(ISERROR(SEARCH("Ayesha khan",B7)))</formula>
    </cfRule>
  </conditionalFormatting>
  <conditionalFormatting sqref="A8:A56">
    <cfRule type="timePeriod" dxfId="22" priority="34" timePeriod="yesterday">
      <formula>FLOOR(A8,1)=TODAY()-1</formula>
    </cfRule>
    <cfRule type="timePeriod" dxfId="21" priority="35" timePeriod="yesterday">
      <formula>FLOOR(A8,1)=TODAY()-1</formula>
    </cfRule>
  </conditionalFormatting>
  <conditionalFormatting sqref="A7:A56">
    <cfRule type="timePeriod" dxfId="20" priority="31" timePeriod="nextWeek">
      <formula>AND(ROUNDDOWN(A7,0)-TODAY()&gt;(7-WEEKDAY(TODAY())),ROUNDDOWN(A7,0)-TODAY()&lt;(15-WEEKDAY(TODAY())))</formula>
    </cfRule>
    <cfRule type="timePeriod" dxfId="19" priority="32" timePeriod="yesterday">
      <formula>FLOOR(A7,1)=TODAY()-1</formula>
    </cfRule>
    <cfRule type="timePeriod" dxfId="18" priority="33" timePeriod="today">
      <formula>FLOOR(A7,1)=TODAY()</formula>
    </cfRule>
  </conditionalFormatting>
  <conditionalFormatting sqref="F7:F56">
    <cfRule type="uniqueValues" dxfId="17" priority="29"/>
    <cfRule type="duplicateValues" dxfId="16" priority="30"/>
  </conditionalFormatting>
  <conditionalFormatting sqref="T7:T56">
    <cfRule type="cellIs" dxfId="15" priority="9" operator="equal">
      <formula>20000</formula>
    </cfRule>
    <cfRule type="cellIs" dxfId="14" priority="10" operator="between">
      <formula>50000</formula>
      <formula>100000</formula>
    </cfRule>
    <cfRule type="cellIs" dxfId="13" priority="11" operator="between">
      <formula>"Rs. 65,984"</formula>
      <formula>"Rs. 121,395"</formula>
    </cfRule>
    <cfRule type="cellIs" dxfId="12" priority="12" operator="lessThan">
      <formula>93689</formula>
    </cfRule>
    <cfRule type="cellIs" dxfId="11" priority="13" operator="greaterThan">
      <formula>93689</formula>
    </cfRule>
    <cfRule type="cellIs" dxfId="10" priority="14" operator="greaterThan">
      <formula>"Rs. 93,689"</formula>
    </cfRule>
  </conditionalFormatting>
  <conditionalFormatting sqref="Q7:Q56">
    <cfRule type="containsText" dxfId="9" priority="8" operator="containsText" text="Ayesha khan">
      <formula>NOT(ISERROR(SEARCH("Ayesha khan",Q7)))</formula>
    </cfRule>
  </conditionalFormatting>
  <conditionalFormatting sqref="P8:P56">
    <cfRule type="timePeriod" dxfId="8" priority="6" timePeriod="yesterday">
      <formula>FLOOR(P8,1)=TODAY()-1</formula>
    </cfRule>
    <cfRule type="timePeriod" dxfId="7" priority="7" timePeriod="yesterday">
      <formula>FLOOR(P8,1)=TODAY()-1</formula>
    </cfRule>
  </conditionalFormatting>
  <conditionalFormatting sqref="P7:P56">
    <cfRule type="timePeriod" dxfId="6" priority="3" timePeriod="nextWeek">
      <formula>AND(ROUNDDOWN(P7,0)-TODAY()&gt;(7-WEEKDAY(TODAY())),ROUNDDOWN(P7,0)-TODAY()&lt;(15-WEEKDAY(TODAY())))</formula>
    </cfRule>
    <cfRule type="timePeriod" dxfId="5" priority="4" timePeriod="yesterday">
      <formula>FLOOR(P7,1)=TODAY()-1</formula>
    </cfRule>
    <cfRule type="timePeriod" dxfId="4" priority="5" timePeriod="today">
      <formula>FLOOR(P7,1)=TODAY()</formula>
    </cfRule>
  </conditionalFormatting>
  <conditionalFormatting sqref="U7:U56">
    <cfRule type="uniqueValues" dxfId="3" priority="1"/>
    <cfRule type="duplicateValues" dxfId="2"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topLeftCell="A19" zoomScale="85" zoomScaleNormal="85" workbookViewId="0">
      <selection activeCell="E27" sqref="E27"/>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309" t="s">
        <v>553</v>
      </c>
      <c r="C3" s="309"/>
      <c r="D3" s="309"/>
      <c r="E3" s="309"/>
      <c r="F3" s="309"/>
      <c r="G3" s="310">
        <v>400</v>
      </c>
      <c r="H3" s="310"/>
      <c r="I3" s="310"/>
      <c r="J3" s="310"/>
      <c r="K3" s="310"/>
      <c r="L3" s="310"/>
      <c r="M3" s="310"/>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309" t="s">
        <v>553</v>
      </c>
      <c r="C25" s="309"/>
      <c r="D25" s="309"/>
      <c r="E25" s="309"/>
      <c r="F25" s="309"/>
      <c r="G25" s="311">
        <v>400</v>
      </c>
      <c r="H25" s="312"/>
      <c r="I25" s="312"/>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31"/>
  <sheetViews>
    <sheetView showGridLines="0" zoomScaleNormal="100" workbookViewId="0">
      <selection activeCell="F16" sqref="F16"/>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313" t="s">
        <v>734</v>
      </c>
      <c r="C24" s="314"/>
      <c r="D24" s="314"/>
      <c r="E24" s="314"/>
      <c r="F24" s="314"/>
      <c r="G24" s="315"/>
    </row>
    <row r="31" spans="2:7" x14ac:dyDescent="0.25">
      <c r="G31" s="238"/>
    </row>
  </sheetData>
  <mergeCells count="1">
    <mergeCell ref="B24:G2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opLeftCell="A37" zoomScale="55" zoomScaleNormal="55" workbookViewId="0">
      <selection activeCell="G59" sqref="G59:I70"/>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316" t="s">
        <v>564</v>
      </c>
      <c r="C2" s="317"/>
      <c r="D2" s="145"/>
      <c r="E2" s="316" t="s">
        <v>568</v>
      </c>
      <c r="F2" s="317"/>
      <c r="H2" s="316" t="s">
        <v>572</v>
      </c>
      <c r="I2" s="317"/>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316" t="s">
        <v>687</v>
      </c>
      <c r="C16" s="317"/>
      <c r="E16" s="316" t="s">
        <v>580</v>
      </c>
      <c r="F16" s="317"/>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316" t="s">
        <v>588</v>
      </c>
      <c r="C32" s="317"/>
      <c r="E32" s="316" t="s">
        <v>584</v>
      </c>
      <c r="F32" s="317"/>
      <c r="H32" s="316" t="s">
        <v>592</v>
      </c>
      <c r="I32" s="317"/>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318" t="s">
        <v>732</v>
      </c>
      <c r="C45" s="318"/>
      <c r="D45" s="318"/>
      <c r="E45" s="170"/>
      <c r="F45" s="170"/>
      <c r="G45" s="318" t="s">
        <v>719</v>
      </c>
      <c r="H45" s="318"/>
      <c r="I45" s="318"/>
      <c r="J45" s="170"/>
      <c r="K45" s="318" t="s">
        <v>707</v>
      </c>
      <c r="L45" s="318"/>
      <c r="M45" s="318"/>
      <c r="O45" s="318" t="s">
        <v>730</v>
      </c>
      <c r="P45" s="318"/>
      <c r="Q45" s="318"/>
      <c r="S45" s="318" t="s">
        <v>731</v>
      </c>
      <c r="T45" s="318"/>
      <c r="U45" s="318"/>
      <c r="W45" s="318" t="s">
        <v>733</v>
      </c>
      <c r="X45" s="318"/>
      <c r="Y45" s="318"/>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318" t="s">
        <v>735</v>
      </c>
      <c r="H59" s="318"/>
      <c r="I59" s="318"/>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316" t="s">
        <v>738</v>
      </c>
      <c r="C75" s="317"/>
      <c r="E75" s="316" t="s">
        <v>741</v>
      </c>
      <c r="F75" s="317"/>
      <c r="H75" s="316" t="s">
        <v>740</v>
      </c>
      <c r="I75" s="317"/>
      <c r="K75" s="316" t="s">
        <v>742</v>
      </c>
      <c r="L75" s="317"/>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316" t="s">
        <v>628</v>
      </c>
      <c r="C90" s="317"/>
    </row>
    <row r="91" spans="2:12" x14ac:dyDescent="0.25">
      <c r="B91" s="148" t="s">
        <v>743</v>
      </c>
      <c r="C91" s="148" t="s">
        <v>744</v>
      </c>
      <c r="D91" s="148" t="s">
        <v>745</v>
      </c>
      <c r="F91" s="316" t="s">
        <v>746</v>
      </c>
      <c r="G91" s="317"/>
      <c r="I91" s="316" t="s">
        <v>748</v>
      </c>
      <c r="J91" s="317"/>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316" t="s">
        <v>637</v>
      </c>
      <c r="G97" s="317"/>
      <c r="I97" s="316" t="s">
        <v>641</v>
      </c>
      <c r="J97" s="317"/>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H75:I75"/>
    <mergeCell ref="F91:G91"/>
    <mergeCell ref="I91:J91"/>
    <mergeCell ref="E2:F2"/>
    <mergeCell ref="B2:C2"/>
    <mergeCell ref="H2:I2"/>
    <mergeCell ref="B16:C16"/>
    <mergeCell ref="E16:F16"/>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A3611-4A04-4C13-950D-B1A57B926186}">
  <dimension ref="B3:G34"/>
  <sheetViews>
    <sheetView workbookViewId="0">
      <selection activeCell="E33" sqref="E33"/>
    </sheetView>
  </sheetViews>
  <sheetFormatPr defaultRowHeight="15" x14ac:dyDescent="0.25"/>
  <cols>
    <col min="1" max="1" width="9.140625" customWidth="1"/>
    <col min="2" max="2" width="8.5703125" customWidth="1"/>
    <col min="3" max="3" width="18.140625" customWidth="1"/>
    <col min="4" max="4" width="36.140625" customWidth="1"/>
    <col min="5" max="5" width="52.85546875" bestFit="1" customWidth="1"/>
    <col min="6" max="6" width="28.5703125" customWidth="1"/>
    <col min="7" max="7" width="41.85546875" customWidth="1"/>
  </cols>
  <sheetData>
    <row r="3" spans="2:7" x14ac:dyDescent="0.25">
      <c r="B3" s="188" t="s">
        <v>559</v>
      </c>
      <c r="C3" s="186" t="s">
        <v>560</v>
      </c>
      <c r="D3" s="186" t="s">
        <v>561</v>
      </c>
      <c r="E3" s="186" t="s">
        <v>752</v>
      </c>
      <c r="F3" s="186" t="s">
        <v>562</v>
      </c>
      <c r="G3" s="189" t="s">
        <v>563</v>
      </c>
    </row>
    <row r="4" spans="2:7" x14ac:dyDescent="0.25">
      <c r="B4" s="201">
        <v>1</v>
      </c>
      <c r="C4" s="199" t="s">
        <v>753</v>
      </c>
      <c r="D4" s="190" t="s">
        <v>754</v>
      </c>
      <c r="E4" s="190" t="s">
        <v>755</v>
      </c>
      <c r="F4" s="190" t="s">
        <v>756</v>
      </c>
      <c r="G4" s="191" t="s">
        <v>757</v>
      </c>
    </row>
    <row r="5" spans="2:7" x14ac:dyDescent="0.25">
      <c r="B5" s="202">
        <v>2</v>
      </c>
      <c r="C5" s="200" t="s">
        <v>758</v>
      </c>
      <c r="D5" s="187" t="s">
        <v>759</v>
      </c>
      <c r="E5" s="187" t="s">
        <v>760</v>
      </c>
      <c r="F5" s="187" t="s">
        <v>761</v>
      </c>
      <c r="G5" s="192" t="s">
        <v>762</v>
      </c>
    </row>
    <row r="6" spans="2:7" x14ac:dyDescent="0.25">
      <c r="B6" s="202">
        <v>3</v>
      </c>
      <c r="C6" s="200" t="s">
        <v>763</v>
      </c>
      <c r="D6" s="187" t="s">
        <v>764</v>
      </c>
      <c r="E6" s="187" t="s">
        <v>765</v>
      </c>
      <c r="F6" s="187" t="s">
        <v>766</v>
      </c>
      <c r="G6" s="192" t="s">
        <v>767</v>
      </c>
    </row>
    <row r="7" spans="2:7" x14ac:dyDescent="0.25">
      <c r="B7" s="202">
        <v>4</v>
      </c>
      <c r="C7" s="200" t="s">
        <v>768</v>
      </c>
      <c r="D7" s="187" t="s">
        <v>769</v>
      </c>
      <c r="E7" s="187" t="s">
        <v>770</v>
      </c>
      <c r="F7" s="187" t="s">
        <v>771</v>
      </c>
      <c r="G7" s="192" t="s">
        <v>772</v>
      </c>
    </row>
    <row r="8" spans="2:7" x14ac:dyDescent="0.25">
      <c r="B8" s="202">
        <v>5</v>
      </c>
      <c r="C8" s="200" t="s">
        <v>773</v>
      </c>
      <c r="D8" s="187" t="s">
        <v>774</v>
      </c>
      <c r="E8" s="187" t="s">
        <v>775</v>
      </c>
      <c r="F8" s="187" t="s">
        <v>776</v>
      </c>
      <c r="G8" s="192" t="s">
        <v>777</v>
      </c>
    </row>
    <row r="9" spans="2:7" x14ac:dyDescent="0.25">
      <c r="B9" s="202">
        <v>6</v>
      </c>
      <c r="C9" s="200" t="s">
        <v>778</v>
      </c>
      <c r="D9" s="187" t="s">
        <v>779</v>
      </c>
      <c r="E9" s="187" t="s">
        <v>780</v>
      </c>
      <c r="F9" s="187" t="s">
        <v>781</v>
      </c>
      <c r="G9" s="192" t="s">
        <v>782</v>
      </c>
    </row>
    <row r="10" spans="2:7" x14ac:dyDescent="0.25">
      <c r="B10" s="202">
        <v>7</v>
      </c>
      <c r="C10" s="200" t="s">
        <v>783</v>
      </c>
      <c r="D10" s="187" t="s">
        <v>784</v>
      </c>
      <c r="E10" s="187" t="s">
        <v>785</v>
      </c>
      <c r="F10" s="187" t="s">
        <v>786</v>
      </c>
      <c r="G10" s="192" t="s">
        <v>787</v>
      </c>
    </row>
    <row r="11" spans="2:7" x14ac:dyDescent="0.25">
      <c r="B11" s="202">
        <v>8</v>
      </c>
      <c r="C11" s="200" t="s">
        <v>788</v>
      </c>
      <c r="D11" s="187" t="s">
        <v>789</v>
      </c>
      <c r="E11" s="187" t="s">
        <v>790</v>
      </c>
      <c r="F11" s="187" t="s">
        <v>791</v>
      </c>
      <c r="G11" s="192" t="s">
        <v>792</v>
      </c>
    </row>
    <row r="12" spans="2:7" x14ac:dyDescent="0.25">
      <c r="B12" s="202">
        <v>9</v>
      </c>
      <c r="C12" s="200" t="s">
        <v>793</v>
      </c>
      <c r="D12" s="187" t="s">
        <v>794</v>
      </c>
      <c r="E12" s="187" t="s">
        <v>795</v>
      </c>
      <c r="F12" s="187" t="s">
        <v>796</v>
      </c>
      <c r="G12" s="192" t="s">
        <v>797</v>
      </c>
    </row>
    <row r="13" spans="2:7" x14ac:dyDescent="0.25">
      <c r="B13" s="205">
        <v>10</v>
      </c>
      <c r="C13" s="206" t="s">
        <v>798</v>
      </c>
      <c r="D13" s="193" t="s">
        <v>799</v>
      </c>
      <c r="E13" s="193" t="s">
        <v>800</v>
      </c>
      <c r="F13" s="193" t="s">
        <v>801</v>
      </c>
      <c r="G13" s="195" t="s">
        <v>802</v>
      </c>
    </row>
    <row r="14" spans="2:7" x14ac:dyDescent="0.25">
      <c r="B14" s="204">
        <v>11</v>
      </c>
      <c r="C14" s="203" t="s">
        <v>803</v>
      </c>
      <c r="D14" s="194" t="s">
        <v>804</v>
      </c>
      <c r="E14" s="194" t="s">
        <v>805</v>
      </c>
      <c r="F14" s="194" t="s">
        <v>806</v>
      </c>
      <c r="G14" s="196" t="s">
        <v>807</v>
      </c>
    </row>
    <row r="15" spans="2:7" x14ac:dyDescent="0.25">
      <c r="B15" s="204">
        <v>12</v>
      </c>
      <c r="C15" s="203" t="s">
        <v>808</v>
      </c>
      <c r="D15" s="194" t="s">
        <v>809</v>
      </c>
      <c r="E15" s="194" t="s">
        <v>810</v>
      </c>
      <c r="F15" s="194" t="s">
        <v>811</v>
      </c>
      <c r="G15" s="196" t="s">
        <v>812</v>
      </c>
    </row>
    <row r="16" spans="2:7" x14ac:dyDescent="0.25">
      <c r="B16" s="216">
        <v>13</v>
      </c>
      <c r="C16" s="217" t="s">
        <v>813</v>
      </c>
      <c r="D16" s="218" t="s">
        <v>814</v>
      </c>
      <c r="E16" s="218" t="s">
        <v>815</v>
      </c>
      <c r="F16" s="218" t="s">
        <v>816</v>
      </c>
      <c r="G16" s="219" t="s">
        <v>817</v>
      </c>
    </row>
    <row r="17" spans="2:7" x14ac:dyDescent="0.25">
      <c r="B17" s="216">
        <v>14</v>
      </c>
      <c r="C17" s="217" t="s">
        <v>818</v>
      </c>
      <c r="D17" s="218" t="s">
        <v>819</v>
      </c>
      <c r="E17" s="218" t="s">
        <v>820</v>
      </c>
      <c r="F17" s="218" t="s">
        <v>821</v>
      </c>
      <c r="G17" s="219" t="s">
        <v>822</v>
      </c>
    </row>
    <row r="18" spans="2:7" x14ac:dyDescent="0.25">
      <c r="B18" s="204">
        <v>15</v>
      </c>
      <c r="C18" s="203" t="s">
        <v>823</v>
      </c>
      <c r="D18" s="194" t="s">
        <v>824</v>
      </c>
      <c r="E18" s="194" t="s">
        <v>825</v>
      </c>
      <c r="F18" s="194" t="s">
        <v>826</v>
      </c>
      <c r="G18" s="196" t="s">
        <v>827</v>
      </c>
    </row>
    <row r="19" spans="2:7" x14ac:dyDescent="0.25">
      <c r="B19" s="228">
        <v>16</v>
      </c>
      <c r="C19" s="229" t="s">
        <v>828</v>
      </c>
      <c r="D19" s="230" t="s">
        <v>829</v>
      </c>
      <c r="E19" s="230" t="s">
        <v>830</v>
      </c>
      <c r="F19" s="230" t="s">
        <v>831</v>
      </c>
      <c r="G19" s="231" t="s">
        <v>832</v>
      </c>
    </row>
    <row r="20" spans="2:7" x14ac:dyDescent="0.25">
      <c r="B20" s="232">
        <v>17</v>
      </c>
      <c r="C20" s="233" t="s">
        <v>833</v>
      </c>
      <c r="D20" s="234" t="s">
        <v>834</v>
      </c>
      <c r="E20" s="234" t="s">
        <v>835</v>
      </c>
      <c r="F20" s="234" t="s">
        <v>836</v>
      </c>
      <c r="G20" s="235" t="s">
        <v>837</v>
      </c>
    </row>
    <row r="21" spans="2:7" x14ac:dyDescent="0.25">
      <c r="B21" s="228">
        <v>18</v>
      </c>
      <c r="C21" s="229" t="s">
        <v>838</v>
      </c>
      <c r="D21" s="230" t="s">
        <v>839</v>
      </c>
      <c r="E21" s="230" t="s">
        <v>840</v>
      </c>
      <c r="F21" s="230" t="s">
        <v>841</v>
      </c>
      <c r="G21" s="231" t="s">
        <v>842</v>
      </c>
    </row>
    <row r="22" spans="2:7" x14ac:dyDescent="0.25">
      <c r="B22" s="208">
        <v>19</v>
      </c>
      <c r="C22" s="207" t="s">
        <v>843</v>
      </c>
      <c r="D22" s="197" t="s">
        <v>844</v>
      </c>
      <c r="E22" s="197" t="s">
        <v>845</v>
      </c>
      <c r="F22" s="197" t="s">
        <v>846</v>
      </c>
      <c r="G22" s="198" t="s">
        <v>847</v>
      </c>
    </row>
    <row r="23" spans="2:7" x14ac:dyDescent="0.25">
      <c r="B23" s="208">
        <v>20</v>
      </c>
      <c r="C23" s="207" t="s">
        <v>848</v>
      </c>
      <c r="D23" s="197" t="s">
        <v>849</v>
      </c>
      <c r="E23" s="197" t="s">
        <v>850</v>
      </c>
      <c r="F23" s="197" t="s">
        <v>851</v>
      </c>
      <c r="G23" s="198" t="s">
        <v>852</v>
      </c>
    </row>
    <row r="24" spans="2:7" x14ac:dyDescent="0.25">
      <c r="B24" s="208">
        <v>21</v>
      </c>
      <c r="C24" s="207" t="s">
        <v>853</v>
      </c>
      <c r="D24" s="197" t="s">
        <v>854</v>
      </c>
      <c r="E24" s="197" t="s">
        <v>855</v>
      </c>
      <c r="F24" s="197" t="s">
        <v>856</v>
      </c>
      <c r="G24" s="198" t="s">
        <v>857</v>
      </c>
    </row>
    <row r="25" spans="2:7" x14ac:dyDescent="0.25">
      <c r="B25" s="208">
        <v>22</v>
      </c>
      <c r="C25" s="207" t="s">
        <v>858</v>
      </c>
      <c r="D25" s="197" t="s">
        <v>859</v>
      </c>
      <c r="E25" s="197" t="s">
        <v>860</v>
      </c>
      <c r="F25" s="197" t="s">
        <v>861</v>
      </c>
      <c r="G25" s="198" t="s">
        <v>862</v>
      </c>
    </row>
    <row r="26" spans="2:7" x14ac:dyDescent="0.25">
      <c r="B26" s="220">
        <v>23</v>
      </c>
      <c r="C26" s="221" t="s">
        <v>863</v>
      </c>
      <c r="D26" s="222" t="s">
        <v>864</v>
      </c>
      <c r="E26" s="222" t="s">
        <v>865</v>
      </c>
      <c r="F26" s="222" t="s">
        <v>866</v>
      </c>
      <c r="G26" s="223" t="s">
        <v>867</v>
      </c>
    </row>
    <row r="27" spans="2:7" x14ac:dyDescent="0.25">
      <c r="B27" s="224">
        <v>24</v>
      </c>
      <c r="C27" s="225" t="s">
        <v>868</v>
      </c>
      <c r="D27" s="226" t="s">
        <v>869</v>
      </c>
      <c r="E27" s="226" t="s">
        <v>870</v>
      </c>
      <c r="F27" s="226" t="s">
        <v>871</v>
      </c>
      <c r="G27" s="227" t="s">
        <v>872</v>
      </c>
    </row>
    <row r="28" spans="2:7" x14ac:dyDescent="0.25">
      <c r="B28" s="224">
        <v>25</v>
      </c>
      <c r="C28" s="225" t="s">
        <v>873</v>
      </c>
      <c r="D28" s="226" t="s">
        <v>874</v>
      </c>
      <c r="E28" s="226" t="s">
        <v>875</v>
      </c>
      <c r="F28" s="226" t="s">
        <v>876</v>
      </c>
      <c r="G28" s="227" t="s">
        <v>877</v>
      </c>
    </row>
    <row r="29" spans="2:7" x14ac:dyDescent="0.25">
      <c r="B29" s="210">
        <v>26</v>
      </c>
      <c r="C29" s="211" t="s">
        <v>878</v>
      </c>
      <c r="D29" s="212" t="s">
        <v>879</v>
      </c>
      <c r="E29" s="212" t="s">
        <v>880</v>
      </c>
      <c r="F29" s="212" t="s">
        <v>881</v>
      </c>
      <c r="G29" s="213" t="s">
        <v>882</v>
      </c>
    </row>
    <row r="30" spans="2:7" x14ac:dyDescent="0.25">
      <c r="B30" s="210">
        <v>27</v>
      </c>
      <c r="C30" s="211" t="s">
        <v>883</v>
      </c>
      <c r="D30" s="212" t="s">
        <v>884</v>
      </c>
      <c r="E30" s="212" t="s">
        <v>885</v>
      </c>
      <c r="F30" s="212" t="s">
        <v>886</v>
      </c>
      <c r="G30" s="213" t="s">
        <v>887</v>
      </c>
    </row>
    <row r="31" spans="2:7" x14ac:dyDescent="0.25">
      <c r="B31" s="210">
        <v>28</v>
      </c>
      <c r="C31" s="211" t="s">
        <v>888</v>
      </c>
      <c r="D31" s="212" t="s">
        <v>889</v>
      </c>
      <c r="E31" s="212" t="s">
        <v>890</v>
      </c>
      <c r="F31" s="212" t="s">
        <v>891</v>
      </c>
      <c r="G31" s="213" t="s">
        <v>892</v>
      </c>
    </row>
    <row r="32" spans="2:7" x14ac:dyDescent="0.25">
      <c r="B32" s="214">
        <v>29</v>
      </c>
      <c r="C32" s="215" t="s">
        <v>893</v>
      </c>
      <c r="D32" s="212" t="s">
        <v>894</v>
      </c>
      <c r="E32" s="212" t="s">
        <v>895</v>
      </c>
      <c r="F32" s="212" t="s">
        <v>896</v>
      </c>
      <c r="G32" s="213" t="s">
        <v>897</v>
      </c>
    </row>
    <row r="33" spans="2:7" x14ac:dyDescent="0.25">
      <c r="B33" s="214">
        <v>30</v>
      </c>
      <c r="C33" s="215" t="s">
        <v>907</v>
      </c>
      <c r="D33" s="212" t="s">
        <v>908</v>
      </c>
      <c r="E33" s="212" t="s">
        <v>909</v>
      </c>
      <c r="F33" s="212" t="s">
        <v>910</v>
      </c>
      <c r="G33" s="213" t="s">
        <v>911</v>
      </c>
    </row>
    <row r="34" spans="2:7" x14ac:dyDescent="0.25">
      <c r="B34" s="319" t="s">
        <v>898</v>
      </c>
      <c r="C34" s="320"/>
      <c r="D34" s="320"/>
      <c r="E34" s="320"/>
      <c r="F34" s="320"/>
      <c r="G34" s="321"/>
    </row>
  </sheetData>
  <mergeCells count="1">
    <mergeCell ref="B34:G3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C9442-C99E-46AE-BA24-6CDCF6B108E6}">
  <dimension ref="A1:P56"/>
  <sheetViews>
    <sheetView topLeftCell="D30" zoomScale="70" zoomScaleNormal="70" workbookViewId="0">
      <selection activeCell="P47" sqref="P47"/>
    </sheetView>
  </sheetViews>
  <sheetFormatPr defaultRowHeight="15" x14ac:dyDescent="0.25"/>
  <cols>
    <col min="2" max="2" width="11.5703125" customWidth="1"/>
    <col min="3" max="3" width="13.140625" customWidth="1"/>
    <col min="4" max="4" width="21.7109375" customWidth="1"/>
    <col min="6" max="6" width="11.5703125" customWidth="1"/>
    <col min="7" max="7" width="13.140625" customWidth="1"/>
    <col min="8" max="8" width="14.42578125" bestFit="1" customWidth="1"/>
    <col min="10" max="10" width="11.5703125" customWidth="1"/>
    <col min="11" max="11" width="13.140625" customWidth="1"/>
    <col min="12" max="12" width="14.42578125" bestFit="1" customWidth="1"/>
    <col min="13" max="13" width="12.42578125" customWidth="1"/>
    <col min="14" max="14" width="16.140625" customWidth="1"/>
    <col min="15" max="15" width="13.5703125" customWidth="1"/>
    <col min="16" max="16" width="12" customWidth="1"/>
  </cols>
  <sheetData>
    <row r="1" spans="1:8" x14ac:dyDescent="0.25">
      <c r="A1" t="s">
        <v>535</v>
      </c>
    </row>
    <row r="3" spans="1:8" x14ac:dyDescent="0.25">
      <c r="B3" s="322" t="s">
        <v>899</v>
      </c>
      <c r="C3" s="322"/>
      <c r="D3" s="322"/>
      <c r="F3" s="318" t="s">
        <v>828</v>
      </c>
      <c r="G3" s="318"/>
      <c r="H3" s="318"/>
    </row>
    <row r="4" spans="1:8" x14ac:dyDescent="0.25">
      <c r="B4" s="209">
        <f t="shared" ref="B4:D13" ca="1" si="0">RAND()</f>
        <v>0.90733738150419418</v>
      </c>
      <c r="C4" s="168">
        <f t="shared" ca="1" si="0"/>
        <v>0.26667343928159193</v>
      </c>
      <c r="D4" s="168">
        <f t="shared" ca="1" si="0"/>
        <v>0.42420841465343551</v>
      </c>
      <c r="F4" s="167" t="s">
        <v>901</v>
      </c>
      <c r="G4" s="167" t="s">
        <v>902</v>
      </c>
      <c r="H4" s="167" t="s">
        <v>828</v>
      </c>
    </row>
    <row r="5" spans="1:8" x14ac:dyDescent="0.25">
      <c r="B5" s="209">
        <f t="shared" ca="1" si="0"/>
        <v>0.85360980392318497</v>
      </c>
      <c r="C5" s="168">
        <f t="shared" ca="1" si="0"/>
        <v>7.0159966880617652E-2</v>
      </c>
      <c r="D5" s="168">
        <f t="shared" ca="1" si="0"/>
        <v>0.23576068936276218</v>
      </c>
      <c r="F5" s="169">
        <v>1</v>
      </c>
      <c r="G5" s="168">
        <v>186.74647918864025</v>
      </c>
      <c r="H5" s="168">
        <f>ROUND(G5,3)</f>
        <v>186.74600000000001</v>
      </c>
    </row>
    <row r="6" spans="1:8" x14ac:dyDescent="0.25">
      <c r="B6" s="209">
        <f t="shared" ca="1" si="0"/>
        <v>0.44973813106691529</v>
      </c>
      <c r="C6" s="168">
        <f t="shared" ca="1" si="0"/>
        <v>0.49718414493319385</v>
      </c>
      <c r="D6" s="168">
        <f t="shared" ca="1" si="0"/>
        <v>0.54575618753162458</v>
      </c>
      <c r="F6" s="169">
        <v>2</v>
      </c>
      <c r="G6" s="168">
        <v>1134.2033634091172</v>
      </c>
      <c r="H6" s="168">
        <f t="shared" ref="H6:H14" si="1">ROUND(G6,3)</f>
        <v>1134.203</v>
      </c>
    </row>
    <row r="7" spans="1:8" x14ac:dyDescent="0.25">
      <c r="B7" s="209">
        <f t="shared" ca="1" si="0"/>
        <v>0.54676362259211564</v>
      </c>
      <c r="C7" s="168">
        <f t="shared" ca="1" si="0"/>
        <v>0.6487928514838267</v>
      </c>
      <c r="D7" s="168">
        <f t="shared" ca="1" si="0"/>
        <v>5.5382871446860715E-2</v>
      </c>
      <c r="F7" s="169">
        <v>3</v>
      </c>
      <c r="G7" s="168">
        <v>1056.2609033230992</v>
      </c>
      <c r="H7" s="168">
        <f t="shared" si="1"/>
        <v>1056.261</v>
      </c>
    </row>
    <row r="8" spans="1:8" x14ac:dyDescent="0.25">
      <c r="B8" s="209">
        <f t="shared" ca="1" si="0"/>
        <v>0.69131945111443815</v>
      </c>
      <c r="C8" s="168">
        <f t="shared" ca="1" si="0"/>
        <v>0.76546409983552899</v>
      </c>
      <c r="D8" s="168">
        <f t="shared" ca="1" si="0"/>
        <v>0.55965483466662369</v>
      </c>
      <c r="F8" s="169">
        <v>4</v>
      </c>
      <c r="G8" s="168">
        <v>444.95536951220424</v>
      </c>
      <c r="H8" s="168">
        <f t="shared" si="1"/>
        <v>444.95499999999998</v>
      </c>
    </row>
    <row r="9" spans="1:8" x14ac:dyDescent="0.25">
      <c r="B9" s="209">
        <f t="shared" ca="1" si="0"/>
        <v>9.5696812146230936E-2</v>
      </c>
      <c r="C9" s="168">
        <f t="shared" ca="1" si="0"/>
        <v>0.44177462544021351</v>
      </c>
      <c r="D9" s="168">
        <f t="shared" ca="1" si="0"/>
        <v>0.34537159683454455</v>
      </c>
      <c r="F9" s="169">
        <v>5</v>
      </c>
      <c r="G9" s="168">
        <v>1319.4698803550457</v>
      </c>
      <c r="H9" s="168">
        <f t="shared" si="1"/>
        <v>1319.47</v>
      </c>
    </row>
    <row r="10" spans="1:8" x14ac:dyDescent="0.25">
      <c r="B10" s="209">
        <f t="shared" ca="1" si="0"/>
        <v>5.2778960117548568E-2</v>
      </c>
      <c r="C10" s="168">
        <f t="shared" ca="1" si="0"/>
        <v>0.69912943767110414</v>
      </c>
      <c r="D10" s="168">
        <f t="shared" ca="1" si="0"/>
        <v>0.94797332638881704</v>
      </c>
      <c r="F10" s="169">
        <v>6</v>
      </c>
      <c r="G10" s="168">
        <v>226.9273016860318</v>
      </c>
      <c r="H10" s="168">
        <f t="shared" si="1"/>
        <v>226.92699999999999</v>
      </c>
    </row>
    <row r="11" spans="1:8" x14ac:dyDescent="0.25">
      <c r="B11" s="209">
        <f t="shared" ca="1" si="0"/>
        <v>0.30181589053520297</v>
      </c>
      <c r="C11" s="168">
        <f t="shared" ca="1" si="0"/>
        <v>4.281711115754061E-2</v>
      </c>
      <c r="D11" s="168">
        <f t="shared" ca="1" si="0"/>
        <v>0.30670539388062401</v>
      </c>
      <c r="F11" s="169">
        <v>7</v>
      </c>
      <c r="G11" s="168">
        <v>130.1594492248114</v>
      </c>
      <c r="H11" s="168">
        <f t="shared" si="1"/>
        <v>130.15899999999999</v>
      </c>
    </row>
    <row r="12" spans="1:8" x14ac:dyDescent="0.25">
      <c r="B12" s="209">
        <f t="shared" ca="1" si="0"/>
        <v>0.49511855298678586</v>
      </c>
      <c r="C12" s="168">
        <f t="shared" ca="1" si="0"/>
        <v>0.25808519035760669</v>
      </c>
      <c r="D12" s="168">
        <f t="shared" ca="1" si="0"/>
        <v>2.4018537539440832E-3</v>
      </c>
      <c r="F12" s="169">
        <v>8</v>
      </c>
      <c r="G12" s="168">
        <v>351.12731634061288</v>
      </c>
      <c r="H12" s="168">
        <f t="shared" si="1"/>
        <v>351.12700000000001</v>
      </c>
    </row>
    <row r="13" spans="1:8" x14ac:dyDescent="0.25">
      <c r="B13" s="209">
        <f t="shared" ca="1" si="0"/>
        <v>0.82247504928590354</v>
      </c>
      <c r="C13" s="168">
        <f t="shared" ca="1" si="0"/>
        <v>0.47730723351501381</v>
      </c>
      <c r="D13" s="168">
        <f t="shared" ca="1" si="0"/>
        <v>0.94135405220457757</v>
      </c>
      <c r="F13" s="169">
        <v>9</v>
      </c>
      <c r="G13" s="168">
        <v>1433.0594361477456</v>
      </c>
      <c r="H13" s="168">
        <f t="shared" si="1"/>
        <v>1433.059</v>
      </c>
    </row>
    <row r="14" spans="1:8" x14ac:dyDescent="0.25">
      <c r="F14" s="169">
        <v>10</v>
      </c>
      <c r="G14" s="168">
        <v>214.62573845192333</v>
      </c>
      <c r="H14" s="168">
        <f t="shared" si="1"/>
        <v>214.626</v>
      </c>
    </row>
    <row r="17" spans="2:14" x14ac:dyDescent="0.25">
      <c r="B17" s="323" t="s">
        <v>900</v>
      </c>
      <c r="C17" s="322"/>
      <c r="D17" s="322"/>
      <c r="F17" s="318" t="s">
        <v>903</v>
      </c>
      <c r="G17" s="318"/>
      <c r="H17" s="318"/>
      <c r="J17" s="318" t="s">
        <v>906</v>
      </c>
      <c r="K17" s="318"/>
      <c r="L17" s="318"/>
      <c r="M17" s="318"/>
    </row>
    <row r="18" spans="2:14" x14ac:dyDescent="0.25">
      <c r="B18" s="209">
        <f ca="1">RANDBETWEEN(0,100)</f>
        <v>66</v>
      </c>
      <c r="C18" s="168">
        <f t="shared" ref="B18:D27" ca="1" si="2">RANDBETWEEN(0,100)</f>
        <v>3</v>
      </c>
      <c r="D18" s="168">
        <f t="shared" ca="1" si="2"/>
        <v>98</v>
      </c>
      <c r="F18" s="167" t="s">
        <v>901</v>
      </c>
      <c r="G18" s="167" t="s">
        <v>902</v>
      </c>
      <c r="H18" s="167" t="s">
        <v>903</v>
      </c>
      <c r="J18" s="167" t="s">
        <v>901</v>
      </c>
      <c r="K18" s="167" t="s">
        <v>902</v>
      </c>
      <c r="L18" s="167" t="s">
        <v>905</v>
      </c>
      <c r="M18" s="167" t="s">
        <v>848</v>
      </c>
    </row>
    <row r="19" spans="2:14" x14ac:dyDescent="0.25">
      <c r="B19" s="209">
        <f t="shared" ca="1" si="2"/>
        <v>63</v>
      </c>
      <c r="C19" s="168">
        <f t="shared" ca="1" si="2"/>
        <v>96</v>
      </c>
      <c r="D19" s="168">
        <f t="shared" ca="1" si="2"/>
        <v>77</v>
      </c>
      <c r="F19" s="169">
        <v>1</v>
      </c>
      <c r="G19" s="168">
        <v>186.74647918864025</v>
      </c>
      <c r="H19" s="168">
        <f>ROUNDUP(G19,3)</f>
        <v>186.74700000000001</v>
      </c>
      <c r="J19" s="169">
        <v>1</v>
      </c>
      <c r="K19" s="168">
        <v>186.74647918864025</v>
      </c>
      <c r="L19" s="168">
        <f>INT(K19)</f>
        <v>186</v>
      </c>
      <c r="M19" s="168">
        <f>TRUNC(K19,1)</f>
        <v>186.7</v>
      </c>
    </row>
    <row r="20" spans="2:14" x14ac:dyDescent="0.25">
      <c r="B20" s="209">
        <f t="shared" ca="1" si="2"/>
        <v>79</v>
      </c>
      <c r="C20" s="168">
        <f t="shared" ca="1" si="2"/>
        <v>18</v>
      </c>
      <c r="D20" s="168">
        <f t="shared" ca="1" si="2"/>
        <v>7</v>
      </c>
      <c r="F20" s="169">
        <v>2</v>
      </c>
      <c r="G20" s="168">
        <v>1134.2033634091172</v>
      </c>
      <c r="H20" s="168">
        <f t="shared" ref="H20:H28" si="3">ROUNDUP(G20,3)</f>
        <v>1134.204</v>
      </c>
      <c r="J20" s="169">
        <v>2</v>
      </c>
      <c r="K20" s="168">
        <v>1134.2033634091172</v>
      </c>
      <c r="L20" s="168">
        <f t="shared" ref="L20:L28" si="4">INT(K20)</f>
        <v>1134</v>
      </c>
      <c r="M20" s="168">
        <f t="shared" ref="M20:M28" si="5">TRUNC(K20,1)</f>
        <v>1134.2</v>
      </c>
    </row>
    <row r="21" spans="2:14" x14ac:dyDescent="0.25">
      <c r="B21" s="209">
        <f t="shared" ca="1" si="2"/>
        <v>79</v>
      </c>
      <c r="C21" s="168">
        <f t="shared" ca="1" si="2"/>
        <v>58</v>
      </c>
      <c r="D21" s="168">
        <f t="shared" ca="1" si="2"/>
        <v>55</v>
      </c>
      <c r="F21" s="169">
        <v>3</v>
      </c>
      <c r="G21" s="168">
        <v>1056.2609033230992</v>
      </c>
      <c r="H21" s="168">
        <f t="shared" si="3"/>
        <v>1056.261</v>
      </c>
      <c r="J21" s="169">
        <v>3</v>
      </c>
      <c r="K21" s="168">
        <v>1056.2609033230992</v>
      </c>
      <c r="L21" s="168">
        <f t="shared" si="4"/>
        <v>1056</v>
      </c>
      <c r="M21" s="168">
        <f t="shared" si="5"/>
        <v>1056.2</v>
      </c>
    </row>
    <row r="22" spans="2:14" x14ac:dyDescent="0.25">
      <c r="B22" s="209">
        <f t="shared" ca="1" si="2"/>
        <v>88</v>
      </c>
      <c r="C22" s="168">
        <f t="shared" ca="1" si="2"/>
        <v>33</v>
      </c>
      <c r="D22" s="168">
        <f t="shared" ca="1" si="2"/>
        <v>29</v>
      </c>
      <c r="F22" s="169">
        <v>4</v>
      </c>
      <c r="G22" s="168">
        <v>444.95536951220424</v>
      </c>
      <c r="H22" s="168">
        <f t="shared" si="3"/>
        <v>444.95599999999996</v>
      </c>
      <c r="J22" s="169">
        <v>4</v>
      </c>
      <c r="K22" s="168">
        <v>444.95536951220424</v>
      </c>
      <c r="L22" s="168">
        <f t="shared" si="4"/>
        <v>444</v>
      </c>
      <c r="M22" s="168">
        <f t="shared" si="5"/>
        <v>444.9</v>
      </c>
    </row>
    <row r="23" spans="2:14" x14ac:dyDescent="0.25">
      <c r="B23" s="209">
        <f t="shared" ca="1" si="2"/>
        <v>84</v>
      </c>
      <c r="C23" s="168">
        <f t="shared" ca="1" si="2"/>
        <v>77</v>
      </c>
      <c r="D23" s="168">
        <f t="shared" ca="1" si="2"/>
        <v>68</v>
      </c>
      <c r="F23" s="169">
        <v>5</v>
      </c>
      <c r="G23" s="168">
        <v>1319.4698803550457</v>
      </c>
      <c r="H23" s="168">
        <f t="shared" si="3"/>
        <v>1319.47</v>
      </c>
      <c r="J23" s="169">
        <v>5</v>
      </c>
      <c r="K23" s="168">
        <v>1319.4698803550457</v>
      </c>
      <c r="L23" s="168">
        <f t="shared" si="4"/>
        <v>1319</v>
      </c>
      <c r="M23" s="168">
        <f t="shared" si="5"/>
        <v>1319.4</v>
      </c>
    </row>
    <row r="24" spans="2:14" x14ac:dyDescent="0.25">
      <c r="B24" s="209">
        <f t="shared" ca="1" si="2"/>
        <v>24</v>
      </c>
      <c r="C24" s="168">
        <f t="shared" ca="1" si="2"/>
        <v>93</v>
      </c>
      <c r="D24" s="168">
        <f t="shared" ca="1" si="2"/>
        <v>87</v>
      </c>
      <c r="F24" s="169">
        <v>6</v>
      </c>
      <c r="G24" s="168">
        <v>226.9273016860318</v>
      </c>
      <c r="H24" s="168">
        <f t="shared" si="3"/>
        <v>226.928</v>
      </c>
      <c r="J24" s="169">
        <v>6</v>
      </c>
      <c r="K24" s="168">
        <v>226.9273016860318</v>
      </c>
      <c r="L24" s="168">
        <f t="shared" si="4"/>
        <v>226</v>
      </c>
      <c r="M24" s="168">
        <f t="shared" si="5"/>
        <v>226.9</v>
      </c>
    </row>
    <row r="25" spans="2:14" x14ac:dyDescent="0.25">
      <c r="B25" s="209">
        <f t="shared" ca="1" si="2"/>
        <v>73</v>
      </c>
      <c r="C25" s="168">
        <f t="shared" ca="1" si="2"/>
        <v>88</v>
      </c>
      <c r="D25" s="168">
        <f t="shared" ca="1" si="2"/>
        <v>91</v>
      </c>
      <c r="F25" s="169">
        <v>7</v>
      </c>
      <c r="G25" s="168">
        <v>130.1594492248114</v>
      </c>
      <c r="H25" s="168">
        <f t="shared" si="3"/>
        <v>130.16</v>
      </c>
      <c r="J25" s="169">
        <v>7</v>
      </c>
      <c r="K25" s="168">
        <v>130.1594492248114</v>
      </c>
      <c r="L25" s="168">
        <f t="shared" si="4"/>
        <v>130</v>
      </c>
      <c r="M25" s="168">
        <f t="shared" si="5"/>
        <v>130.1</v>
      </c>
    </row>
    <row r="26" spans="2:14" x14ac:dyDescent="0.25">
      <c r="B26" s="209">
        <f t="shared" ca="1" si="2"/>
        <v>73</v>
      </c>
      <c r="C26" s="168">
        <f t="shared" ca="1" si="2"/>
        <v>18</v>
      </c>
      <c r="D26" s="168">
        <f t="shared" ca="1" si="2"/>
        <v>64</v>
      </c>
      <c r="F26" s="169">
        <v>8</v>
      </c>
      <c r="G26" s="168">
        <v>351.12731634061288</v>
      </c>
      <c r="H26" s="168">
        <f t="shared" si="3"/>
        <v>351.12799999999999</v>
      </c>
      <c r="J26" s="169">
        <v>8</v>
      </c>
      <c r="K26" s="168">
        <v>351.12731634061288</v>
      </c>
      <c r="L26" s="168">
        <f t="shared" si="4"/>
        <v>351</v>
      </c>
      <c r="M26" s="168">
        <f t="shared" si="5"/>
        <v>351.1</v>
      </c>
    </row>
    <row r="27" spans="2:14" x14ac:dyDescent="0.25">
      <c r="B27" s="209">
        <f t="shared" ca="1" si="2"/>
        <v>44</v>
      </c>
      <c r="C27" s="168">
        <f t="shared" ca="1" si="2"/>
        <v>51</v>
      </c>
      <c r="D27" s="168">
        <f t="shared" ca="1" si="2"/>
        <v>11</v>
      </c>
      <c r="F27" s="169">
        <v>9</v>
      </c>
      <c r="G27" s="168">
        <v>1433.0594361477456</v>
      </c>
      <c r="H27" s="168">
        <f t="shared" si="3"/>
        <v>1433.06</v>
      </c>
      <c r="J27" s="169">
        <v>9</v>
      </c>
      <c r="K27" s="168">
        <v>1433.0594361477456</v>
      </c>
      <c r="L27" s="168">
        <f t="shared" si="4"/>
        <v>1433</v>
      </c>
      <c r="M27" s="168">
        <f t="shared" si="5"/>
        <v>1433</v>
      </c>
    </row>
    <row r="28" spans="2:14" x14ac:dyDescent="0.25">
      <c r="F28" s="169">
        <v>10</v>
      </c>
      <c r="G28" s="168">
        <v>214.62573845192333</v>
      </c>
      <c r="H28" s="168">
        <f t="shared" si="3"/>
        <v>214.626</v>
      </c>
      <c r="J28" s="169">
        <v>10</v>
      </c>
      <c r="K28" s="168">
        <v>214.62573845192333</v>
      </c>
      <c r="L28" s="168">
        <f t="shared" si="4"/>
        <v>214</v>
      </c>
      <c r="M28" s="168">
        <f t="shared" si="5"/>
        <v>214.6</v>
      </c>
    </row>
    <row r="30" spans="2:14" x14ac:dyDescent="0.25">
      <c r="B30" s="322" t="s">
        <v>873</v>
      </c>
      <c r="C30" s="322"/>
      <c r="D30" s="322"/>
      <c r="F30" s="318" t="s">
        <v>904</v>
      </c>
      <c r="G30" s="318"/>
      <c r="H30" s="318"/>
    </row>
    <row r="31" spans="2:14" x14ac:dyDescent="0.25">
      <c r="B31" s="209" cm="1">
        <f t="array" aca="1" ref="B31:D40" ca="1">_xlfn.RANDARRAY(10,3,0,100,TRUE)</f>
        <v>29</v>
      </c>
      <c r="C31" s="168">
        <f ca="1"/>
        <v>34</v>
      </c>
      <c r="D31" s="168">
        <f ca="1"/>
        <v>4</v>
      </c>
      <c r="F31" s="167" t="s">
        <v>901</v>
      </c>
      <c r="G31" s="167" t="s">
        <v>902</v>
      </c>
      <c r="H31" s="167" t="s">
        <v>904</v>
      </c>
      <c r="J31" s="318" t="s">
        <v>912</v>
      </c>
      <c r="K31" s="318"/>
      <c r="L31" s="318"/>
      <c r="M31" s="318"/>
      <c r="N31" s="318"/>
    </row>
    <row r="32" spans="2:14" x14ac:dyDescent="0.25">
      <c r="B32" s="209">
        <f ca="1"/>
        <v>85</v>
      </c>
      <c r="C32" s="168">
        <f ca="1"/>
        <v>38</v>
      </c>
      <c r="D32" s="168">
        <f ca="1"/>
        <v>63</v>
      </c>
      <c r="F32" s="169">
        <v>1</v>
      </c>
      <c r="G32" s="168">
        <v>186.74647918864025</v>
      </c>
      <c r="H32" s="168">
        <f>ROUNDDOWN(G32,3)</f>
        <v>186.74600000000001</v>
      </c>
      <c r="J32" s="167" t="s">
        <v>901</v>
      </c>
      <c r="K32" s="167" t="s">
        <v>902</v>
      </c>
      <c r="L32" s="167" t="s">
        <v>853</v>
      </c>
      <c r="M32" s="167" t="s">
        <v>907</v>
      </c>
      <c r="N32" s="236" t="s">
        <v>858</v>
      </c>
    </row>
    <row r="33" spans="2:16" x14ac:dyDescent="0.25">
      <c r="B33" s="209">
        <f ca="1"/>
        <v>4</v>
      </c>
      <c r="C33" s="168">
        <f ca="1"/>
        <v>73</v>
      </c>
      <c r="D33" s="168">
        <f ca="1"/>
        <v>100</v>
      </c>
      <c r="F33" s="169">
        <v>2</v>
      </c>
      <c r="G33" s="168">
        <v>1134.2033634091172</v>
      </c>
      <c r="H33" s="168">
        <f t="shared" ref="H33:H41" si="6">ROUNDDOWN(G33,3)</f>
        <v>1134.203</v>
      </c>
      <c r="J33" s="169">
        <v>1</v>
      </c>
      <c r="K33" s="168">
        <v>49</v>
      </c>
      <c r="L33" s="168">
        <f>FLOOR(K33,3)</f>
        <v>48</v>
      </c>
      <c r="M33" s="168">
        <f>CEILING(K33,3)</f>
        <v>51</v>
      </c>
      <c r="N33" s="168">
        <f>MROUND(K33,3)</f>
        <v>48</v>
      </c>
    </row>
    <row r="34" spans="2:16" x14ac:dyDescent="0.25">
      <c r="B34" s="209">
        <f ca="1"/>
        <v>44</v>
      </c>
      <c r="C34" s="168">
        <f ca="1"/>
        <v>29</v>
      </c>
      <c r="D34" s="168">
        <f ca="1"/>
        <v>13</v>
      </c>
      <c r="F34" s="169">
        <v>3</v>
      </c>
      <c r="G34" s="168">
        <v>1056.2609033230992</v>
      </c>
      <c r="H34" s="168">
        <f t="shared" si="6"/>
        <v>1056.26</v>
      </c>
      <c r="J34" s="169">
        <v>2</v>
      </c>
      <c r="K34" s="168">
        <v>92</v>
      </c>
      <c r="L34" s="168">
        <f t="shared" ref="L34:L42" si="7">FLOOR(K34,3)</f>
        <v>90</v>
      </c>
      <c r="M34" s="168">
        <f t="shared" ref="M34:M42" si="8">CEILING(K34,3)</f>
        <v>93</v>
      </c>
      <c r="N34" s="168">
        <f t="shared" ref="N34:N42" si="9">MROUND(K34,3)</f>
        <v>93</v>
      </c>
    </row>
    <row r="35" spans="2:16" x14ac:dyDescent="0.25">
      <c r="B35" s="209">
        <f ca="1"/>
        <v>1</v>
      </c>
      <c r="C35" s="168">
        <f ca="1"/>
        <v>44</v>
      </c>
      <c r="D35" s="168">
        <f ca="1"/>
        <v>16</v>
      </c>
      <c r="F35" s="169">
        <v>4</v>
      </c>
      <c r="G35" s="168">
        <v>444.95536951220424</v>
      </c>
      <c r="H35" s="168">
        <f t="shared" si="6"/>
        <v>444.95499999999998</v>
      </c>
      <c r="J35" s="169">
        <v>3</v>
      </c>
      <c r="K35" s="168">
        <v>49</v>
      </c>
      <c r="L35" s="168">
        <f t="shared" si="7"/>
        <v>48</v>
      </c>
      <c r="M35" s="168">
        <f t="shared" si="8"/>
        <v>51</v>
      </c>
      <c r="N35" s="168">
        <f t="shared" si="9"/>
        <v>48</v>
      </c>
    </row>
    <row r="36" spans="2:16" x14ac:dyDescent="0.25">
      <c r="B36" s="209">
        <f ca="1"/>
        <v>61</v>
      </c>
      <c r="C36" s="168">
        <f ca="1"/>
        <v>23</v>
      </c>
      <c r="D36" s="168">
        <f ca="1"/>
        <v>88</v>
      </c>
      <c r="F36" s="169">
        <v>5</v>
      </c>
      <c r="G36" s="168">
        <v>1319.4698803550457</v>
      </c>
      <c r="H36" s="168">
        <f t="shared" si="6"/>
        <v>1319.4690000000001</v>
      </c>
      <c r="J36" s="169">
        <v>4</v>
      </c>
      <c r="K36" s="168">
        <v>32</v>
      </c>
      <c r="L36" s="168">
        <f t="shared" si="7"/>
        <v>30</v>
      </c>
      <c r="M36" s="168">
        <f t="shared" si="8"/>
        <v>33</v>
      </c>
      <c r="N36" s="168">
        <f t="shared" si="9"/>
        <v>33</v>
      </c>
    </row>
    <row r="37" spans="2:16" x14ac:dyDescent="0.25">
      <c r="B37" s="209">
        <f ca="1"/>
        <v>93</v>
      </c>
      <c r="C37" s="168">
        <f ca="1"/>
        <v>31</v>
      </c>
      <c r="D37" s="168">
        <f ca="1"/>
        <v>41</v>
      </c>
      <c r="F37" s="169">
        <v>6</v>
      </c>
      <c r="G37" s="168">
        <v>226.9273016860318</v>
      </c>
      <c r="H37" s="168">
        <f t="shared" si="6"/>
        <v>226.92699999999999</v>
      </c>
      <c r="J37" s="169">
        <v>5</v>
      </c>
      <c r="K37" s="168">
        <v>43</v>
      </c>
      <c r="L37" s="168">
        <f t="shared" si="7"/>
        <v>42</v>
      </c>
      <c r="M37" s="168">
        <f t="shared" si="8"/>
        <v>45</v>
      </c>
      <c r="N37" s="168">
        <f t="shared" si="9"/>
        <v>42</v>
      </c>
    </row>
    <row r="38" spans="2:16" x14ac:dyDescent="0.25">
      <c r="B38" s="209">
        <f ca="1"/>
        <v>99</v>
      </c>
      <c r="C38" s="168">
        <f ca="1"/>
        <v>53</v>
      </c>
      <c r="D38" s="168">
        <f ca="1"/>
        <v>1</v>
      </c>
      <c r="F38" s="169">
        <v>7</v>
      </c>
      <c r="G38" s="168">
        <v>130.1594492248114</v>
      </c>
      <c r="H38" s="168">
        <f t="shared" si="6"/>
        <v>130.15899999999999</v>
      </c>
      <c r="J38" s="169">
        <v>6</v>
      </c>
      <c r="K38" s="168">
        <v>57</v>
      </c>
      <c r="L38" s="168">
        <f t="shared" si="7"/>
        <v>57</v>
      </c>
      <c r="M38" s="168">
        <f t="shared" si="8"/>
        <v>57</v>
      </c>
      <c r="N38" s="168">
        <f t="shared" si="9"/>
        <v>57</v>
      </c>
    </row>
    <row r="39" spans="2:16" x14ac:dyDescent="0.25">
      <c r="B39" s="209">
        <f ca="1"/>
        <v>98</v>
      </c>
      <c r="C39" s="168">
        <f ca="1"/>
        <v>14</v>
      </c>
      <c r="D39" s="168">
        <f ca="1"/>
        <v>94</v>
      </c>
      <c r="F39" s="169">
        <v>8</v>
      </c>
      <c r="G39" s="168">
        <v>351.12731634061288</v>
      </c>
      <c r="H39" s="168">
        <f t="shared" si="6"/>
        <v>351.12700000000001</v>
      </c>
      <c r="J39" s="169">
        <v>7</v>
      </c>
      <c r="K39" s="168">
        <v>45</v>
      </c>
      <c r="L39" s="168">
        <f t="shared" si="7"/>
        <v>45</v>
      </c>
      <c r="M39" s="168">
        <f t="shared" si="8"/>
        <v>45</v>
      </c>
      <c r="N39" s="168">
        <f t="shared" si="9"/>
        <v>45</v>
      </c>
    </row>
    <row r="40" spans="2:16" x14ac:dyDescent="0.25">
      <c r="B40" s="209">
        <f ca="1"/>
        <v>1</v>
      </c>
      <c r="C40" s="168">
        <f ca="1"/>
        <v>94</v>
      </c>
      <c r="D40" s="168">
        <f ca="1"/>
        <v>69</v>
      </c>
      <c r="F40" s="169">
        <v>9</v>
      </c>
      <c r="G40" s="168">
        <v>1433.0594361477456</v>
      </c>
      <c r="H40" s="168">
        <f t="shared" si="6"/>
        <v>1433.059</v>
      </c>
      <c r="J40" s="169">
        <v>8</v>
      </c>
      <c r="K40" s="168">
        <v>59</v>
      </c>
      <c r="L40" s="168">
        <f t="shared" si="7"/>
        <v>57</v>
      </c>
      <c r="M40" s="168">
        <f t="shared" si="8"/>
        <v>60</v>
      </c>
      <c r="N40" s="168">
        <f t="shared" si="9"/>
        <v>60</v>
      </c>
    </row>
    <row r="41" spans="2:16" x14ac:dyDescent="0.25">
      <c r="F41" s="169">
        <v>10</v>
      </c>
      <c r="G41" s="168">
        <v>214.62573845192333</v>
      </c>
      <c r="H41" s="168">
        <f t="shared" si="6"/>
        <v>214.625</v>
      </c>
      <c r="J41" s="169">
        <v>9</v>
      </c>
      <c r="K41" s="168">
        <v>42</v>
      </c>
      <c r="L41" s="168">
        <f t="shared" si="7"/>
        <v>42</v>
      </c>
      <c r="M41" s="168">
        <f t="shared" si="8"/>
        <v>42</v>
      </c>
      <c r="N41" s="168">
        <f t="shared" si="9"/>
        <v>42</v>
      </c>
    </row>
    <row r="42" spans="2:16" x14ac:dyDescent="0.25">
      <c r="J42" s="169">
        <v>10</v>
      </c>
      <c r="K42" s="168">
        <v>74</v>
      </c>
      <c r="L42" s="168">
        <f t="shared" si="7"/>
        <v>72</v>
      </c>
      <c r="M42" s="168">
        <f t="shared" si="8"/>
        <v>75</v>
      </c>
      <c r="N42" s="168">
        <f t="shared" si="9"/>
        <v>75</v>
      </c>
    </row>
    <row r="43" spans="2:16" x14ac:dyDescent="0.25">
      <c r="B43" s="318" t="s">
        <v>813</v>
      </c>
      <c r="C43" s="318"/>
      <c r="D43" s="318"/>
      <c r="F43" s="318" t="s">
        <v>818</v>
      </c>
      <c r="G43" s="318"/>
      <c r="H43" s="318"/>
    </row>
    <row r="44" spans="2:16" x14ac:dyDescent="0.25">
      <c r="B44" s="167" t="s">
        <v>901</v>
      </c>
      <c r="C44" s="167" t="s">
        <v>902</v>
      </c>
      <c r="D44" s="167" t="s">
        <v>813</v>
      </c>
      <c r="F44" s="167" t="s">
        <v>901</v>
      </c>
      <c r="G44" s="167" t="s">
        <v>902</v>
      </c>
      <c r="H44" s="167" t="s">
        <v>818</v>
      </c>
    </row>
    <row r="45" spans="2:16" x14ac:dyDescent="0.25">
      <c r="B45" s="169">
        <v>1</v>
      </c>
      <c r="C45" s="168">
        <v>821</v>
      </c>
      <c r="D45" s="168">
        <v>942</v>
      </c>
      <c r="F45" s="169">
        <v>1</v>
      </c>
      <c r="G45" s="209">
        <v>821</v>
      </c>
      <c r="H45" s="168" cm="1">
        <f t="array" ref="H45:H54">SMALL($G$45:$G$54,F45:F54)</f>
        <v>128</v>
      </c>
      <c r="J45" s="318" t="s">
        <v>913</v>
      </c>
      <c r="K45" s="318"/>
      <c r="L45" s="318"/>
      <c r="M45" s="318"/>
      <c r="N45" s="318"/>
      <c r="O45" s="318"/>
      <c r="P45" s="318"/>
    </row>
    <row r="46" spans="2:16" x14ac:dyDescent="0.25">
      <c r="B46" s="169">
        <v>2</v>
      </c>
      <c r="C46" s="168">
        <v>486</v>
      </c>
      <c r="D46" s="168">
        <v>821</v>
      </c>
      <c r="F46" s="169">
        <v>2</v>
      </c>
      <c r="G46" s="209">
        <v>486</v>
      </c>
      <c r="H46" s="168">
        <v>206</v>
      </c>
      <c r="J46" s="167" t="s">
        <v>901</v>
      </c>
      <c r="K46" s="167" t="s">
        <v>902</v>
      </c>
      <c r="L46" s="237" t="s">
        <v>914</v>
      </c>
      <c r="M46" s="167" t="s">
        <v>878</v>
      </c>
      <c r="N46" s="236" t="s">
        <v>883</v>
      </c>
      <c r="O46" s="236" t="s">
        <v>888</v>
      </c>
      <c r="P46" s="236" t="s">
        <v>893</v>
      </c>
    </row>
    <row r="47" spans="2:16" x14ac:dyDescent="0.25">
      <c r="B47" s="169">
        <v>3</v>
      </c>
      <c r="C47" s="168">
        <v>528</v>
      </c>
      <c r="D47" s="168">
        <v>813</v>
      </c>
      <c r="F47" s="169">
        <v>3</v>
      </c>
      <c r="G47" s="209">
        <v>528</v>
      </c>
      <c r="H47" s="168">
        <v>296</v>
      </c>
      <c r="J47" s="169">
        <v>1</v>
      </c>
      <c r="K47" s="168">
        <v>49</v>
      </c>
      <c r="L47" s="168">
        <f>-ABS(K47)</f>
        <v>-49</v>
      </c>
      <c r="M47" s="168">
        <f>ABS(L47)</f>
        <v>49</v>
      </c>
      <c r="N47" s="168">
        <f>MOD(K47,3)</f>
        <v>1</v>
      </c>
      <c r="O47" s="168">
        <f>POWER(J47,3)</f>
        <v>1</v>
      </c>
      <c r="P47" s="168">
        <f>ROUND(SQRT(K47),2)</f>
        <v>7</v>
      </c>
    </row>
    <row r="48" spans="2:16" x14ac:dyDescent="0.25">
      <c r="B48" s="169">
        <v>4</v>
      </c>
      <c r="C48" s="168">
        <v>128</v>
      </c>
      <c r="D48" s="168">
        <v>528</v>
      </c>
      <c r="F48" s="169">
        <v>4</v>
      </c>
      <c r="G48" s="209">
        <v>128</v>
      </c>
      <c r="H48" s="168">
        <v>330</v>
      </c>
      <c r="J48" s="169">
        <v>2</v>
      </c>
      <c r="K48" s="168">
        <v>92</v>
      </c>
      <c r="L48" s="168">
        <f t="shared" ref="L48:L56" si="10">-ABS(K48)</f>
        <v>-92</v>
      </c>
      <c r="M48" s="168">
        <f t="shared" ref="M48:M56" si="11">ABS(L48)</f>
        <v>92</v>
      </c>
      <c r="N48" s="168">
        <f t="shared" ref="N48:N56" si="12">MOD(K48,3)</f>
        <v>2</v>
      </c>
      <c r="O48" s="168">
        <f t="shared" ref="O48:O56" si="13">POWER(J48,3)</f>
        <v>8</v>
      </c>
      <c r="P48" s="168">
        <f t="shared" ref="P48:P56" si="14">SQRT(K48)</f>
        <v>9.5916630466254382</v>
      </c>
    </row>
    <row r="49" spans="2:16" x14ac:dyDescent="0.25">
      <c r="B49" s="169">
        <v>5</v>
      </c>
      <c r="C49" s="168">
        <v>422</v>
      </c>
      <c r="D49" s="168">
        <v>486</v>
      </c>
      <c r="F49" s="169">
        <v>5</v>
      </c>
      <c r="G49" s="209">
        <v>422</v>
      </c>
      <c r="H49" s="168">
        <v>422</v>
      </c>
      <c r="J49" s="169">
        <v>3</v>
      </c>
      <c r="K49" s="168">
        <v>49</v>
      </c>
      <c r="L49" s="168">
        <f t="shared" si="10"/>
        <v>-49</v>
      </c>
      <c r="M49" s="168">
        <f t="shared" si="11"/>
        <v>49</v>
      </c>
      <c r="N49" s="168">
        <f t="shared" si="12"/>
        <v>1</v>
      </c>
      <c r="O49" s="168">
        <f t="shared" si="13"/>
        <v>27</v>
      </c>
      <c r="P49" s="168">
        <f t="shared" si="14"/>
        <v>7</v>
      </c>
    </row>
    <row r="50" spans="2:16" x14ac:dyDescent="0.25">
      <c r="B50" s="169">
        <v>6</v>
      </c>
      <c r="C50" s="168">
        <v>206</v>
      </c>
      <c r="D50" s="168">
        <v>422</v>
      </c>
      <c r="F50" s="169">
        <v>6</v>
      </c>
      <c r="G50" s="209">
        <v>206</v>
      </c>
      <c r="H50" s="168">
        <v>486</v>
      </c>
      <c r="J50" s="169">
        <v>4</v>
      </c>
      <c r="K50" s="168">
        <v>32</v>
      </c>
      <c r="L50" s="168">
        <f t="shared" si="10"/>
        <v>-32</v>
      </c>
      <c r="M50" s="168">
        <f t="shared" si="11"/>
        <v>32</v>
      </c>
      <c r="N50" s="168">
        <f t="shared" si="12"/>
        <v>2</v>
      </c>
      <c r="O50" s="168">
        <f t="shared" si="13"/>
        <v>64</v>
      </c>
      <c r="P50" s="168">
        <f t="shared" si="14"/>
        <v>5.6568542494923806</v>
      </c>
    </row>
    <row r="51" spans="2:16" x14ac:dyDescent="0.25">
      <c r="B51" s="169">
        <v>7</v>
      </c>
      <c r="C51" s="168">
        <v>942</v>
      </c>
      <c r="D51" s="168">
        <v>330</v>
      </c>
      <c r="F51" s="169">
        <v>7</v>
      </c>
      <c r="G51" s="209">
        <v>942</v>
      </c>
      <c r="H51" s="168">
        <v>528</v>
      </c>
      <c r="J51" s="169">
        <v>5</v>
      </c>
      <c r="K51" s="168">
        <v>43</v>
      </c>
      <c r="L51" s="168">
        <f t="shared" si="10"/>
        <v>-43</v>
      </c>
      <c r="M51" s="168">
        <f t="shared" si="11"/>
        <v>43</v>
      </c>
      <c r="N51" s="168">
        <f t="shared" si="12"/>
        <v>1</v>
      </c>
      <c r="O51" s="168">
        <f t="shared" si="13"/>
        <v>125</v>
      </c>
      <c r="P51" s="168">
        <f t="shared" si="14"/>
        <v>6.5574385243020004</v>
      </c>
    </row>
    <row r="52" spans="2:16" x14ac:dyDescent="0.25">
      <c r="B52" s="169">
        <v>8</v>
      </c>
      <c r="C52" s="168">
        <v>296</v>
      </c>
      <c r="D52" s="168">
        <v>296</v>
      </c>
      <c r="F52" s="169">
        <v>8</v>
      </c>
      <c r="G52" s="209">
        <v>296</v>
      </c>
      <c r="H52" s="168">
        <v>813</v>
      </c>
      <c r="J52" s="169">
        <v>6</v>
      </c>
      <c r="K52" s="168">
        <v>57</v>
      </c>
      <c r="L52" s="168">
        <f t="shared" si="10"/>
        <v>-57</v>
      </c>
      <c r="M52" s="168">
        <f t="shared" si="11"/>
        <v>57</v>
      </c>
      <c r="N52" s="168">
        <f t="shared" si="12"/>
        <v>0</v>
      </c>
      <c r="O52" s="168">
        <f t="shared" si="13"/>
        <v>216</v>
      </c>
      <c r="P52" s="168">
        <f t="shared" si="14"/>
        <v>7.5498344352707498</v>
      </c>
    </row>
    <row r="53" spans="2:16" x14ac:dyDescent="0.25">
      <c r="B53" s="169">
        <v>9</v>
      </c>
      <c r="C53" s="168">
        <v>813</v>
      </c>
      <c r="D53" s="168">
        <v>206</v>
      </c>
      <c r="F53" s="169">
        <v>9</v>
      </c>
      <c r="G53" s="209">
        <v>813</v>
      </c>
      <c r="H53" s="168">
        <v>821</v>
      </c>
      <c r="J53" s="169">
        <v>7</v>
      </c>
      <c r="K53" s="168">
        <v>45</v>
      </c>
      <c r="L53" s="168">
        <f t="shared" si="10"/>
        <v>-45</v>
      </c>
      <c r="M53" s="168">
        <f t="shared" si="11"/>
        <v>45</v>
      </c>
      <c r="N53" s="168">
        <f t="shared" si="12"/>
        <v>0</v>
      </c>
      <c r="O53" s="168">
        <f t="shared" si="13"/>
        <v>343</v>
      </c>
      <c r="P53" s="168">
        <f>SQRT(K53)</f>
        <v>6.7082039324993694</v>
      </c>
    </row>
    <row r="54" spans="2:16" x14ac:dyDescent="0.25">
      <c r="B54" s="169">
        <v>10</v>
      </c>
      <c r="C54" s="168">
        <v>330</v>
      </c>
      <c r="D54" s="168">
        <v>128</v>
      </c>
      <c r="F54" s="169">
        <v>10</v>
      </c>
      <c r="G54" s="209">
        <v>330</v>
      </c>
      <c r="H54" s="168">
        <v>942</v>
      </c>
      <c r="J54" s="169">
        <v>8</v>
      </c>
      <c r="K54" s="168">
        <v>59</v>
      </c>
      <c r="L54" s="168">
        <f t="shared" si="10"/>
        <v>-59</v>
      </c>
      <c r="M54" s="168">
        <f t="shared" si="11"/>
        <v>59</v>
      </c>
      <c r="N54" s="168">
        <f t="shared" si="12"/>
        <v>2</v>
      </c>
      <c r="O54" s="168">
        <f t="shared" si="13"/>
        <v>512</v>
      </c>
      <c r="P54" s="168">
        <f t="shared" si="14"/>
        <v>7.6811457478686078</v>
      </c>
    </row>
    <row r="55" spans="2:16" x14ac:dyDescent="0.25">
      <c r="J55" s="169">
        <v>9</v>
      </c>
      <c r="K55" s="168">
        <v>42</v>
      </c>
      <c r="L55" s="168">
        <f t="shared" si="10"/>
        <v>-42</v>
      </c>
      <c r="M55" s="168">
        <f t="shared" si="11"/>
        <v>42</v>
      </c>
      <c r="N55" s="168">
        <f t="shared" si="12"/>
        <v>0</v>
      </c>
      <c r="O55" s="168">
        <f t="shared" si="13"/>
        <v>729</v>
      </c>
      <c r="P55" s="168">
        <f t="shared" si="14"/>
        <v>6.4807406984078604</v>
      </c>
    </row>
    <row r="56" spans="2:16" x14ac:dyDescent="0.25">
      <c r="J56" s="169">
        <v>10</v>
      </c>
      <c r="K56" s="168">
        <v>74</v>
      </c>
      <c r="L56" s="168">
        <f t="shared" si="10"/>
        <v>-74</v>
      </c>
      <c r="M56" s="168">
        <f t="shared" si="11"/>
        <v>74</v>
      </c>
      <c r="N56" s="168">
        <f t="shared" si="12"/>
        <v>2</v>
      </c>
      <c r="O56" s="168">
        <f t="shared" si="13"/>
        <v>1000</v>
      </c>
      <c r="P56" s="168">
        <f t="shared" si="14"/>
        <v>8.6023252670426267</v>
      </c>
    </row>
  </sheetData>
  <mergeCells count="11">
    <mergeCell ref="J45:P45"/>
    <mergeCell ref="B3:D3"/>
    <mergeCell ref="B17:D17"/>
    <mergeCell ref="B30:D30"/>
    <mergeCell ref="B43:D43"/>
    <mergeCell ref="J31:N31"/>
    <mergeCell ref="F43:H43"/>
    <mergeCell ref="F3:H3"/>
    <mergeCell ref="F17:H17"/>
    <mergeCell ref="F30:H30"/>
    <mergeCell ref="J17:M17"/>
  </mergeCells>
  <conditionalFormatting sqref="C45:C54">
    <cfRule type="top10" dxfId="1" priority="6" rank="3"/>
  </conditionalFormatting>
  <conditionalFormatting sqref="G45:G54">
    <cfRule type="top10" dxfId="0" priority="2" bottom="1" rank="3"/>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7C5F0-736C-4467-B50E-FE7290689039}">
  <dimension ref="B3:G38"/>
  <sheetViews>
    <sheetView workbookViewId="0">
      <selection activeCell="D38" sqref="D38"/>
    </sheetView>
  </sheetViews>
  <sheetFormatPr defaultRowHeight="15" x14ac:dyDescent="0.25"/>
  <cols>
    <col min="2" max="2" width="5" bestFit="1" customWidth="1"/>
    <col min="3" max="3" width="19.5703125" bestFit="1" customWidth="1"/>
    <col min="4" max="4" width="49.42578125" bestFit="1" customWidth="1"/>
    <col min="5" max="5" width="37" bestFit="1" customWidth="1"/>
    <col min="6" max="6" width="21.7109375" bestFit="1" customWidth="1"/>
    <col min="7" max="7" width="27.5703125" bestFit="1" customWidth="1"/>
  </cols>
  <sheetData>
    <row r="3" spans="2:7" ht="20.100000000000001" customHeight="1" x14ac:dyDescent="0.25">
      <c r="B3" s="239" t="s">
        <v>559</v>
      </c>
      <c r="C3" s="239" t="s">
        <v>560</v>
      </c>
      <c r="D3" s="239" t="s">
        <v>561</v>
      </c>
      <c r="E3" s="239" t="s">
        <v>752</v>
      </c>
      <c r="F3" s="239" t="s">
        <v>562</v>
      </c>
      <c r="G3" s="239" t="s">
        <v>563</v>
      </c>
    </row>
    <row r="4" spans="2:7" ht="20.100000000000001" customHeight="1" x14ac:dyDescent="0.25">
      <c r="B4" s="240">
        <v>1</v>
      </c>
      <c r="C4" s="241" t="s">
        <v>915</v>
      </c>
      <c r="D4" s="242" t="s">
        <v>916</v>
      </c>
      <c r="E4" s="242" t="s">
        <v>917</v>
      </c>
      <c r="F4" s="242" t="s">
        <v>918</v>
      </c>
      <c r="G4" s="242" t="s">
        <v>916</v>
      </c>
    </row>
    <row r="5" spans="2:7" ht="20.100000000000001" customHeight="1" x14ac:dyDescent="0.25">
      <c r="B5" s="240">
        <v>2</v>
      </c>
      <c r="C5" s="241" t="s">
        <v>919</v>
      </c>
      <c r="D5" s="242" t="s">
        <v>920</v>
      </c>
      <c r="E5" s="242" t="s">
        <v>921</v>
      </c>
      <c r="F5" s="242" t="s">
        <v>922</v>
      </c>
      <c r="G5" s="242" t="s">
        <v>920</v>
      </c>
    </row>
    <row r="6" spans="2:7" ht="20.100000000000001" customHeight="1" x14ac:dyDescent="0.25">
      <c r="B6" s="249">
        <v>3</v>
      </c>
      <c r="C6" s="250" t="s">
        <v>923</v>
      </c>
      <c r="D6" s="251" t="s">
        <v>924</v>
      </c>
      <c r="E6" s="251" t="s">
        <v>925</v>
      </c>
      <c r="F6" s="251" t="s">
        <v>926</v>
      </c>
      <c r="G6" s="251" t="s">
        <v>927</v>
      </c>
    </row>
    <row r="7" spans="2:7" ht="20.100000000000001" customHeight="1" x14ac:dyDescent="0.25">
      <c r="B7" s="249">
        <v>4</v>
      </c>
      <c r="C7" s="250" t="s">
        <v>928</v>
      </c>
      <c r="D7" s="251" t="s">
        <v>929</v>
      </c>
      <c r="E7" s="251" t="s">
        <v>930</v>
      </c>
      <c r="F7" s="251" t="s">
        <v>931</v>
      </c>
      <c r="G7" s="251" t="s">
        <v>932</v>
      </c>
    </row>
    <row r="8" spans="2:7" ht="20.100000000000001" customHeight="1" x14ac:dyDescent="0.25">
      <c r="B8" s="249">
        <v>5</v>
      </c>
      <c r="C8" s="250" t="s">
        <v>933</v>
      </c>
      <c r="D8" s="251" t="s">
        <v>934</v>
      </c>
      <c r="E8" s="251" t="s">
        <v>935</v>
      </c>
      <c r="F8" s="251" t="s">
        <v>936</v>
      </c>
      <c r="G8" s="251" t="s">
        <v>937</v>
      </c>
    </row>
    <row r="9" spans="2:7" ht="20.100000000000001" customHeight="1" x14ac:dyDescent="0.25">
      <c r="B9" s="249">
        <v>6</v>
      </c>
      <c r="C9" s="250" t="s">
        <v>938</v>
      </c>
      <c r="D9" s="251" t="s">
        <v>939</v>
      </c>
      <c r="E9" s="251" t="s">
        <v>940</v>
      </c>
      <c r="F9" s="251" t="s">
        <v>941</v>
      </c>
      <c r="G9" s="251" t="s">
        <v>942</v>
      </c>
    </row>
    <row r="10" spans="2:7" ht="20.100000000000001" customHeight="1" x14ac:dyDescent="0.25">
      <c r="B10" s="249">
        <v>7</v>
      </c>
      <c r="C10" s="250" t="s">
        <v>943</v>
      </c>
      <c r="D10" s="251" t="s">
        <v>944</v>
      </c>
      <c r="E10" s="251" t="s">
        <v>945</v>
      </c>
      <c r="F10" s="251" t="s">
        <v>946</v>
      </c>
      <c r="G10" s="251" t="s">
        <v>947</v>
      </c>
    </row>
    <row r="11" spans="2:7" ht="20.100000000000001" customHeight="1" x14ac:dyDescent="0.25">
      <c r="B11" s="249">
        <v>8</v>
      </c>
      <c r="C11" s="250" t="s">
        <v>948</v>
      </c>
      <c r="D11" s="251" t="s">
        <v>949</v>
      </c>
      <c r="E11" s="251" t="s">
        <v>950</v>
      </c>
      <c r="F11" s="251" t="s">
        <v>951</v>
      </c>
      <c r="G11" s="251" t="s">
        <v>952</v>
      </c>
    </row>
    <row r="12" spans="2:7" ht="20.100000000000001" customHeight="1" x14ac:dyDescent="0.25">
      <c r="B12" s="249">
        <v>9</v>
      </c>
      <c r="C12" s="250" t="s">
        <v>953</v>
      </c>
      <c r="D12" s="251" t="s">
        <v>954</v>
      </c>
      <c r="E12" s="251" t="s">
        <v>955</v>
      </c>
      <c r="F12" s="251" t="s">
        <v>951</v>
      </c>
      <c r="G12" s="251" t="s">
        <v>956</v>
      </c>
    </row>
    <row r="13" spans="2:7" ht="20.100000000000001" customHeight="1" x14ac:dyDescent="0.25">
      <c r="B13" s="249">
        <v>10</v>
      </c>
      <c r="C13" s="250" t="s">
        <v>957</v>
      </c>
      <c r="D13" s="251" t="s">
        <v>958</v>
      </c>
      <c r="E13" s="251" t="s">
        <v>959</v>
      </c>
      <c r="F13" s="251" t="s">
        <v>951</v>
      </c>
      <c r="G13" s="251" t="s">
        <v>960</v>
      </c>
    </row>
    <row r="14" spans="2:7" ht="20.100000000000001" customHeight="1" x14ac:dyDescent="0.25">
      <c r="B14" s="267">
        <v>11</v>
      </c>
      <c r="C14" s="268" t="s">
        <v>961</v>
      </c>
      <c r="D14" s="269" t="s">
        <v>962</v>
      </c>
      <c r="E14" s="269" t="s">
        <v>963</v>
      </c>
      <c r="F14" s="269" t="s">
        <v>964</v>
      </c>
      <c r="G14" s="269" t="s">
        <v>965</v>
      </c>
    </row>
    <row r="15" spans="2:7" ht="20.100000000000001" customHeight="1" x14ac:dyDescent="0.25">
      <c r="B15" s="267">
        <v>12</v>
      </c>
      <c r="C15" s="268" t="s">
        <v>966</v>
      </c>
      <c r="D15" s="269" t="s">
        <v>967</v>
      </c>
      <c r="E15" s="269" t="s">
        <v>968</v>
      </c>
      <c r="F15" s="269" t="s">
        <v>969</v>
      </c>
      <c r="G15" s="269" t="s">
        <v>970</v>
      </c>
    </row>
    <row r="16" spans="2:7" ht="20.100000000000001" customHeight="1" x14ac:dyDescent="0.25">
      <c r="B16" s="267">
        <v>13</v>
      </c>
      <c r="C16" s="268" t="s">
        <v>971</v>
      </c>
      <c r="D16" s="269" t="s">
        <v>972</v>
      </c>
      <c r="E16" s="269" t="s">
        <v>973</v>
      </c>
      <c r="F16" s="269" t="s">
        <v>974</v>
      </c>
      <c r="G16" s="269" t="s">
        <v>975</v>
      </c>
    </row>
    <row r="17" spans="2:7" ht="20.100000000000001" customHeight="1" x14ac:dyDescent="0.25">
      <c r="B17" s="264">
        <v>14</v>
      </c>
      <c r="C17" s="265" t="s">
        <v>976</v>
      </c>
      <c r="D17" s="266" t="s">
        <v>977</v>
      </c>
      <c r="E17" s="266" t="s">
        <v>978</v>
      </c>
      <c r="F17" s="266" t="s">
        <v>979</v>
      </c>
      <c r="G17" s="266" t="s">
        <v>980</v>
      </c>
    </row>
    <row r="18" spans="2:7" ht="20.100000000000001" customHeight="1" x14ac:dyDescent="0.25">
      <c r="B18" s="264">
        <v>15</v>
      </c>
      <c r="C18" s="265" t="s">
        <v>981</v>
      </c>
      <c r="D18" s="266" t="s">
        <v>982</v>
      </c>
      <c r="E18" s="266" t="s">
        <v>983</v>
      </c>
      <c r="F18" s="266" t="s">
        <v>984</v>
      </c>
      <c r="G18" s="266" t="s">
        <v>985</v>
      </c>
    </row>
    <row r="19" spans="2:7" ht="20.100000000000001" customHeight="1" x14ac:dyDescent="0.25">
      <c r="B19" s="279">
        <v>16</v>
      </c>
      <c r="C19" s="280" t="s">
        <v>986</v>
      </c>
      <c r="D19" s="281" t="s">
        <v>987</v>
      </c>
      <c r="E19" s="281" t="s">
        <v>988</v>
      </c>
      <c r="F19" s="281" t="s">
        <v>989</v>
      </c>
      <c r="G19" s="281" t="s">
        <v>990</v>
      </c>
    </row>
    <row r="20" spans="2:7" ht="20.100000000000001" customHeight="1" x14ac:dyDescent="0.25">
      <c r="B20" s="243">
        <v>17</v>
      </c>
      <c r="C20" s="244" t="s">
        <v>991</v>
      </c>
      <c r="D20" s="245" t="s">
        <v>992</v>
      </c>
      <c r="E20" s="245" t="s">
        <v>993</v>
      </c>
      <c r="F20" s="245" t="s">
        <v>994</v>
      </c>
      <c r="G20" s="245" t="s">
        <v>995</v>
      </c>
    </row>
    <row r="21" spans="2:7" ht="20.100000000000001" customHeight="1" x14ac:dyDescent="0.25">
      <c r="B21" s="243">
        <v>18</v>
      </c>
      <c r="C21" s="244" t="s">
        <v>996</v>
      </c>
      <c r="D21" s="245" t="s">
        <v>997</v>
      </c>
      <c r="E21" s="245" t="s">
        <v>998</v>
      </c>
      <c r="F21" s="245" t="s">
        <v>134</v>
      </c>
      <c r="G21" s="245" t="s">
        <v>999</v>
      </c>
    </row>
    <row r="22" spans="2:7" ht="20.100000000000001" customHeight="1" x14ac:dyDescent="0.25">
      <c r="B22" s="258">
        <v>19</v>
      </c>
      <c r="C22" s="259" t="s">
        <v>1000</v>
      </c>
      <c r="D22" s="260" t="s">
        <v>1001</v>
      </c>
      <c r="E22" s="260" t="s">
        <v>1002</v>
      </c>
      <c r="F22" s="260" t="s">
        <v>1003</v>
      </c>
      <c r="G22" s="260" t="s">
        <v>1004</v>
      </c>
    </row>
    <row r="23" spans="2:7" ht="20.100000000000001" customHeight="1" x14ac:dyDescent="0.25">
      <c r="B23" s="258">
        <v>20</v>
      </c>
      <c r="C23" s="259" t="s">
        <v>1005</v>
      </c>
      <c r="D23" s="260" t="s">
        <v>1006</v>
      </c>
      <c r="E23" s="260" t="s">
        <v>1007</v>
      </c>
      <c r="F23" s="260" t="s">
        <v>1008</v>
      </c>
      <c r="G23" s="260" t="s">
        <v>1009</v>
      </c>
    </row>
    <row r="24" spans="2:7" ht="20.100000000000001" customHeight="1" x14ac:dyDescent="0.25">
      <c r="B24" s="261">
        <v>21</v>
      </c>
      <c r="C24" s="262" t="s">
        <v>1010</v>
      </c>
      <c r="D24" s="263" t="s">
        <v>1011</v>
      </c>
      <c r="E24" s="263" t="s">
        <v>1012</v>
      </c>
      <c r="F24" s="263" t="s">
        <v>1013</v>
      </c>
      <c r="G24" s="263" t="s">
        <v>1014</v>
      </c>
    </row>
    <row r="25" spans="2:7" ht="20.100000000000001" customHeight="1" x14ac:dyDescent="0.25">
      <c r="B25" s="261">
        <v>22</v>
      </c>
      <c r="C25" s="262" t="s">
        <v>1015</v>
      </c>
      <c r="D25" s="263" t="s">
        <v>1016</v>
      </c>
      <c r="E25" s="263" t="s">
        <v>1017</v>
      </c>
      <c r="F25" s="263" t="s">
        <v>1018</v>
      </c>
      <c r="G25" s="263" t="s">
        <v>1019</v>
      </c>
    </row>
    <row r="26" spans="2:7" ht="20.100000000000001" customHeight="1" x14ac:dyDescent="0.25">
      <c r="B26" s="279">
        <v>23</v>
      </c>
      <c r="C26" s="280" t="s">
        <v>1020</v>
      </c>
      <c r="D26" s="281" t="s">
        <v>1021</v>
      </c>
      <c r="E26" s="281" t="s">
        <v>1022</v>
      </c>
      <c r="F26" s="281" t="s">
        <v>1023</v>
      </c>
      <c r="G26" s="281" t="s">
        <v>1024</v>
      </c>
    </row>
    <row r="27" spans="2:7" ht="20.100000000000001" customHeight="1" x14ac:dyDescent="0.25">
      <c r="B27" s="285">
        <v>24</v>
      </c>
      <c r="C27" s="286" t="s">
        <v>628</v>
      </c>
      <c r="D27" s="287" t="s">
        <v>1025</v>
      </c>
      <c r="E27" s="287" t="s">
        <v>1026</v>
      </c>
      <c r="F27" s="287" t="s">
        <v>1027</v>
      </c>
      <c r="G27" s="287" t="s">
        <v>1028</v>
      </c>
    </row>
    <row r="28" spans="2:7" ht="20.100000000000001" customHeight="1" x14ac:dyDescent="0.25">
      <c r="B28" s="288">
        <v>25</v>
      </c>
      <c r="C28" s="289" t="s">
        <v>1029</v>
      </c>
      <c r="D28" s="290" t="s">
        <v>1030</v>
      </c>
      <c r="E28" s="290" t="s">
        <v>1031</v>
      </c>
      <c r="F28" s="290" t="s">
        <v>1032</v>
      </c>
      <c r="G28" s="290" t="s">
        <v>1033</v>
      </c>
    </row>
    <row r="29" spans="2:7" ht="20.100000000000001" customHeight="1" x14ac:dyDescent="0.25">
      <c r="B29" s="288">
        <v>26</v>
      </c>
      <c r="C29" s="289" t="s">
        <v>1034</v>
      </c>
      <c r="D29" s="290" t="s">
        <v>1035</v>
      </c>
      <c r="E29" s="290" t="s">
        <v>1036</v>
      </c>
      <c r="F29" s="290" t="s">
        <v>1037</v>
      </c>
      <c r="G29" s="290" t="s">
        <v>1038</v>
      </c>
    </row>
    <row r="30" spans="2:7" ht="20.100000000000001" customHeight="1" x14ac:dyDescent="0.25">
      <c r="B30" s="282">
        <v>27</v>
      </c>
      <c r="C30" s="283" t="s">
        <v>1039</v>
      </c>
      <c r="D30" s="284" t="s">
        <v>1039</v>
      </c>
      <c r="E30" s="284" t="s">
        <v>1040</v>
      </c>
      <c r="F30" s="284" t="s">
        <v>1041</v>
      </c>
      <c r="G30" s="284" t="s">
        <v>1042</v>
      </c>
    </row>
    <row r="31" spans="2:7" ht="20.100000000000001" customHeight="1" x14ac:dyDescent="0.25">
      <c r="B31" s="282">
        <v>28</v>
      </c>
      <c r="C31" s="283" t="s">
        <v>1043</v>
      </c>
      <c r="D31" s="284" t="s">
        <v>1043</v>
      </c>
      <c r="E31" s="284" t="s">
        <v>1044</v>
      </c>
      <c r="F31" s="284" t="s">
        <v>1045</v>
      </c>
      <c r="G31" s="284" t="s">
        <v>1046</v>
      </c>
    </row>
    <row r="32" spans="2:7" ht="20.100000000000001" customHeight="1" x14ac:dyDescent="0.25">
      <c r="B32" s="324" t="s">
        <v>1047</v>
      </c>
      <c r="C32" s="325"/>
      <c r="D32" s="325"/>
      <c r="E32" s="325"/>
      <c r="F32" s="325"/>
      <c r="G32" s="326"/>
    </row>
    <row r="38" spans="2:2" x14ac:dyDescent="0.25">
      <c r="B38" s="246"/>
    </row>
  </sheetData>
  <mergeCells count="1">
    <mergeCell ref="B32:G3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269E9-8C6C-4125-9601-CDF979327967}">
  <dimension ref="A3:I120"/>
  <sheetViews>
    <sheetView tabSelected="1" topLeftCell="A106" zoomScale="115" zoomScaleNormal="115" workbookViewId="0">
      <selection activeCell="I17" sqref="I17"/>
    </sheetView>
  </sheetViews>
  <sheetFormatPr defaultRowHeight="15" x14ac:dyDescent="0.25"/>
  <cols>
    <col min="1" max="1" width="16.85546875" customWidth="1"/>
    <col min="2" max="2" width="12.5703125" bestFit="1" customWidth="1"/>
    <col min="3" max="3" width="17.5703125" bestFit="1" customWidth="1"/>
    <col min="4" max="4" width="15.85546875" bestFit="1" customWidth="1"/>
    <col min="5" max="5" width="25.28515625" customWidth="1"/>
    <col min="6" max="6" width="27.140625" customWidth="1"/>
    <col min="7" max="7" width="29.7109375" bestFit="1" customWidth="1"/>
    <col min="8" max="8" width="21.5703125" customWidth="1"/>
    <col min="9" max="9" width="29.7109375" bestFit="1" customWidth="1"/>
  </cols>
  <sheetData>
    <row r="3" spans="2:7" x14ac:dyDescent="0.25">
      <c r="B3" s="247" t="s">
        <v>1055</v>
      </c>
      <c r="C3" s="247" t="s">
        <v>1056</v>
      </c>
      <c r="D3" s="247" t="s">
        <v>1057</v>
      </c>
    </row>
    <row r="4" spans="2:7" x14ac:dyDescent="0.25">
      <c r="B4" s="248" t="s">
        <v>1053</v>
      </c>
      <c r="C4" s="272">
        <v>46313</v>
      </c>
      <c r="D4" s="273" t="str">
        <f ca="1">TEXT(TODAY(), "mm-dd-yyyy")</f>
        <v>10-19-2026</v>
      </c>
    </row>
    <row r="5" spans="2:7" x14ac:dyDescent="0.25">
      <c r="B5" s="248" t="s">
        <v>1054</v>
      </c>
      <c r="C5" s="274">
        <v>0.68472222222222223</v>
      </c>
      <c r="D5" s="273" t="str">
        <f ca="1">TEXT(NOW()+7, "h:mm:ss AM/PM")</f>
        <v>10:45:18 AM</v>
      </c>
    </row>
    <row r="6" spans="2:7" x14ac:dyDescent="0.25">
      <c r="B6" s="248" t="s">
        <v>1054</v>
      </c>
      <c r="C6" s="274"/>
      <c r="D6" s="273" t="str">
        <f ca="1">TEXT(NOW() + (7/24), "h:mm:ss AM/PM")</f>
        <v>5:45:18 PM</v>
      </c>
    </row>
    <row r="8" spans="2:7" ht="15.75" thickBot="1" x14ac:dyDescent="0.3"/>
    <row r="9" spans="2:7" x14ac:dyDescent="0.25">
      <c r="B9" s="118" t="s">
        <v>469</v>
      </c>
      <c r="C9" s="119" t="s">
        <v>1052</v>
      </c>
      <c r="D9" s="119" t="s">
        <v>1048</v>
      </c>
      <c r="E9" s="119" t="s">
        <v>745</v>
      </c>
      <c r="F9" s="119" t="s">
        <v>1049</v>
      </c>
      <c r="G9" s="120" t="s">
        <v>469</v>
      </c>
    </row>
    <row r="10" spans="2:7" x14ac:dyDescent="0.25">
      <c r="B10" s="252">
        <v>46313</v>
      </c>
      <c r="C10" s="275" t="str">
        <f t="shared" ref="C10:C27" si="0">TEXT(B10,"DDD")</f>
        <v>Sun</v>
      </c>
      <c r="D10" s="275">
        <f>DAY(B10)</f>
        <v>18</v>
      </c>
      <c r="E10" s="275">
        <f>MONTH(B10)</f>
        <v>10</v>
      </c>
      <c r="F10" s="275">
        <f>YEAR(B10)</f>
        <v>2026</v>
      </c>
      <c r="G10" s="276">
        <f>DATE(F10,E10,D10)</f>
        <v>46313</v>
      </c>
    </row>
    <row r="11" spans="2:7" x14ac:dyDescent="0.25">
      <c r="B11" s="252">
        <v>46314</v>
      </c>
      <c r="C11" s="275" t="str">
        <f t="shared" si="0"/>
        <v>Mon</v>
      </c>
      <c r="D11" s="275">
        <f t="shared" ref="D11:D27" si="1">DAY(B11)</f>
        <v>19</v>
      </c>
      <c r="E11" s="275">
        <f t="shared" ref="E11:E27" si="2">MONTH(B11)</f>
        <v>10</v>
      </c>
      <c r="F11" s="275">
        <f t="shared" ref="F11:F27" si="3">YEAR(B11)</f>
        <v>2026</v>
      </c>
      <c r="G11" s="276">
        <f t="shared" ref="G11:G27" si="4">DATE(F11,E11,D11)</f>
        <v>46314</v>
      </c>
    </row>
    <row r="12" spans="2:7" x14ac:dyDescent="0.25">
      <c r="B12" s="252">
        <v>46315</v>
      </c>
      <c r="C12" s="275" t="str">
        <f t="shared" si="0"/>
        <v>Tue</v>
      </c>
      <c r="D12" s="275">
        <f t="shared" si="1"/>
        <v>20</v>
      </c>
      <c r="E12" s="275">
        <f t="shared" si="2"/>
        <v>10</v>
      </c>
      <c r="F12" s="275">
        <f t="shared" si="3"/>
        <v>2026</v>
      </c>
      <c r="G12" s="276">
        <f t="shared" si="4"/>
        <v>46315</v>
      </c>
    </row>
    <row r="13" spans="2:7" x14ac:dyDescent="0.25">
      <c r="B13" s="252">
        <v>46316</v>
      </c>
      <c r="C13" s="275" t="str">
        <f t="shared" si="0"/>
        <v>Wed</v>
      </c>
      <c r="D13" s="275">
        <f t="shared" si="1"/>
        <v>21</v>
      </c>
      <c r="E13" s="275">
        <f t="shared" si="2"/>
        <v>10</v>
      </c>
      <c r="F13" s="275">
        <f t="shared" si="3"/>
        <v>2026</v>
      </c>
      <c r="G13" s="276">
        <f t="shared" si="4"/>
        <v>46316</v>
      </c>
    </row>
    <row r="14" spans="2:7" x14ac:dyDescent="0.25">
      <c r="B14" s="252">
        <v>46317</v>
      </c>
      <c r="C14" s="275" t="str">
        <f t="shared" si="0"/>
        <v>Thu</v>
      </c>
      <c r="D14" s="275">
        <f t="shared" si="1"/>
        <v>22</v>
      </c>
      <c r="E14" s="275">
        <f t="shared" si="2"/>
        <v>10</v>
      </c>
      <c r="F14" s="275">
        <f t="shared" si="3"/>
        <v>2026</v>
      </c>
      <c r="G14" s="276">
        <f t="shared" si="4"/>
        <v>46317</v>
      </c>
    </row>
    <row r="15" spans="2:7" x14ac:dyDescent="0.25">
      <c r="B15" s="252">
        <v>46318</v>
      </c>
      <c r="C15" s="275" t="str">
        <f t="shared" si="0"/>
        <v>Fri</v>
      </c>
      <c r="D15" s="275">
        <f t="shared" si="1"/>
        <v>23</v>
      </c>
      <c r="E15" s="275">
        <f t="shared" si="2"/>
        <v>10</v>
      </c>
      <c r="F15" s="275">
        <f t="shared" si="3"/>
        <v>2026</v>
      </c>
      <c r="G15" s="276">
        <f t="shared" si="4"/>
        <v>46318</v>
      </c>
    </row>
    <row r="16" spans="2:7" x14ac:dyDescent="0.25">
      <c r="B16" s="252">
        <v>46319</v>
      </c>
      <c r="C16" s="275" t="str">
        <f t="shared" si="0"/>
        <v>Sat</v>
      </c>
      <c r="D16" s="275">
        <f t="shared" si="1"/>
        <v>24</v>
      </c>
      <c r="E16" s="275">
        <f t="shared" si="2"/>
        <v>10</v>
      </c>
      <c r="F16" s="275">
        <f t="shared" si="3"/>
        <v>2026</v>
      </c>
      <c r="G16" s="276">
        <f t="shared" si="4"/>
        <v>46319</v>
      </c>
    </row>
    <row r="17" spans="2:7" x14ac:dyDescent="0.25">
      <c r="B17" s="252">
        <v>46320</v>
      </c>
      <c r="C17" s="275" t="str">
        <f t="shared" si="0"/>
        <v>Sun</v>
      </c>
      <c r="D17" s="275">
        <f t="shared" si="1"/>
        <v>25</v>
      </c>
      <c r="E17" s="275">
        <f t="shared" si="2"/>
        <v>10</v>
      </c>
      <c r="F17" s="275">
        <f t="shared" si="3"/>
        <v>2026</v>
      </c>
      <c r="G17" s="276">
        <f t="shared" si="4"/>
        <v>46320</v>
      </c>
    </row>
    <row r="18" spans="2:7" x14ac:dyDescent="0.25">
      <c r="B18" s="252">
        <v>46321</v>
      </c>
      <c r="C18" s="275" t="str">
        <f t="shared" si="0"/>
        <v>Mon</v>
      </c>
      <c r="D18" s="275">
        <f t="shared" si="1"/>
        <v>26</v>
      </c>
      <c r="E18" s="275">
        <f t="shared" si="2"/>
        <v>10</v>
      </c>
      <c r="F18" s="275">
        <f t="shared" si="3"/>
        <v>2026</v>
      </c>
      <c r="G18" s="276">
        <f t="shared" si="4"/>
        <v>46321</v>
      </c>
    </row>
    <row r="19" spans="2:7" x14ac:dyDescent="0.25">
      <c r="B19" s="252">
        <v>46322</v>
      </c>
      <c r="C19" s="275" t="str">
        <f t="shared" si="0"/>
        <v>Tue</v>
      </c>
      <c r="D19" s="275">
        <f t="shared" si="1"/>
        <v>27</v>
      </c>
      <c r="E19" s="275">
        <f t="shared" si="2"/>
        <v>10</v>
      </c>
      <c r="F19" s="275">
        <f t="shared" si="3"/>
        <v>2026</v>
      </c>
      <c r="G19" s="276">
        <f t="shared" si="4"/>
        <v>46322</v>
      </c>
    </row>
    <row r="20" spans="2:7" x14ac:dyDescent="0.25">
      <c r="B20" s="252">
        <v>46323</v>
      </c>
      <c r="C20" s="275" t="str">
        <f t="shared" si="0"/>
        <v>Wed</v>
      </c>
      <c r="D20" s="275">
        <f t="shared" si="1"/>
        <v>28</v>
      </c>
      <c r="E20" s="275">
        <f t="shared" si="2"/>
        <v>10</v>
      </c>
      <c r="F20" s="275">
        <f t="shared" si="3"/>
        <v>2026</v>
      </c>
      <c r="G20" s="276">
        <f t="shared" si="4"/>
        <v>46323</v>
      </c>
    </row>
    <row r="21" spans="2:7" x14ac:dyDescent="0.25">
      <c r="B21" s="252">
        <v>46324</v>
      </c>
      <c r="C21" s="275" t="str">
        <f t="shared" si="0"/>
        <v>Thu</v>
      </c>
      <c r="D21" s="275">
        <f t="shared" si="1"/>
        <v>29</v>
      </c>
      <c r="E21" s="275">
        <f t="shared" si="2"/>
        <v>10</v>
      </c>
      <c r="F21" s="275">
        <f t="shared" si="3"/>
        <v>2026</v>
      </c>
      <c r="G21" s="276">
        <f t="shared" si="4"/>
        <v>46324</v>
      </c>
    </row>
    <row r="22" spans="2:7" x14ac:dyDescent="0.25">
      <c r="B22" s="252">
        <v>46325</v>
      </c>
      <c r="C22" s="275" t="str">
        <f t="shared" si="0"/>
        <v>Fri</v>
      </c>
      <c r="D22" s="275">
        <f t="shared" si="1"/>
        <v>30</v>
      </c>
      <c r="E22" s="275">
        <f t="shared" si="2"/>
        <v>10</v>
      </c>
      <c r="F22" s="275">
        <f t="shared" si="3"/>
        <v>2026</v>
      </c>
      <c r="G22" s="276">
        <f t="shared" si="4"/>
        <v>46325</v>
      </c>
    </row>
    <row r="23" spans="2:7" x14ac:dyDescent="0.25">
      <c r="B23" s="252">
        <v>46326</v>
      </c>
      <c r="C23" s="275" t="str">
        <f t="shared" si="0"/>
        <v>Sat</v>
      </c>
      <c r="D23" s="275">
        <f t="shared" si="1"/>
        <v>31</v>
      </c>
      <c r="E23" s="275">
        <f t="shared" si="2"/>
        <v>10</v>
      </c>
      <c r="F23" s="275">
        <f t="shared" si="3"/>
        <v>2026</v>
      </c>
      <c r="G23" s="276">
        <f t="shared" si="4"/>
        <v>46326</v>
      </c>
    </row>
    <row r="24" spans="2:7" x14ac:dyDescent="0.25">
      <c r="B24" s="252">
        <v>46327</v>
      </c>
      <c r="C24" s="275" t="str">
        <f t="shared" si="0"/>
        <v>Sun</v>
      </c>
      <c r="D24" s="275">
        <f t="shared" si="1"/>
        <v>1</v>
      </c>
      <c r="E24" s="275">
        <f t="shared" si="2"/>
        <v>11</v>
      </c>
      <c r="F24" s="275">
        <f t="shared" si="3"/>
        <v>2026</v>
      </c>
      <c r="G24" s="276">
        <f t="shared" si="4"/>
        <v>46327</v>
      </c>
    </row>
    <row r="25" spans="2:7" x14ac:dyDescent="0.25">
      <c r="B25" s="252">
        <v>46328</v>
      </c>
      <c r="C25" s="275" t="str">
        <f t="shared" si="0"/>
        <v>Mon</v>
      </c>
      <c r="D25" s="275">
        <f t="shared" si="1"/>
        <v>2</v>
      </c>
      <c r="E25" s="275">
        <f t="shared" si="2"/>
        <v>11</v>
      </c>
      <c r="F25" s="275">
        <f t="shared" si="3"/>
        <v>2026</v>
      </c>
      <c r="G25" s="276">
        <f t="shared" si="4"/>
        <v>46328</v>
      </c>
    </row>
    <row r="26" spans="2:7" x14ac:dyDescent="0.25">
      <c r="B26" s="252">
        <v>46329</v>
      </c>
      <c r="C26" s="275" t="str">
        <f t="shared" si="0"/>
        <v>Tue</v>
      </c>
      <c r="D26" s="275">
        <f t="shared" si="1"/>
        <v>3</v>
      </c>
      <c r="E26" s="275">
        <f t="shared" si="2"/>
        <v>11</v>
      </c>
      <c r="F26" s="275">
        <f t="shared" si="3"/>
        <v>2026</v>
      </c>
      <c r="G26" s="276">
        <f t="shared" si="4"/>
        <v>46329</v>
      </c>
    </row>
    <row r="27" spans="2:7" ht="15.75" thickBot="1" x14ac:dyDescent="0.3">
      <c r="B27" s="253">
        <v>46330</v>
      </c>
      <c r="C27" s="275" t="str">
        <f t="shared" si="0"/>
        <v>Wed</v>
      </c>
      <c r="D27" s="275">
        <f t="shared" si="1"/>
        <v>4</v>
      </c>
      <c r="E27" s="275">
        <f t="shared" si="2"/>
        <v>11</v>
      </c>
      <c r="F27" s="275">
        <f t="shared" si="3"/>
        <v>2026</v>
      </c>
      <c r="G27" s="276">
        <f t="shared" si="4"/>
        <v>46330</v>
      </c>
    </row>
    <row r="30" spans="2:7" ht="15.75" thickBot="1" x14ac:dyDescent="0.3"/>
    <row r="31" spans="2:7" x14ac:dyDescent="0.25">
      <c r="B31" s="118" t="s">
        <v>928</v>
      </c>
      <c r="C31" s="119" t="s">
        <v>1050</v>
      </c>
      <c r="D31" s="119" t="s">
        <v>1058</v>
      </c>
      <c r="E31" s="119" t="s">
        <v>1059</v>
      </c>
      <c r="F31" s="119" t="s">
        <v>1060</v>
      </c>
      <c r="G31" s="119" t="s">
        <v>928</v>
      </c>
    </row>
    <row r="32" spans="2:7" x14ac:dyDescent="0.25">
      <c r="B32" s="254" t="str">
        <f ca="1">TEXT(NOW(), "h:mm:ss AM/PM")</f>
        <v>10:45:18 AM</v>
      </c>
      <c r="C32" s="275">
        <f ca="1">HOUR(B32)</f>
        <v>10</v>
      </c>
      <c r="D32" s="275">
        <f ca="1">MINUTE(B32)</f>
        <v>45</v>
      </c>
      <c r="E32" s="275">
        <f ca="1">SECOND(B32)</f>
        <v>18</v>
      </c>
      <c r="F32" s="275" t="str">
        <f t="shared" ref="F32:F49" si="5">TEXT(A1,"AM/PM")</f>
        <v>AM</v>
      </c>
      <c r="G32" s="277">
        <f t="shared" ref="G32:G49" ca="1" si="6">TIME(C32,D32,E32)</f>
        <v>0.448125</v>
      </c>
    </row>
    <row r="33" spans="2:7" x14ac:dyDescent="0.25">
      <c r="B33" s="254" t="str">
        <f t="shared" ref="B33:B49" ca="1" si="7">TEXT(NOW(), "h:mm:ss AM/PM")</f>
        <v>10:45:18 AM</v>
      </c>
      <c r="C33" s="275">
        <f t="shared" ref="C33:C49" ca="1" si="8">HOUR(B33)</f>
        <v>10</v>
      </c>
      <c r="D33" s="275">
        <f t="shared" ref="D33:D49" ca="1" si="9">MINUTE(B33)</f>
        <v>45</v>
      </c>
      <c r="E33" s="275">
        <f t="shared" ref="E33:E49" ca="1" si="10">SECOND(B33)</f>
        <v>18</v>
      </c>
      <c r="F33" s="275" t="str">
        <f t="shared" si="5"/>
        <v>AM</v>
      </c>
      <c r="G33" s="277">
        <f t="shared" ca="1" si="6"/>
        <v>0.448125</v>
      </c>
    </row>
    <row r="34" spans="2:7" x14ac:dyDescent="0.25">
      <c r="B34" s="254" t="str">
        <f t="shared" ca="1" si="7"/>
        <v>10:45:18 AM</v>
      </c>
      <c r="C34" s="275">
        <f t="shared" ca="1" si="8"/>
        <v>10</v>
      </c>
      <c r="D34" s="275">
        <f t="shared" ca="1" si="9"/>
        <v>45</v>
      </c>
      <c r="E34" s="275">
        <f t="shared" ca="1" si="10"/>
        <v>18</v>
      </c>
      <c r="F34" s="275" t="str">
        <f t="shared" si="5"/>
        <v>AM</v>
      </c>
      <c r="G34" s="277">
        <f t="shared" ca="1" si="6"/>
        <v>0.448125</v>
      </c>
    </row>
    <row r="35" spans="2:7" x14ac:dyDescent="0.25">
      <c r="B35" s="254" t="str">
        <f t="shared" ca="1" si="7"/>
        <v>10:45:18 AM</v>
      </c>
      <c r="C35" s="275">
        <f t="shared" ca="1" si="8"/>
        <v>10</v>
      </c>
      <c r="D35" s="275">
        <f t="shared" ca="1" si="9"/>
        <v>45</v>
      </c>
      <c r="E35" s="275">
        <f t="shared" ca="1" si="10"/>
        <v>18</v>
      </c>
      <c r="F35" s="275" t="str">
        <f t="shared" si="5"/>
        <v>AM</v>
      </c>
      <c r="G35" s="277">
        <f t="shared" ca="1" si="6"/>
        <v>0.448125</v>
      </c>
    </row>
    <row r="36" spans="2:7" x14ac:dyDescent="0.25">
      <c r="B36" s="254" t="str">
        <f t="shared" ca="1" si="7"/>
        <v>10:45:18 AM</v>
      </c>
      <c r="C36" s="275">
        <f t="shared" ca="1" si="8"/>
        <v>10</v>
      </c>
      <c r="D36" s="275">
        <f t="shared" ca="1" si="9"/>
        <v>45</v>
      </c>
      <c r="E36" s="275">
        <f t="shared" ca="1" si="10"/>
        <v>18</v>
      </c>
      <c r="F36" s="275" t="str">
        <f t="shared" si="5"/>
        <v>AM</v>
      </c>
      <c r="G36" s="277">
        <f t="shared" ca="1" si="6"/>
        <v>0.448125</v>
      </c>
    </row>
    <row r="37" spans="2:7" x14ac:dyDescent="0.25">
      <c r="B37" s="254" t="str">
        <f t="shared" ca="1" si="7"/>
        <v>10:45:18 AM</v>
      </c>
      <c r="C37" s="275">
        <f t="shared" ca="1" si="8"/>
        <v>10</v>
      </c>
      <c r="D37" s="275">
        <f t="shared" ca="1" si="9"/>
        <v>45</v>
      </c>
      <c r="E37" s="275">
        <f t="shared" ca="1" si="10"/>
        <v>18</v>
      </c>
      <c r="F37" s="275" t="str">
        <f t="shared" si="5"/>
        <v>AM</v>
      </c>
      <c r="G37" s="277">
        <f t="shared" ca="1" si="6"/>
        <v>0.448125</v>
      </c>
    </row>
    <row r="38" spans="2:7" x14ac:dyDescent="0.25">
      <c r="B38" s="254" t="str">
        <f t="shared" ca="1" si="7"/>
        <v>10:45:18 AM</v>
      </c>
      <c r="C38" s="275">
        <f t="shared" ca="1" si="8"/>
        <v>10</v>
      </c>
      <c r="D38" s="275">
        <f t="shared" ca="1" si="9"/>
        <v>45</v>
      </c>
      <c r="E38" s="275">
        <f t="shared" ca="1" si="10"/>
        <v>18</v>
      </c>
      <c r="F38" s="275" t="str">
        <f t="shared" si="5"/>
        <v>AM</v>
      </c>
      <c r="G38" s="277">
        <f t="shared" ca="1" si="6"/>
        <v>0.448125</v>
      </c>
    </row>
    <row r="39" spans="2:7" x14ac:dyDescent="0.25">
      <c r="B39" s="254" t="str">
        <f t="shared" ca="1" si="7"/>
        <v>10:45:18 AM</v>
      </c>
      <c r="C39" s="275">
        <f t="shared" ca="1" si="8"/>
        <v>10</v>
      </c>
      <c r="D39" s="275">
        <f t="shared" ca="1" si="9"/>
        <v>45</v>
      </c>
      <c r="E39" s="275">
        <f t="shared" ca="1" si="10"/>
        <v>18</v>
      </c>
      <c r="F39" s="275" t="str">
        <f t="shared" si="5"/>
        <v>AM</v>
      </c>
      <c r="G39" s="277">
        <f t="shared" ca="1" si="6"/>
        <v>0.448125</v>
      </c>
    </row>
    <row r="40" spans="2:7" x14ac:dyDescent="0.25">
      <c r="B40" s="254" t="str">
        <f t="shared" ca="1" si="7"/>
        <v>10:45:18 AM</v>
      </c>
      <c r="C40" s="275">
        <f t="shared" ca="1" si="8"/>
        <v>10</v>
      </c>
      <c r="D40" s="275">
        <f t="shared" ca="1" si="9"/>
        <v>45</v>
      </c>
      <c r="E40" s="275">
        <f t="shared" ca="1" si="10"/>
        <v>18</v>
      </c>
      <c r="F40" s="275" t="str">
        <f t="shared" si="5"/>
        <v>AM</v>
      </c>
      <c r="G40" s="277">
        <f t="shared" ca="1" si="6"/>
        <v>0.448125</v>
      </c>
    </row>
    <row r="41" spans="2:7" x14ac:dyDescent="0.25">
      <c r="B41" s="254" t="str">
        <f t="shared" ca="1" si="7"/>
        <v>10:45:18 AM</v>
      </c>
      <c r="C41" s="275">
        <f t="shared" ca="1" si="8"/>
        <v>10</v>
      </c>
      <c r="D41" s="275">
        <f t="shared" ca="1" si="9"/>
        <v>45</v>
      </c>
      <c r="E41" s="275">
        <f t="shared" ca="1" si="10"/>
        <v>18</v>
      </c>
      <c r="F41" s="275" t="str">
        <f t="shared" si="5"/>
        <v>AM</v>
      </c>
      <c r="G41" s="277">
        <f t="shared" ca="1" si="6"/>
        <v>0.448125</v>
      </c>
    </row>
    <row r="42" spans="2:7" x14ac:dyDescent="0.25">
      <c r="B42" s="254" t="str">
        <f t="shared" ca="1" si="7"/>
        <v>10:45:18 AM</v>
      </c>
      <c r="C42" s="275">
        <f t="shared" ca="1" si="8"/>
        <v>10</v>
      </c>
      <c r="D42" s="275">
        <f t="shared" ca="1" si="9"/>
        <v>45</v>
      </c>
      <c r="E42" s="275">
        <f t="shared" ca="1" si="10"/>
        <v>18</v>
      </c>
      <c r="F42" s="275" t="str">
        <f t="shared" si="5"/>
        <v>AM</v>
      </c>
      <c r="G42" s="277">
        <f t="shared" ca="1" si="6"/>
        <v>0.448125</v>
      </c>
    </row>
    <row r="43" spans="2:7" x14ac:dyDescent="0.25">
      <c r="B43" s="254" t="str">
        <f t="shared" ca="1" si="7"/>
        <v>10:45:18 AM</v>
      </c>
      <c r="C43" s="275">
        <f t="shared" ca="1" si="8"/>
        <v>10</v>
      </c>
      <c r="D43" s="275">
        <f t="shared" ca="1" si="9"/>
        <v>45</v>
      </c>
      <c r="E43" s="275">
        <f t="shared" ca="1" si="10"/>
        <v>18</v>
      </c>
      <c r="F43" s="275" t="str">
        <f t="shared" si="5"/>
        <v>AM</v>
      </c>
      <c r="G43" s="277">
        <f t="shared" ca="1" si="6"/>
        <v>0.448125</v>
      </c>
    </row>
    <row r="44" spans="2:7" x14ac:dyDescent="0.25">
      <c r="B44" s="254" t="str">
        <f t="shared" ca="1" si="7"/>
        <v>10:45:18 AM</v>
      </c>
      <c r="C44" s="275">
        <f t="shared" ca="1" si="8"/>
        <v>10</v>
      </c>
      <c r="D44" s="275">
        <f t="shared" ca="1" si="9"/>
        <v>45</v>
      </c>
      <c r="E44" s="275">
        <f t="shared" ca="1" si="10"/>
        <v>18</v>
      </c>
      <c r="F44" s="275" t="str">
        <f t="shared" si="5"/>
        <v>AM</v>
      </c>
      <c r="G44" s="277">
        <f t="shared" ca="1" si="6"/>
        <v>0.448125</v>
      </c>
    </row>
    <row r="45" spans="2:7" x14ac:dyDescent="0.25">
      <c r="B45" s="254" t="str">
        <f t="shared" ca="1" si="7"/>
        <v>10:45:18 AM</v>
      </c>
      <c r="C45" s="275">
        <f t="shared" ca="1" si="8"/>
        <v>10</v>
      </c>
      <c r="D45" s="275">
        <f t="shared" ca="1" si="9"/>
        <v>45</v>
      </c>
      <c r="E45" s="275">
        <f t="shared" ca="1" si="10"/>
        <v>18</v>
      </c>
      <c r="F45" s="275" t="str">
        <f t="shared" si="5"/>
        <v>AM</v>
      </c>
      <c r="G45" s="277">
        <f t="shared" ca="1" si="6"/>
        <v>0.448125</v>
      </c>
    </row>
    <row r="46" spans="2:7" x14ac:dyDescent="0.25">
      <c r="B46" s="254" t="str">
        <f t="shared" ca="1" si="7"/>
        <v>10:45:18 AM</v>
      </c>
      <c r="C46" s="275">
        <f t="shared" ca="1" si="8"/>
        <v>10</v>
      </c>
      <c r="D46" s="275">
        <f t="shared" ca="1" si="9"/>
        <v>45</v>
      </c>
      <c r="E46" s="275">
        <f t="shared" ca="1" si="10"/>
        <v>18</v>
      </c>
      <c r="F46" s="275" t="str">
        <f t="shared" si="5"/>
        <v>AM</v>
      </c>
      <c r="G46" s="277">
        <f t="shared" ca="1" si="6"/>
        <v>0.448125</v>
      </c>
    </row>
    <row r="47" spans="2:7" x14ac:dyDescent="0.25">
      <c r="B47" s="254" t="str">
        <f t="shared" ca="1" si="7"/>
        <v>10:45:18 AM</v>
      </c>
      <c r="C47" s="275">
        <f t="shared" ca="1" si="8"/>
        <v>10</v>
      </c>
      <c r="D47" s="275">
        <f t="shared" ca="1" si="9"/>
        <v>45</v>
      </c>
      <c r="E47" s="275">
        <f t="shared" ca="1" si="10"/>
        <v>18</v>
      </c>
      <c r="F47" s="275" t="str">
        <f t="shared" si="5"/>
        <v>AM</v>
      </c>
      <c r="G47" s="277">
        <f t="shared" ca="1" si="6"/>
        <v>0.448125</v>
      </c>
    </row>
    <row r="48" spans="2:7" x14ac:dyDescent="0.25">
      <c r="B48" s="254" t="str">
        <f t="shared" ca="1" si="7"/>
        <v>10:45:18 AM</v>
      </c>
      <c r="C48" s="275">
        <f t="shared" ca="1" si="8"/>
        <v>10</v>
      </c>
      <c r="D48" s="275">
        <f t="shared" ca="1" si="9"/>
        <v>45</v>
      </c>
      <c r="E48" s="275">
        <f t="shared" ca="1" si="10"/>
        <v>18</v>
      </c>
      <c r="F48" s="275" t="str">
        <f t="shared" si="5"/>
        <v>AM</v>
      </c>
      <c r="G48" s="277">
        <f t="shared" ca="1" si="6"/>
        <v>0.448125</v>
      </c>
    </row>
    <row r="49" spans="1:9" x14ac:dyDescent="0.25">
      <c r="B49" s="254" t="str">
        <f t="shared" ca="1" si="7"/>
        <v>10:45:18 AM</v>
      </c>
      <c r="C49" s="275">
        <f t="shared" ca="1" si="8"/>
        <v>10</v>
      </c>
      <c r="D49" s="275">
        <f t="shared" ca="1" si="9"/>
        <v>45</v>
      </c>
      <c r="E49" s="275">
        <f t="shared" ca="1" si="10"/>
        <v>18</v>
      </c>
      <c r="F49" s="275" t="str">
        <f t="shared" si="5"/>
        <v>AM</v>
      </c>
      <c r="G49" s="277">
        <f t="shared" ca="1" si="6"/>
        <v>0.448125</v>
      </c>
    </row>
    <row r="52" spans="1:9" ht="15.75" thickBot="1" x14ac:dyDescent="0.3"/>
    <row r="53" spans="1:9" x14ac:dyDescent="0.25">
      <c r="A53" s="118" t="s">
        <v>1065</v>
      </c>
      <c r="B53" s="118" t="s">
        <v>1061</v>
      </c>
      <c r="C53" s="118" t="s">
        <v>1062</v>
      </c>
      <c r="D53" s="118" t="s">
        <v>744</v>
      </c>
      <c r="E53" s="118" t="s">
        <v>1068</v>
      </c>
      <c r="F53" s="118" t="s">
        <v>1063</v>
      </c>
      <c r="G53" s="118" t="s">
        <v>1064</v>
      </c>
      <c r="H53" s="118" t="s">
        <v>1066</v>
      </c>
      <c r="I53" s="118" t="s">
        <v>1067</v>
      </c>
    </row>
    <row r="54" spans="1:9" ht="15.75" thickBot="1" x14ac:dyDescent="0.3">
      <c r="A54" s="255">
        <v>46335</v>
      </c>
      <c r="B54" s="255">
        <v>46313</v>
      </c>
      <c r="C54" s="256">
        <v>46331</v>
      </c>
      <c r="D54" s="270">
        <f>_xlfn.DAYS(C54,B54)</f>
        <v>18</v>
      </c>
      <c r="E54" s="270">
        <f>DAYS360(B54,C54,)</f>
        <v>17</v>
      </c>
      <c r="F54" s="270">
        <f t="shared" ref="F54:F71" si="11">NETWORKDAYS(B54,C54)</f>
        <v>14</v>
      </c>
      <c r="G54" s="270">
        <f>NETWORKDAYS(B54, C54, $A54:$A55)</f>
        <v>14</v>
      </c>
      <c r="H54" s="270">
        <f t="shared" ref="H54:H71" si="12">NETWORKDAYS.INTL(B54, C54, "1010000")</f>
        <v>13</v>
      </c>
      <c r="I54" s="270">
        <f t="shared" ref="I54:I71" si="13">NETWORKDAYS.INTL(B54,C54,"1010000",$A$54:$A$55)</f>
        <v>13</v>
      </c>
    </row>
    <row r="55" spans="1:9" ht="15.75" thickBot="1" x14ac:dyDescent="0.3">
      <c r="A55" s="255">
        <v>46381</v>
      </c>
      <c r="B55" s="255">
        <v>46314</v>
      </c>
      <c r="C55" s="256">
        <v>46332</v>
      </c>
      <c r="D55" s="270">
        <f t="shared" ref="D55:D71" si="14">_xlfn.DAYS(C55,B55)</f>
        <v>18</v>
      </c>
      <c r="E55" s="270">
        <f t="shared" ref="E55:E71" si="15">DAYS360(B55,C55,)</f>
        <v>17</v>
      </c>
      <c r="F55" s="270">
        <f t="shared" si="11"/>
        <v>15</v>
      </c>
      <c r="G55" s="270">
        <f t="shared" ref="G55:G71" si="16">NETWORKDAYS(B55, C55, $A$54:$A$55)</f>
        <v>15</v>
      </c>
      <c r="H55" s="270">
        <f t="shared" si="12"/>
        <v>13</v>
      </c>
      <c r="I55" s="270">
        <f t="shared" si="13"/>
        <v>13</v>
      </c>
    </row>
    <row r="56" spans="1:9" ht="15.75" thickBot="1" x14ac:dyDescent="0.3">
      <c r="A56" s="255"/>
      <c r="B56" s="255">
        <v>46315</v>
      </c>
      <c r="C56" s="256">
        <v>46333</v>
      </c>
      <c r="D56" s="270">
        <f t="shared" si="14"/>
        <v>18</v>
      </c>
      <c r="E56" s="270">
        <f t="shared" si="15"/>
        <v>17</v>
      </c>
      <c r="F56" s="270">
        <f t="shared" si="11"/>
        <v>14</v>
      </c>
      <c r="G56" s="270">
        <f t="shared" si="16"/>
        <v>14</v>
      </c>
      <c r="H56" s="270">
        <f t="shared" si="12"/>
        <v>14</v>
      </c>
      <c r="I56" s="270">
        <f t="shared" si="13"/>
        <v>14</v>
      </c>
    </row>
    <row r="57" spans="1:9" ht="15.75" thickBot="1" x14ac:dyDescent="0.3">
      <c r="A57" s="255"/>
      <c r="B57" s="255">
        <v>46316</v>
      </c>
      <c r="C57" s="256">
        <v>46334</v>
      </c>
      <c r="D57" s="270">
        <f t="shared" si="14"/>
        <v>18</v>
      </c>
      <c r="E57" s="270">
        <f t="shared" si="15"/>
        <v>17</v>
      </c>
      <c r="F57" s="270">
        <f t="shared" si="11"/>
        <v>13</v>
      </c>
      <c r="G57" s="270">
        <f t="shared" si="16"/>
        <v>13</v>
      </c>
      <c r="H57" s="270">
        <f t="shared" si="12"/>
        <v>14</v>
      </c>
      <c r="I57" s="270">
        <f t="shared" si="13"/>
        <v>14</v>
      </c>
    </row>
    <row r="58" spans="1:9" ht="15.75" thickBot="1" x14ac:dyDescent="0.3">
      <c r="A58" s="255"/>
      <c r="B58" s="255">
        <v>46317</v>
      </c>
      <c r="C58" s="256">
        <v>46335</v>
      </c>
      <c r="D58" s="270">
        <f t="shared" si="14"/>
        <v>18</v>
      </c>
      <c r="E58" s="270">
        <f t="shared" si="15"/>
        <v>17</v>
      </c>
      <c r="F58" s="270">
        <f t="shared" si="11"/>
        <v>13</v>
      </c>
      <c r="G58" s="270">
        <f t="shared" si="16"/>
        <v>12</v>
      </c>
      <c r="H58" s="270">
        <f t="shared" si="12"/>
        <v>14</v>
      </c>
      <c r="I58" s="270">
        <f t="shared" si="13"/>
        <v>14</v>
      </c>
    </row>
    <row r="59" spans="1:9" ht="15.75" thickBot="1" x14ac:dyDescent="0.3">
      <c r="A59" s="255"/>
      <c r="B59" s="255">
        <v>46318</v>
      </c>
      <c r="C59" s="256">
        <v>46336</v>
      </c>
      <c r="D59" s="270">
        <f t="shared" si="14"/>
        <v>18</v>
      </c>
      <c r="E59" s="270">
        <f t="shared" si="15"/>
        <v>17</v>
      </c>
      <c r="F59" s="270">
        <f t="shared" si="11"/>
        <v>13</v>
      </c>
      <c r="G59" s="270">
        <f t="shared" si="16"/>
        <v>12</v>
      </c>
      <c r="H59" s="270">
        <f t="shared" si="12"/>
        <v>14</v>
      </c>
      <c r="I59" s="270">
        <f t="shared" si="13"/>
        <v>14</v>
      </c>
    </row>
    <row r="60" spans="1:9" ht="15.75" thickBot="1" x14ac:dyDescent="0.3">
      <c r="A60" s="255"/>
      <c r="B60" s="255">
        <v>46319</v>
      </c>
      <c r="C60" s="256">
        <v>46337</v>
      </c>
      <c r="D60" s="270">
        <f t="shared" si="14"/>
        <v>18</v>
      </c>
      <c r="E60" s="270">
        <f t="shared" si="15"/>
        <v>17</v>
      </c>
      <c r="F60" s="270">
        <f t="shared" si="11"/>
        <v>13</v>
      </c>
      <c r="G60" s="270">
        <f t="shared" si="16"/>
        <v>12</v>
      </c>
      <c r="H60" s="270">
        <f t="shared" si="12"/>
        <v>13</v>
      </c>
      <c r="I60" s="270">
        <f t="shared" si="13"/>
        <v>13</v>
      </c>
    </row>
    <row r="61" spans="1:9" ht="15.75" thickBot="1" x14ac:dyDescent="0.3">
      <c r="A61" s="255"/>
      <c r="B61" s="255">
        <v>46320</v>
      </c>
      <c r="C61" s="256">
        <v>46338</v>
      </c>
      <c r="D61" s="270">
        <f t="shared" si="14"/>
        <v>18</v>
      </c>
      <c r="E61" s="270">
        <f t="shared" si="15"/>
        <v>17</v>
      </c>
      <c r="F61" s="270">
        <f t="shared" si="11"/>
        <v>14</v>
      </c>
      <c r="G61" s="270">
        <f t="shared" si="16"/>
        <v>13</v>
      </c>
      <c r="H61" s="270">
        <f t="shared" si="12"/>
        <v>13</v>
      </c>
      <c r="I61" s="270">
        <f t="shared" si="13"/>
        <v>13</v>
      </c>
    </row>
    <row r="62" spans="1:9" ht="15.75" thickBot="1" x14ac:dyDescent="0.3">
      <c r="A62" s="255"/>
      <c r="B62" s="255">
        <v>46321</v>
      </c>
      <c r="C62" s="256">
        <v>46339</v>
      </c>
      <c r="D62" s="270">
        <f t="shared" si="14"/>
        <v>18</v>
      </c>
      <c r="E62" s="270">
        <f t="shared" si="15"/>
        <v>17</v>
      </c>
      <c r="F62" s="270">
        <f t="shared" si="11"/>
        <v>15</v>
      </c>
      <c r="G62" s="270">
        <f t="shared" si="16"/>
        <v>14</v>
      </c>
      <c r="H62" s="270">
        <f t="shared" si="12"/>
        <v>13</v>
      </c>
      <c r="I62" s="270">
        <f t="shared" si="13"/>
        <v>13</v>
      </c>
    </row>
    <row r="63" spans="1:9" ht="15.75" thickBot="1" x14ac:dyDescent="0.3">
      <c r="A63" s="255"/>
      <c r="B63" s="255">
        <v>46322</v>
      </c>
      <c r="C63" s="256">
        <v>46340</v>
      </c>
      <c r="D63" s="270">
        <f t="shared" si="14"/>
        <v>18</v>
      </c>
      <c r="E63" s="270">
        <f t="shared" si="15"/>
        <v>17</v>
      </c>
      <c r="F63" s="270">
        <f t="shared" si="11"/>
        <v>14</v>
      </c>
      <c r="G63" s="270">
        <f t="shared" si="16"/>
        <v>13</v>
      </c>
      <c r="H63" s="270">
        <f t="shared" si="12"/>
        <v>14</v>
      </c>
      <c r="I63" s="270">
        <f t="shared" si="13"/>
        <v>14</v>
      </c>
    </row>
    <row r="64" spans="1:9" ht="15.75" thickBot="1" x14ac:dyDescent="0.3">
      <c r="A64" s="255"/>
      <c r="B64" s="255">
        <v>46323</v>
      </c>
      <c r="C64" s="256">
        <v>46341</v>
      </c>
      <c r="D64" s="270">
        <f t="shared" si="14"/>
        <v>18</v>
      </c>
      <c r="E64" s="270">
        <f t="shared" si="15"/>
        <v>17</v>
      </c>
      <c r="F64" s="270">
        <f t="shared" si="11"/>
        <v>13</v>
      </c>
      <c r="G64" s="270">
        <f t="shared" si="16"/>
        <v>12</v>
      </c>
      <c r="H64" s="270">
        <f t="shared" si="12"/>
        <v>14</v>
      </c>
      <c r="I64" s="270">
        <f t="shared" si="13"/>
        <v>14</v>
      </c>
    </row>
    <row r="65" spans="1:9" ht="15.75" thickBot="1" x14ac:dyDescent="0.3">
      <c r="A65" s="255"/>
      <c r="B65" s="255">
        <v>46324</v>
      </c>
      <c r="C65" s="256">
        <v>46342</v>
      </c>
      <c r="D65" s="270">
        <f t="shared" si="14"/>
        <v>18</v>
      </c>
      <c r="E65" s="270">
        <f t="shared" si="15"/>
        <v>17</v>
      </c>
      <c r="F65" s="270">
        <f t="shared" si="11"/>
        <v>13</v>
      </c>
      <c r="G65" s="270">
        <f t="shared" si="16"/>
        <v>12</v>
      </c>
      <c r="H65" s="270">
        <f t="shared" si="12"/>
        <v>14</v>
      </c>
      <c r="I65" s="270">
        <f t="shared" si="13"/>
        <v>14</v>
      </c>
    </row>
    <row r="66" spans="1:9" ht="15.75" thickBot="1" x14ac:dyDescent="0.3">
      <c r="A66" s="255"/>
      <c r="B66" s="255">
        <v>46325</v>
      </c>
      <c r="C66" s="256">
        <v>46343</v>
      </c>
      <c r="D66" s="270">
        <f t="shared" si="14"/>
        <v>18</v>
      </c>
      <c r="E66" s="270">
        <f t="shared" si="15"/>
        <v>17</v>
      </c>
      <c r="F66" s="270">
        <f t="shared" si="11"/>
        <v>13</v>
      </c>
      <c r="G66" s="270">
        <f t="shared" si="16"/>
        <v>12</v>
      </c>
      <c r="H66" s="270">
        <f t="shared" si="12"/>
        <v>14</v>
      </c>
      <c r="I66" s="270">
        <f t="shared" si="13"/>
        <v>14</v>
      </c>
    </row>
    <row r="67" spans="1:9" ht="15.75" thickBot="1" x14ac:dyDescent="0.3">
      <c r="A67" s="255"/>
      <c r="B67" s="255">
        <v>46326</v>
      </c>
      <c r="C67" s="256">
        <v>46344</v>
      </c>
      <c r="D67" s="270">
        <f t="shared" si="14"/>
        <v>18</v>
      </c>
      <c r="E67" s="270">
        <f t="shared" si="15"/>
        <v>18</v>
      </c>
      <c r="F67" s="270">
        <f t="shared" si="11"/>
        <v>13</v>
      </c>
      <c r="G67" s="270">
        <f t="shared" si="16"/>
        <v>12</v>
      </c>
      <c r="H67" s="270">
        <f t="shared" si="12"/>
        <v>13</v>
      </c>
      <c r="I67" s="270">
        <f t="shared" si="13"/>
        <v>13</v>
      </c>
    </row>
    <row r="68" spans="1:9" ht="15.75" thickBot="1" x14ac:dyDescent="0.3">
      <c r="A68" s="255"/>
      <c r="B68" s="255">
        <v>46327</v>
      </c>
      <c r="C68" s="256">
        <v>46345</v>
      </c>
      <c r="D68" s="270">
        <f t="shared" si="14"/>
        <v>18</v>
      </c>
      <c r="E68" s="270">
        <f t="shared" si="15"/>
        <v>18</v>
      </c>
      <c r="F68" s="270">
        <f t="shared" si="11"/>
        <v>14</v>
      </c>
      <c r="G68" s="270">
        <f t="shared" si="16"/>
        <v>13</v>
      </c>
      <c r="H68" s="270">
        <f t="shared" si="12"/>
        <v>13</v>
      </c>
      <c r="I68" s="270">
        <f t="shared" si="13"/>
        <v>13</v>
      </c>
    </row>
    <row r="69" spans="1:9" ht="15.75" thickBot="1" x14ac:dyDescent="0.3">
      <c r="A69" s="255"/>
      <c r="B69" s="255">
        <v>46328</v>
      </c>
      <c r="C69" s="256">
        <v>46346</v>
      </c>
      <c r="D69" s="270">
        <f t="shared" si="14"/>
        <v>18</v>
      </c>
      <c r="E69" s="270">
        <f t="shared" si="15"/>
        <v>18</v>
      </c>
      <c r="F69" s="270">
        <f t="shared" si="11"/>
        <v>15</v>
      </c>
      <c r="G69" s="270">
        <f t="shared" si="16"/>
        <v>14</v>
      </c>
      <c r="H69" s="270">
        <f t="shared" si="12"/>
        <v>13</v>
      </c>
      <c r="I69" s="270">
        <f t="shared" si="13"/>
        <v>13</v>
      </c>
    </row>
    <row r="70" spans="1:9" ht="15.75" thickBot="1" x14ac:dyDescent="0.3">
      <c r="A70" s="255"/>
      <c r="B70" s="255">
        <v>46329</v>
      </c>
      <c r="C70" s="256">
        <v>46347</v>
      </c>
      <c r="D70" s="270">
        <f t="shared" si="14"/>
        <v>18</v>
      </c>
      <c r="E70" s="270">
        <f t="shared" si="15"/>
        <v>18</v>
      </c>
      <c r="F70" s="270">
        <f t="shared" si="11"/>
        <v>14</v>
      </c>
      <c r="G70" s="270">
        <f t="shared" si="16"/>
        <v>13</v>
      </c>
      <c r="H70" s="270">
        <f t="shared" si="12"/>
        <v>14</v>
      </c>
      <c r="I70" s="270">
        <f t="shared" si="13"/>
        <v>14</v>
      </c>
    </row>
    <row r="71" spans="1:9" ht="15.75" thickBot="1" x14ac:dyDescent="0.3">
      <c r="A71" s="255"/>
      <c r="B71" s="255">
        <v>46330</v>
      </c>
      <c r="C71" s="256">
        <v>46348</v>
      </c>
      <c r="D71" s="270">
        <f t="shared" si="14"/>
        <v>18</v>
      </c>
      <c r="E71" s="270">
        <f t="shared" si="15"/>
        <v>18</v>
      </c>
      <c r="F71" s="270">
        <f t="shared" si="11"/>
        <v>13</v>
      </c>
      <c r="G71" s="270">
        <f t="shared" si="16"/>
        <v>12</v>
      </c>
      <c r="H71" s="270">
        <f t="shared" si="12"/>
        <v>14</v>
      </c>
      <c r="I71" s="270">
        <f t="shared" si="13"/>
        <v>14</v>
      </c>
    </row>
    <row r="75" spans="1:9" ht="15.75" thickBot="1" x14ac:dyDescent="0.3"/>
    <row r="76" spans="1:9" x14ac:dyDescent="0.25">
      <c r="A76" s="118" t="s">
        <v>1065</v>
      </c>
      <c r="B76" s="118" t="s">
        <v>1061</v>
      </c>
      <c r="C76" s="118" t="s">
        <v>744</v>
      </c>
      <c r="D76" s="118" t="s">
        <v>1069</v>
      </c>
      <c r="E76" s="118" t="s">
        <v>1070</v>
      </c>
      <c r="F76" s="118" t="s">
        <v>1071</v>
      </c>
      <c r="G76" s="118" t="s">
        <v>1072</v>
      </c>
    </row>
    <row r="77" spans="1:9" ht="15.75" thickBot="1" x14ac:dyDescent="0.3">
      <c r="A77" s="255">
        <v>46335</v>
      </c>
      <c r="B77" s="255">
        <v>46313</v>
      </c>
      <c r="C77" s="257">
        <v>5</v>
      </c>
      <c r="D77" s="271">
        <f>WORKDAY(B77,C77)</f>
        <v>46318</v>
      </c>
      <c r="E77" s="271">
        <f>WORKDAY(B77,C77,$A$77:$A$78)</f>
        <v>46318</v>
      </c>
      <c r="F77" s="270">
        <f>WORKDAY.INTL(B77,C77,"1000001")</f>
        <v>46319</v>
      </c>
      <c r="G77" s="270">
        <f>WORKDAY.INTL(B77,C77,2,A77:A78)</f>
        <v>46319</v>
      </c>
    </row>
    <row r="78" spans="1:9" ht="15.75" thickBot="1" x14ac:dyDescent="0.3">
      <c r="A78" s="255">
        <v>46381</v>
      </c>
      <c r="B78" s="255">
        <v>46314</v>
      </c>
      <c r="C78" s="257">
        <v>19</v>
      </c>
      <c r="D78" s="271">
        <f t="shared" ref="D78:D94" si="17">WORKDAY(B78,C78)</f>
        <v>46339</v>
      </c>
      <c r="E78" s="271">
        <f t="shared" ref="E78:E94" si="18">WORKDAY(B78,C78,$A$77:$A$78)</f>
        <v>46342</v>
      </c>
      <c r="F78" s="270">
        <f t="shared" ref="F78:F94" si="19">WORKDAY.INTL(B78,C78,"1000001")</f>
        <v>46339</v>
      </c>
      <c r="G78" s="270">
        <f>WORKDAY.INTL(B78,C78,2,A77:A79)</f>
        <v>46339</v>
      </c>
    </row>
    <row r="79" spans="1:9" ht="15.75" thickBot="1" x14ac:dyDescent="0.3">
      <c r="A79" s="255"/>
      <c r="B79" s="255">
        <v>46315</v>
      </c>
      <c r="C79" s="257">
        <v>15</v>
      </c>
      <c r="D79" s="271">
        <f t="shared" si="17"/>
        <v>46336</v>
      </c>
      <c r="E79" s="271">
        <f t="shared" si="18"/>
        <v>46337</v>
      </c>
      <c r="F79" s="270">
        <f t="shared" si="19"/>
        <v>46336</v>
      </c>
      <c r="G79" s="270">
        <f>WORKDAY.INTL(B79,C79,2,A79:A80)</f>
        <v>46336</v>
      </c>
    </row>
    <row r="80" spans="1:9" ht="15.75" thickBot="1" x14ac:dyDescent="0.3">
      <c r="A80" s="255"/>
      <c r="B80" s="255">
        <v>46316</v>
      </c>
      <c r="C80" s="257">
        <v>18</v>
      </c>
      <c r="D80" s="271">
        <f t="shared" si="17"/>
        <v>46342</v>
      </c>
      <c r="E80" s="271">
        <f t="shared" si="18"/>
        <v>46343</v>
      </c>
      <c r="F80" s="270">
        <f t="shared" si="19"/>
        <v>46340</v>
      </c>
      <c r="G80" s="270">
        <f t="shared" ref="G80:G94" si="20">WORKDAY.INTL(B80,C80,2,A80:A81)</f>
        <v>46340</v>
      </c>
    </row>
    <row r="81" spans="1:7" ht="15.75" thickBot="1" x14ac:dyDescent="0.3">
      <c r="A81" s="255"/>
      <c r="B81" s="255">
        <v>46317</v>
      </c>
      <c r="C81" s="257">
        <v>19</v>
      </c>
      <c r="D81" s="271">
        <f t="shared" si="17"/>
        <v>46344</v>
      </c>
      <c r="E81" s="271">
        <f t="shared" si="18"/>
        <v>46345</v>
      </c>
      <c r="F81" s="270">
        <f t="shared" si="19"/>
        <v>46344</v>
      </c>
      <c r="G81" s="270">
        <f t="shared" si="20"/>
        <v>46344</v>
      </c>
    </row>
    <row r="82" spans="1:7" ht="15.75" thickBot="1" x14ac:dyDescent="0.3">
      <c r="A82" s="255"/>
      <c r="B82" s="255">
        <v>46318</v>
      </c>
      <c r="C82" s="257">
        <v>8</v>
      </c>
      <c r="D82" s="271">
        <f t="shared" si="17"/>
        <v>46330</v>
      </c>
      <c r="E82" s="271">
        <f t="shared" si="18"/>
        <v>46330</v>
      </c>
      <c r="F82" s="270">
        <f t="shared" si="19"/>
        <v>46330</v>
      </c>
      <c r="G82" s="270">
        <f t="shared" si="20"/>
        <v>46330</v>
      </c>
    </row>
    <row r="83" spans="1:7" ht="15.75" thickBot="1" x14ac:dyDescent="0.3">
      <c r="A83" s="255"/>
      <c r="B83" s="255">
        <v>46319</v>
      </c>
      <c r="C83" s="257">
        <v>8</v>
      </c>
      <c r="D83" s="271">
        <f t="shared" si="17"/>
        <v>46330</v>
      </c>
      <c r="E83" s="271">
        <f t="shared" si="18"/>
        <v>46330</v>
      </c>
      <c r="F83" s="270">
        <f t="shared" si="19"/>
        <v>46331</v>
      </c>
      <c r="G83" s="270">
        <f t="shared" si="20"/>
        <v>46331</v>
      </c>
    </row>
    <row r="84" spans="1:7" ht="15.75" thickBot="1" x14ac:dyDescent="0.3">
      <c r="A84" s="255"/>
      <c r="B84" s="255">
        <v>46320</v>
      </c>
      <c r="C84" s="257">
        <v>19</v>
      </c>
      <c r="D84" s="271">
        <f t="shared" si="17"/>
        <v>46345</v>
      </c>
      <c r="E84" s="271">
        <f t="shared" si="18"/>
        <v>46346</v>
      </c>
      <c r="F84" s="270">
        <f t="shared" si="19"/>
        <v>46346</v>
      </c>
      <c r="G84" s="270">
        <f t="shared" si="20"/>
        <v>46346</v>
      </c>
    </row>
    <row r="85" spans="1:7" ht="15.75" thickBot="1" x14ac:dyDescent="0.3">
      <c r="A85" s="255"/>
      <c r="B85" s="255">
        <v>46321</v>
      </c>
      <c r="C85" s="257">
        <v>18</v>
      </c>
      <c r="D85" s="271">
        <f t="shared" si="17"/>
        <v>46345</v>
      </c>
      <c r="E85" s="271">
        <f t="shared" si="18"/>
        <v>46346</v>
      </c>
      <c r="F85" s="270">
        <f t="shared" si="19"/>
        <v>46345</v>
      </c>
      <c r="G85" s="270">
        <f t="shared" si="20"/>
        <v>46345</v>
      </c>
    </row>
    <row r="86" spans="1:7" ht="15.75" thickBot="1" x14ac:dyDescent="0.3">
      <c r="A86" s="255"/>
      <c r="B86" s="255">
        <v>46322</v>
      </c>
      <c r="C86" s="257">
        <v>9</v>
      </c>
      <c r="D86" s="271">
        <f t="shared" si="17"/>
        <v>46335</v>
      </c>
      <c r="E86" s="271">
        <f t="shared" si="18"/>
        <v>46336</v>
      </c>
      <c r="F86" s="270">
        <f t="shared" si="19"/>
        <v>46333</v>
      </c>
      <c r="G86" s="270">
        <f t="shared" si="20"/>
        <v>46333</v>
      </c>
    </row>
    <row r="87" spans="1:7" ht="15.75" thickBot="1" x14ac:dyDescent="0.3">
      <c r="A87" s="255"/>
      <c r="B87" s="255">
        <v>46323</v>
      </c>
      <c r="C87" s="257">
        <v>8</v>
      </c>
      <c r="D87" s="271">
        <f t="shared" si="17"/>
        <v>46335</v>
      </c>
      <c r="E87" s="271">
        <f t="shared" si="18"/>
        <v>46336</v>
      </c>
      <c r="F87" s="270">
        <f t="shared" si="19"/>
        <v>46333</v>
      </c>
      <c r="G87" s="270">
        <f t="shared" si="20"/>
        <v>46333</v>
      </c>
    </row>
    <row r="88" spans="1:7" ht="15.75" thickBot="1" x14ac:dyDescent="0.3">
      <c r="A88" s="255"/>
      <c r="B88" s="255">
        <v>46324</v>
      </c>
      <c r="C88" s="257">
        <v>10</v>
      </c>
      <c r="D88" s="271">
        <f t="shared" si="17"/>
        <v>46338</v>
      </c>
      <c r="E88" s="271">
        <f t="shared" si="18"/>
        <v>46339</v>
      </c>
      <c r="F88" s="270">
        <f t="shared" si="19"/>
        <v>46338</v>
      </c>
      <c r="G88" s="270">
        <f t="shared" si="20"/>
        <v>46338</v>
      </c>
    </row>
    <row r="89" spans="1:7" ht="15.75" thickBot="1" x14ac:dyDescent="0.3">
      <c r="A89" s="255"/>
      <c r="B89" s="255">
        <v>46325</v>
      </c>
      <c r="C89" s="257">
        <v>11</v>
      </c>
      <c r="D89" s="271">
        <f t="shared" si="17"/>
        <v>46342</v>
      </c>
      <c r="E89" s="271">
        <f t="shared" si="18"/>
        <v>46343</v>
      </c>
      <c r="F89" s="270">
        <f t="shared" si="19"/>
        <v>46340</v>
      </c>
      <c r="G89" s="270">
        <f t="shared" si="20"/>
        <v>46340</v>
      </c>
    </row>
    <row r="90" spans="1:7" ht="15.75" thickBot="1" x14ac:dyDescent="0.3">
      <c r="A90" s="255"/>
      <c r="B90" s="255">
        <v>46326</v>
      </c>
      <c r="C90" s="257">
        <v>7</v>
      </c>
      <c r="D90" s="271">
        <f t="shared" si="17"/>
        <v>46336</v>
      </c>
      <c r="E90" s="271">
        <f t="shared" si="18"/>
        <v>46337</v>
      </c>
      <c r="F90" s="270">
        <f t="shared" si="19"/>
        <v>46337</v>
      </c>
      <c r="G90" s="270">
        <f t="shared" si="20"/>
        <v>46337</v>
      </c>
    </row>
    <row r="91" spans="1:7" ht="15.75" thickBot="1" x14ac:dyDescent="0.3">
      <c r="A91" s="255"/>
      <c r="B91" s="255">
        <v>46327</v>
      </c>
      <c r="C91" s="257">
        <v>15</v>
      </c>
      <c r="D91" s="271">
        <f t="shared" si="17"/>
        <v>46346</v>
      </c>
      <c r="E91" s="271">
        <f t="shared" si="18"/>
        <v>46349</v>
      </c>
      <c r="F91" s="270">
        <f t="shared" si="19"/>
        <v>46347</v>
      </c>
      <c r="G91" s="270">
        <f t="shared" si="20"/>
        <v>46347</v>
      </c>
    </row>
    <row r="92" spans="1:7" ht="15.75" thickBot="1" x14ac:dyDescent="0.3">
      <c r="A92" s="255"/>
      <c r="B92" s="255">
        <v>46328</v>
      </c>
      <c r="C92" s="257">
        <v>7</v>
      </c>
      <c r="D92" s="271">
        <f t="shared" si="17"/>
        <v>46337</v>
      </c>
      <c r="E92" s="271">
        <f t="shared" si="18"/>
        <v>46338</v>
      </c>
      <c r="F92" s="270">
        <f t="shared" si="19"/>
        <v>46337</v>
      </c>
      <c r="G92" s="270">
        <f t="shared" si="20"/>
        <v>46337</v>
      </c>
    </row>
    <row r="93" spans="1:7" ht="15.75" thickBot="1" x14ac:dyDescent="0.3">
      <c r="A93" s="255"/>
      <c r="B93" s="255">
        <v>46329</v>
      </c>
      <c r="C93" s="257">
        <v>7</v>
      </c>
      <c r="D93" s="271">
        <f t="shared" si="17"/>
        <v>46338</v>
      </c>
      <c r="E93" s="271">
        <f t="shared" si="18"/>
        <v>46339</v>
      </c>
      <c r="F93" s="270">
        <f t="shared" si="19"/>
        <v>46338</v>
      </c>
      <c r="G93" s="270">
        <f t="shared" si="20"/>
        <v>46338</v>
      </c>
    </row>
    <row r="94" spans="1:7" ht="15.75" thickBot="1" x14ac:dyDescent="0.3">
      <c r="A94" s="255"/>
      <c r="B94" s="255">
        <v>46330</v>
      </c>
      <c r="C94" s="257">
        <v>11</v>
      </c>
      <c r="D94" s="271">
        <f t="shared" si="17"/>
        <v>46345</v>
      </c>
      <c r="E94" s="271">
        <f t="shared" si="18"/>
        <v>46346</v>
      </c>
      <c r="F94" s="270">
        <f t="shared" si="19"/>
        <v>46345</v>
      </c>
      <c r="G94" s="270">
        <f t="shared" si="20"/>
        <v>46345</v>
      </c>
    </row>
    <row r="96" spans="1:7" ht="15.75" thickBot="1" x14ac:dyDescent="0.3"/>
    <row r="97" spans="2:6" x14ac:dyDescent="0.25">
      <c r="B97" s="118" t="s">
        <v>1061</v>
      </c>
      <c r="C97" s="118" t="s">
        <v>1051</v>
      </c>
      <c r="D97" s="118" t="s">
        <v>744</v>
      </c>
      <c r="E97" s="118" t="s">
        <v>976</v>
      </c>
      <c r="F97" s="118" t="s">
        <v>981</v>
      </c>
    </row>
    <row r="98" spans="2:6" ht="15.75" thickBot="1" x14ac:dyDescent="0.3">
      <c r="B98" s="256">
        <v>46318</v>
      </c>
      <c r="C98" s="278">
        <v>2</v>
      </c>
      <c r="D98" s="278">
        <f>C98 * 30</f>
        <v>60</v>
      </c>
      <c r="E98" s="271">
        <f>EDATE(B98,C98)</f>
        <v>46379</v>
      </c>
      <c r="F98" s="271">
        <f>EOMONTH(B98,C98)</f>
        <v>46387</v>
      </c>
    </row>
    <row r="99" spans="2:6" ht="15.75" thickBot="1" x14ac:dyDescent="0.3">
      <c r="B99" s="256">
        <v>46342</v>
      </c>
      <c r="C99" s="278">
        <v>3</v>
      </c>
      <c r="D99" s="278">
        <f t="shared" ref="D99:D115" si="21">C99 * 30</f>
        <v>90</v>
      </c>
      <c r="E99" s="271">
        <f t="shared" ref="E99:E115" si="22">EDATE(B99,C99)</f>
        <v>46434</v>
      </c>
      <c r="F99" s="271">
        <f t="shared" ref="F99:F115" si="23">EOMONTH(B99,C99)</f>
        <v>46446</v>
      </c>
    </row>
    <row r="100" spans="2:6" ht="15.75" thickBot="1" x14ac:dyDescent="0.3">
      <c r="B100" s="256">
        <v>46337</v>
      </c>
      <c r="C100" s="278">
        <v>4</v>
      </c>
      <c r="D100" s="278">
        <f t="shared" si="21"/>
        <v>120</v>
      </c>
      <c r="E100" s="271">
        <f t="shared" si="22"/>
        <v>46457</v>
      </c>
      <c r="F100" s="271">
        <f t="shared" si="23"/>
        <v>46477</v>
      </c>
    </row>
    <row r="101" spans="2:6" ht="15.75" thickBot="1" x14ac:dyDescent="0.3">
      <c r="B101" s="256">
        <v>46343</v>
      </c>
      <c r="C101" s="278">
        <v>5</v>
      </c>
      <c r="D101" s="278">
        <f t="shared" si="21"/>
        <v>150</v>
      </c>
      <c r="E101" s="271">
        <f t="shared" si="22"/>
        <v>46494</v>
      </c>
      <c r="F101" s="271">
        <f t="shared" si="23"/>
        <v>46507</v>
      </c>
    </row>
    <row r="102" spans="2:6" ht="15.75" thickBot="1" x14ac:dyDescent="0.3">
      <c r="B102" s="256">
        <v>46345</v>
      </c>
      <c r="C102" s="278">
        <v>1</v>
      </c>
      <c r="D102" s="278">
        <f t="shared" si="21"/>
        <v>30</v>
      </c>
      <c r="E102" s="271">
        <f t="shared" si="22"/>
        <v>46375</v>
      </c>
      <c r="F102" s="271">
        <f t="shared" si="23"/>
        <v>46387</v>
      </c>
    </row>
    <row r="103" spans="2:6" ht="15.75" thickBot="1" x14ac:dyDescent="0.3">
      <c r="B103" s="256">
        <v>46330</v>
      </c>
      <c r="C103" s="278">
        <v>2</v>
      </c>
      <c r="D103" s="278">
        <f t="shared" si="21"/>
        <v>60</v>
      </c>
      <c r="E103" s="271">
        <f t="shared" si="22"/>
        <v>46391</v>
      </c>
      <c r="F103" s="271">
        <f t="shared" si="23"/>
        <v>46418</v>
      </c>
    </row>
    <row r="104" spans="2:6" ht="15.75" thickBot="1" x14ac:dyDescent="0.3">
      <c r="B104" s="256">
        <v>46330</v>
      </c>
      <c r="C104" s="278">
        <v>4</v>
      </c>
      <c r="D104" s="278">
        <f t="shared" si="21"/>
        <v>120</v>
      </c>
      <c r="E104" s="271">
        <f t="shared" si="22"/>
        <v>46450</v>
      </c>
      <c r="F104" s="271">
        <f t="shared" si="23"/>
        <v>46477</v>
      </c>
    </row>
    <row r="105" spans="2:6" ht="15.75" thickBot="1" x14ac:dyDescent="0.3">
      <c r="B105" s="256">
        <v>46346</v>
      </c>
      <c r="C105" s="278">
        <v>6</v>
      </c>
      <c r="D105" s="278">
        <f t="shared" si="21"/>
        <v>180</v>
      </c>
      <c r="E105" s="271">
        <f t="shared" si="22"/>
        <v>46527</v>
      </c>
      <c r="F105" s="271">
        <f t="shared" si="23"/>
        <v>46538</v>
      </c>
    </row>
    <row r="106" spans="2:6" ht="15.75" thickBot="1" x14ac:dyDescent="0.3">
      <c r="B106" s="256">
        <v>46346</v>
      </c>
      <c r="C106" s="278">
        <v>2</v>
      </c>
      <c r="D106" s="278">
        <f t="shared" si="21"/>
        <v>60</v>
      </c>
      <c r="E106" s="271">
        <f t="shared" si="22"/>
        <v>46407</v>
      </c>
      <c r="F106" s="271">
        <f t="shared" si="23"/>
        <v>46418</v>
      </c>
    </row>
    <row r="107" spans="2:6" ht="15.75" thickBot="1" x14ac:dyDescent="0.3">
      <c r="B107" s="256">
        <v>46336</v>
      </c>
      <c r="C107" s="278">
        <v>3</v>
      </c>
      <c r="D107" s="278">
        <f t="shared" si="21"/>
        <v>90</v>
      </c>
      <c r="E107" s="271">
        <f t="shared" si="22"/>
        <v>46428</v>
      </c>
      <c r="F107" s="271">
        <f t="shared" si="23"/>
        <v>46446</v>
      </c>
    </row>
    <row r="108" spans="2:6" ht="15.75" thickBot="1" x14ac:dyDescent="0.3">
      <c r="B108" s="256">
        <v>46336</v>
      </c>
      <c r="C108" s="278">
        <v>4</v>
      </c>
      <c r="D108" s="278">
        <f t="shared" si="21"/>
        <v>120</v>
      </c>
      <c r="E108" s="271">
        <f t="shared" si="22"/>
        <v>46456</v>
      </c>
      <c r="F108" s="271">
        <f t="shared" si="23"/>
        <v>46477</v>
      </c>
    </row>
    <row r="109" spans="2:6" ht="15.75" thickBot="1" x14ac:dyDescent="0.3">
      <c r="B109" s="256">
        <v>46339</v>
      </c>
      <c r="C109" s="278">
        <v>5</v>
      </c>
      <c r="D109" s="278">
        <f t="shared" si="21"/>
        <v>150</v>
      </c>
      <c r="E109" s="271">
        <f t="shared" si="22"/>
        <v>46490</v>
      </c>
      <c r="F109" s="271">
        <f t="shared" si="23"/>
        <v>46507</v>
      </c>
    </row>
    <row r="110" spans="2:6" ht="15.75" thickBot="1" x14ac:dyDescent="0.3">
      <c r="B110" s="256">
        <v>46343</v>
      </c>
      <c r="C110" s="278">
        <v>6</v>
      </c>
      <c r="D110" s="278">
        <f t="shared" si="21"/>
        <v>180</v>
      </c>
      <c r="E110" s="271">
        <f t="shared" si="22"/>
        <v>46524</v>
      </c>
      <c r="F110" s="271">
        <f t="shared" si="23"/>
        <v>46538</v>
      </c>
    </row>
    <row r="111" spans="2:6" ht="15.75" thickBot="1" x14ac:dyDescent="0.3">
      <c r="B111" s="256">
        <v>46337</v>
      </c>
      <c r="C111" s="278">
        <v>8</v>
      </c>
      <c r="D111" s="278">
        <f t="shared" si="21"/>
        <v>240</v>
      </c>
      <c r="E111" s="271">
        <f t="shared" si="22"/>
        <v>46579</v>
      </c>
      <c r="F111" s="271">
        <f t="shared" si="23"/>
        <v>46599</v>
      </c>
    </row>
    <row r="112" spans="2:6" ht="15.75" thickBot="1" x14ac:dyDescent="0.3">
      <c r="B112" s="256">
        <v>46349</v>
      </c>
      <c r="C112" s="278">
        <v>7</v>
      </c>
      <c r="D112" s="278">
        <f t="shared" si="21"/>
        <v>210</v>
      </c>
      <c r="E112" s="271">
        <f t="shared" si="22"/>
        <v>46561</v>
      </c>
      <c r="F112" s="271">
        <f t="shared" si="23"/>
        <v>46568</v>
      </c>
    </row>
    <row r="113" spans="2:6" ht="15.75" thickBot="1" x14ac:dyDescent="0.3">
      <c r="B113" s="256">
        <v>46338</v>
      </c>
      <c r="C113" s="278">
        <v>9</v>
      </c>
      <c r="D113" s="278">
        <f t="shared" si="21"/>
        <v>270</v>
      </c>
      <c r="E113" s="271">
        <f t="shared" si="22"/>
        <v>46611</v>
      </c>
      <c r="F113" s="271">
        <f t="shared" si="23"/>
        <v>46630</v>
      </c>
    </row>
    <row r="114" spans="2:6" ht="15.75" thickBot="1" x14ac:dyDescent="0.3">
      <c r="B114" s="256">
        <v>46339</v>
      </c>
      <c r="C114" s="278">
        <v>10</v>
      </c>
      <c r="D114" s="278">
        <f t="shared" si="21"/>
        <v>300</v>
      </c>
      <c r="E114" s="271">
        <f t="shared" si="22"/>
        <v>46643</v>
      </c>
      <c r="F114" s="271">
        <f t="shared" si="23"/>
        <v>46660</v>
      </c>
    </row>
    <row r="115" spans="2:6" ht="15.75" thickBot="1" x14ac:dyDescent="0.3">
      <c r="B115" s="256">
        <v>46346</v>
      </c>
      <c r="C115" s="278">
        <v>11</v>
      </c>
      <c r="D115" s="278">
        <f t="shared" si="21"/>
        <v>330</v>
      </c>
      <c r="E115" s="271">
        <f t="shared" si="22"/>
        <v>46680</v>
      </c>
      <c r="F115" s="271">
        <f t="shared" si="23"/>
        <v>46691</v>
      </c>
    </row>
    <row r="117" spans="2:6" ht="15.75" thickBot="1" x14ac:dyDescent="0.3"/>
    <row r="118" spans="2:6" x14ac:dyDescent="0.25">
      <c r="B118" s="118" t="s">
        <v>1073</v>
      </c>
      <c r="C118" s="118" t="s">
        <v>915</v>
      </c>
      <c r="D118" s="118" t="s">
        <v>1074</v>
      </c>
      <c r="E118" s="118" t="s">
        <v>1020</v>
      </c>
    </row>
    <row r="119" spans="2:6" ht="15.75" thickBot="1" x14ac:dyDescent="0.3">
      <c r="B119" s="292">
        <v>38295</v>
      </c>
      <c r="C119" s="291" t="str">
        <f ca="1">TEXT(NOW(),"MM-DD-YYYY")</f>
        <v>10-19-2026</v>
      </c>
      <c r="D119" s="293">
        <f ca="1">DATEDIF(B119,C119,"Y")</f>
        <v>21</v>
      </c>
      <c r="E119" s="293">
        <f ca="1">YEARFRAC(B119,C119)</f>
        <v>21.958333333333332</v>
      </c>
    </row>
    <row r="120" spans="2:6" ht="15.75" thickBot="1" x14ac:dyDescent="0.3">
      <c r="B120" s="253">
        <v>38671</v>
      </c>
      <c r="C120" s="291" t="str">
        <f ca="1">TEXT(NOW(),"MM-DD-YYYY")</f>
        <v>10-19-2026</v>
      </c>
      <c r="D120" s="293">
        <f ca="1">DATEDIF(B120,C120,"Y")</f>
        <v>20</v>
      </c>
      <c r="E120" s="293">
        <f ca="1">YEARFRAC(B120,C120)</f>
        <v>20.927777777777777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Raw Data</vt:lpstr>
      <vt:lpstr>Formulaes</vt:lpstr>
      <vt:lpstr>Mark Sheet</vt:lpstr>
      <vt:lpstr>Clipboard</vt:lpstr>
      <vt:lpstr>Sales Data</vt:lpstr>
      <vt:lpstr>Filter</vt:lpstr>
      <vt:lpstr>Table</vt:lpstr>
      <vt:lpstr>fill</vt:lpstr>
      <vt:lpstr>Go to Special</vt:lpstr>
      <vt:lpstr>Paste Special With Find&amp;Replace</vt:lpstr>
      <vt:lpstr>Sheet1</vt:lpstr>
      <vt:lpstr>Clear</vt:lpstr>
      <vt:lpstr>Cell Referencing</vt:lpstr>
      <vt:lpstr>Text Formulas Notes</vt:lpstr>
      <vt:lpstr>Text Formulas Practice</vt:lpstr>
      <vt:lpstr>Statistical Formulas Notes</vt:lpstr>
      <vt:lpstr>Statistical Formulas Practice</vt:lpstr>
      <vt:lpstr>Date &amp; Time Formulas Notes</vt:lpstr>
      <vt:lpstr>Date &amp; Time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2026-10-19T05:45:27Z</dcterms:modified>
</cp:coreProperties>
</file>