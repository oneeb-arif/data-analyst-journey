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st\Excel\Day 02\"/>
    </mc:Choice>
  </mc:AlternateContent>
  <xr:revisionPtr revIDLastSave="0" documentId="13_ncr:1_{C6A40314-C87A-48A8-AE92-9DFF58FC3B2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Raw Data" sheetId="1" r:id="rId1"/>
    <sheet name="Formulaes" sheetId="2" r:id="rId2"/>
    <sheet name="Mark Sheet" sheetId="3" r:id="rId3"/>
    <sheet name="Sales 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4" l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3" i="4"/>
  <c r="A57" i="4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F8" i="3"/>
  <c r="F6" i="3"/>
  <c r="F14" i="3"/>
  <c r="D2" i="3"/>
  <c r="E2" i="3"/>
  <c r="C3" i="3"/>
  <c r="D3" i="3"/>
  <c r="F3" i="3"/>
  <c r="D4" i="3"/>
  <c r="E4" i="3"/>
  <c r="C5" i="3"/>
  <c r="D5" i="3"/>
  <c r="F5" i="3"/>
  <c r="C6" i="3"/>
  <c r="D6" i="3"/>
  <c r="D7" i="3"/>
  <c r="E7" i="3"/>
  <c r="F7" i="3"/>
  <c r="C8" i="3"/>
  <c r="C9" i="3"/>
  <c r="D9" i="3"/>
  <c r="E9" i="3"/>
  <c r="F9" i="3"/>
  <c r="C10" i="3"/>
  <c r="E10" i="3"/>
  <c r="C11" i="3"/>
  <c r="D11" i="3"/>
  <c r="E11" i="3"/>
  <c r="F11" i="3"/>
  <c r="C12" i="3"/>
  <c r="D12" i="3"/>
  <c r="E12" i="3"/>
  <c r="C13" i="3"/>
  <c r="D13" i="3"/>
  <c r="F13" i="3"/>
  <c r="C14" i="3"/>
  <c r="D14" i="3"/>
  <c r="E15" i="3"/>
  <c r="G15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B3" i="2"/>
  <c r="B4" i="2" s="1"/>
  <c r="B5" i="2" s="1"/>
  <c r="B6" i="2" s="1"/>
  <c r="B7" i="2" s="1"/>
  <c r="A42" i="4" l="1"/>
  <c r="A43" i="4" s="1"/>
  <c r="A44" i="4" s="1"/>
  <c r="A45" i="4" s="1"/>
  <c r="A46" i="4" s="1"/>
  <c r="A47" i="4" s="1"/>
  <c r="A48" i="4" s="1"/>
  <c r="A49" i="4" s="1"/>
  <c r="A50" i="4" s="1"/>
  <c r="A51" i="4" s="1"/>
  <c r="I10" i="3"/>
  <c r="I7" i="3"/>
  <c r="I12" i="3"/>
  <c r="I13" i="3"/>
  <c r="I4" i="3"/>
  <c r="I8" i="3"/>
  <c r="H10" i="3"/>
  <c r="I3" i="3"/>
  <c r="I9" i="3"/>
  <c r="I2" i="3"/>
  <c r="I6" i="3"/>
  <c r="I14" i="3"/>
  <c r="I5" i="3"/>
  <c r="I11" i="3"/>
  <c r="I15" i="3"/>
  <c r="H4" i="3"/>
  <c r="H12" i="3"/>
  <c r="H14" i="3"/>
  <c r="H9" i="3"/>
  <c r="H6" i="3"/>
  <c r="H3" i="3"/>
  <c r="H11" i="3"/>
  <c r="H8" i="3"/>
  <c r="H13" i="3"/>
  <c r="H7" i="3"/>
  <c r="H5" i="3"/>
  <c r="H15" i="3"/>
  <c r="H2" i="3"/>
  <c r="G8" i="3"/>
  <c r="G9" i="3"/>
  <c r="G6" i="3"/>
  <c r="G14" i="3"/>
  <c r="G11" i="3"/>
  <c r="G2" i="3"/>
  <c r="G13" i="3"/>
  <c r="G5" i="3"/>
  <c r="G10" i="3"/>
  <c r="G7" i="3"/>
  <c r="G4" i="3"/>
  <c r="G12" i="3"/>
  <c r="G3" i="3"/>
  <c r="C3" i="2"/>
  <c r="D3" i="2" s="1"/>
  <c r="E3" i="2" s="1"/>
  <c r="H3" i="2" s="1"/>
  <c r="C4" i="2"/>
  <c r="D4" i="2" s="1"/>
  <c r="B8" i="2"/>
  <c r="C7" i="2"/>
  <c r="D7" i="2" s="1"/>
  <c r="C6" i="2"/>
  <c r="C5" i="2"/>
  <c r="E7" i="2" l="1"/>
  <c r="H7" i="2" s="1"/>
  <c r="D5" i="2"/>
  <c r="E5" i="2" s="1"/>
  <c r="B9" i="2"/>
  <c r="C8" i="2"/>
  <c r="G3" i="2"/>
  <c r="K3" i="2" s="1"/>
  <c r="F3" i="2"/>
  <c r="D6" i="2"/>
  <c r="E4" i="2"/>
  <c r="F4" i="2" s="1"/>
  <c r="H5" i="2" l="1"/>
  <c r="G7" i="2"/>
  <c r="K7" i="2" s="1"/>
  <c r="I3" i="2"/>
  <c r="J3" i="2"/>
  <c r="L3" i="2"/>
  <c r="F7" i="2"/>
  <c r="D8" i="2"/>
  <c r="E6" i="2"/>
  <c r="F6" i="2" s="1"/>
  <c r="H4" i="2"/>
  <c r="B10" i="2"/>
  <c r="C9" i="2"/>
  <c r="G4" i="2"/>
  <c r="G5" i="2"/>
  <c r="F5" i="2"/>
  <c r="M3" i="2" l="1"/>
  <c r="N3" i="2" s="1"/>
  <c r="G6" i="2"/>
  <c r="I5" i="2"/>
  <c r="L5" i="2"/>
  <c r="J5" i="2"/>
  <c r="B11" i="2"/>
  <c r="C10" i="2"/>
  <c r="D10" i="2" s="1"/>
  <c r="K5" i="2"/>
  <c r="E8" i="2"/>
  <c r="H8" i="2" s="1"/>
  <c r="K4" i="2"/>
  <c r="L4" i="2"/>
  <c r="I4" i="2"/>
  <c r="J4" i="2"/>
  <c r="L7" i="2"/>
  <c r="J7" i="2"/>
  <c r="I7" i="2"/>
  <c r="D9" i="2"/>
  <c r="H6" i="2"/>
  <c r="M7" i="2" l="1"/>
  <c r="N7" i="2" s="1"/>
  <c r="G8" i="2"/>
  <c r="I8" i="2" s="1"/>
  <c r="F8" i="2"/>
  <c r="E9" i="2"/>
  <c r="H9" i="2" s="1"/>
  <c r="M5" i="2"/>
  <c r="N5" i="2" s="1"/>
  <c r="K6" i="2"/>
  <c r="B12" i="2"/>
  <c r="C11" i="2"/>
  <c r="D11" i="2" s="1"/>
  <c r="I6" i="2"/>
  <c r="J6" i="2"/>
  <c r="L6" i="2"/>
  <c r="E10" i="2"/>
  <c r="H10" i="2" s="1"/>
  <c r="M4" i="2"/>
  <c r="N4" i="2" s="1"/>
  <c r="J8" i="2" l="1"/>
  <c r="K8" i="2"/>
  <c r="M6" i="2"/>
  <c r="N6" i="2" s="1"/>
  <c r="L8" i="2"/>
  <c r="G9" i="2"/>
  <c r="L9" i="2" s="1"/>
  <c r="E11" i="2"/>
  <c r="G11" i="2" s="1"/>
  <c r="F9" i="2"/>
  <c r="G10" i="2"/>
  <c r="B13" i="2"/>
  <c r="C12" i="2"/>
  <c r="D12" i="2" s="1"/>
  <c r="F10" i="2"/>
  <c r="M8" i="2" l="1"/>
  <c r="N8" i="2" s="1"/>
  <c r="J9" i="2"/>
  <c r="H11" i="2"/>
  <c r="I11" i="2" s="1"/>
  <c r="F11" i="2"/>
  <c r="K9" i="2"/>
  <c r="I9" i="2"/>
  <c r="B14" i="2"/>
  <c r="C13" i="2"/>
  <c r="E12" i="2"/>
  <c r="H12" i="2" s="1"/>
  <c r="I10" i="2"/>
  <c r="J10" i="2"/>
  <c r="L10" i="2"/>
  <c r="K10" i="2"/>
  <c r="M9" i="2" l="1"/>
  <c r="N9" i="2" s="1"/>
  <c r="K11" i="2"/>
  <c r="L11" i="2"/>
  <c r="J11" i="2"/>
  <c r="M10" i="2"/>
  <c r="N10" i="2" s="1"/>
  <c r="F12" i="2"/>
  <c r="G12" i="2"/>
  <c r="L12" i="2" s="1"/>
  <c r="B15" i="2"/>
  <c r="C14" i="2"/>
  <c r="D13" i="2"/>
  <c r="M11" i="2" l="1"/>
  <c r="N11" i="2" s="1"/>
  <c r="J12" i="2"/>
  <c r="I12" i="2"/>
  <c r="K12" i="2"/>
  <c r="B16" i="2"/>
  <c r="C15" i="2"/>
  <c r="D15" i="2" s="1"/>
  <c r="E13" i="2"/>
  <c r="H13" i="2" s="1"/>
  <c r="D14" i="2"/>
  <c r="M12" i="2" l="1"/>
  <c r="N12" i="2" s="1"/>
  <c r="E14" i="2"/>
  <c r="H14" i="2" s="1"/>
  <c r="G13" i="2"/>
  <c r="K13" i="2" s="1"/>
  <c r="E15" i="2"/>
  <c r="H15" i="2" s="1"/>
  <c r="B17" i="2"/>
  <c r="C16" i="2"/>
  <c r="F13" i="2"/>
  <c r="G14" i="2" l="1"/>
  <c r="K14" i="2" s="1"/>
  <c r="B18" i="2"/>
  <c r="C17" i="2"/>
  <c r="F14" i="2"/>
  <c r="D16" i="2"/>
  <c r="G15" i="2"/>
  <c r="K15" i="2" s="1"/>
  <c r="L13" i="2"/>
  <c r="I13" i="2"/>
  <c r="J13" i="2"/>
  <c r="F15" i="2"/>
  <c r="M13" i="2" l="1"/>
  <c r="N13" i="2" s="1"/>
  <c r="L14" i="2"/>
  <c r="I14" i="2"/>
  <c r="J14" i="2"/>
  <c r="B19" i="2"/>
  <c r="C18" i="2"/>
  <c r="D17" i="2"/>
  <c r="E16" i="2"/>
  <c r="H16" i="2" s="1"/>
  <c r="L15" i="2"/>
  <c r="I15" i="2"/>
  <c r="J15" i="2"/>
  <c r="M15" i="2" l="1"/>
  <c r="N15" i="2" s="1"/>
  <c r="F16" i="2"/>
  <c r="E17" i="2"/>
  <c r="H17" i="2" s="1"/>
  <c r="D18" i="2"/>
  <c r="G16" i="2"/>
  <c r="B20" i="2"/>
  <c r="C19" i="2"/>
  <c r="D19" i="2" s="1"/>
  <c r="M14" i="2"/>
  <c r="N14" i="2" s="1"/>
  <c r="E19" i="2" l="1"/>
  <c r="H19" i="2" s="1"/>
  <c r="G17" i="2"/>
  <c r="K17" i="2" s="1"/>
  <c r="B21" i="2"/>
  <c r="C20" i="2"/>
  <c r="D20" i="2" s="1"/>
  <c r="F17" i="2"/>
  <c r="J16" i="2"/>
  <c r="I16" i="2"/>
  <c r="L16" i="2"/>
  <c r="K16" i="2"/>
  <c r="E18" i="2"/>
  <c r="H18" i="2" s="1"/>
  <c r="G19" i="2" l="1"/>
  <c r="K19" i="2" s="1"/>
  <c r="F19" i="2"/>
  <c r="E20" i="2"/>
  <c r="F20" i="2" s="1"/>
  <c r="G18" i="2"/>
  <c r="J18" i="2" s="1"/>
  <c r="F18" i="2"/>
  <c r="M16" i="2"/>
  <c r="N16" i="2" s="1"/>
  <c r="J17" i="2"/>
  <c r="I17" i="2"/>
  <c r="L17" i="2"/>
  <c r="B22" i="2"/>
  <c r="C21" i="2"/>
  <c r="D21" i="2" s="1"/>
  <c r="L19" i="2" l="1"/>
  <c r="J19" i="2"/>
  <c r="I19" i="2"/>
  <c r="H20" i="2"/>
  <c r="G20" i="2"/>
  <c r="K18" i="2"/>
  <c r="M17" i="2"/>
  <c r="N17" i="2" s="1"/>
  <c r="I18" i="2"/>
  <c r="L18" i="2"/>
  <c r="B23" i="2"/>
  <c r="C22" i="2"/>
  <c r="E21" i="2"/>
  <c r="H21" i="2" s="1"/>
  <c r="J20" i="2" l="1"/>
  <c r="I20" i="2"/>
  <c r="L20" i="2"/>
  <c r="M19" i="2"/>
  <c r="N19" i="2" s="1"/>
  <c r="M18" i="2"/>
  <c r="N18" i="2" s="1"/>
  <c r="K20" i="2"/>
  <c r="D22" i="2"/>
  <c r="E22" i="2" s="1"/>
  <c r="B24" i="2"/>
  <c r="C23" i="2"/>
  <c r="D23" i="2" s="1"/>
  <c r="E23" i="2" s="1"/>
  <c r="F21" i="2"/>
  <c r="G21" i="2"/>
  <c r="M20" i="2" l="1"/>
  <c r="N20" i="2" s="1"/>
  <c r="H22" i="2"/>
  <c r="G22" i="2"/>
  <c r="F22" i="2"/>
  <c r="H23" i="2"/>
  <c r="L21" i="2"/>
  <c r="I21" i="2"/>
  <c r="J21" i="2"/>
  <c r="B25" i="2"/>
  <c r="C24" i="2"/>
  <c r="K21" i="2"/>
  <c r="F23" i="2"/>
  <c r="G23" i="2"/>
  <c r="K23" i="2" l="1"/>
  <c r="J22" i="2"/>
  <c r="K22" i="2"/>
  <c r="I22" i="2"/>
  <c r="L22" i="2"/>
  <c r="M21" i="2"/>
  <c r="N21" i="2" s="1"/>
  <c r="B26" i="2"/>
  <c r="C25" i="2"/>
  <c r="D25" i="2" s="1"/>
  <c r="L23" i="2"/>
  <c r="J23" i="2"/>
  <c r="I23" i="2"/>
  <c r="D24" i="2"/>
  <c r="M22" i="2" l="1"/>
  <c r="N22" i="2" s="1"/>
  <c r="M23" i="2"/>
  <c r="N23" i="2" s="1"/>
  <c r="B27" i="2"/>
  <c r="C26" i="2"/>
  <c r="D26" i="2" s="1"/>
  <c r="E24" i="2"/>
  <c r="H24" i="2" s="1"/>
  <c r="E25" i="2"/>
  <c r="H25" i="2" s="1"/>
  <c r="E26" i="2" l="1"/>
  <c r="H26" i="2" s="1"/>
  <c r="F25" i="2"/>
  <c r="G25" i="2"/>
  <c r="K25" i="2" s="1"/>
  <c r="B28" i="2"/>
  <c r="C27" i="2"/>
  <c r="G24" i="2"/>
  <c r="F24" i="2"/>
  <c r="G26" i="2" l="1"/>
  <c r="D27" i="2"/>
  <c r="B29" i="2"/>
  <c r="C28" i="2"/>
  <c r="D28" i="2" s="1"/>
  <c r="E28" i="2" s="1"/>
  <c r="H28" i="2" s="1"/>
  <c r="J24" i="2"/>
  <c r="L24" i="2"/>
  <c r="I24" i="2"/>
  <c r="K24" i="2"/>
  <c r="J25" i="2"/>
  <c r="L25" i="2"/>
  <c r="I25" i="2"/>
  <c r="F26" i="2"/>
  <c r="M25" i="2" l="1"/>
  <c r="N25" i="2" s="1"/>
  <c r="M24" i="2"/>
  <c r="N24" i="2" s="1"/>
  <c r="B30" i="2"/>
  <c r="C29" i="2"/>
  <c r="D29" i="2" s="1"/>
  <c r="I26" i="2"/>
  <c r="J26" i="2"/>
  <c r="L26" i="2"/>
  <c r="K26" i="2"/>
  <c r="E27" i="2"/>
  <c r="H27" i="2" s="1"/>
  <c r="G28" i="2"/>
  <c r="F28" i="2"/>
  <c r="G27" i="2" l="1"/>
  <c r="J27" i="2" s="1"/>
  <c r="M26" i="2"/>
  <c r="N26" i="2" s="1"/>
  <c r="E29" i="2"/>
  <c r="H29" i="2" s="1"/>
  <c r="L28" i="2"/>
  <c r="I28" i="2"/>
  <c r="J28" i="2"/>
  <c r="K28" i="2"/>
  <c r="B31" i="2"/>
  <c r="C30" i="2"/>
  <c r="F27" i="2"/>
  <c r="M28" i="2" l="1"/>
  <c r="N28" i="2" s="1"/>
  <c r="L27" i="2"/>
  <c r="I27" i="2"/>
  <c r="K27" i="2"/>
  <c r="B32" i="2"/>
  <c r="C31" i="2"/>
  <c r="D31" i="2" s="1"/>
  <c r="D30" i="2"/>
  <c r="G29" i="2"/>
  <c r="F29" i="2"/>
  <c r="M27" i="2" l="1"/>
  <c r="N27" i="2" s="1"/>
  <c r="E30" i="2"/>
  <c r="H30" i="2" s="1"/>
  <c r="E31" i="2"/>
  <c r="H31" i="2" s="1"/>
  <c r="I29" i="2"/>
  <c r="L29" i="2"/>
  <c r="J29" i="2"/>
  <c r="B33" i="2"/>
  <c r="C32" i="2"/>
  <c r="D32" i="2" s="1"/>
  <c r="K29" i="2"/>
  <c r="G31" i="2" l="1"/>
  <c r="L31" i="2" s="1"/>
  <c r="M29" i="2"/>
  <c r="N29" i="2" s="1"/>
  <c r="G30" i="2"/>
  <c r="E32" i="2"/>
  <c r="H32" i="2" s="1"/>
  <c r="B34" i="2"/>
  <c r="C33" i="2"/>
  <c r="D33" i="2" s="1"/>
  <c r="F30" i="2"/>
  <c r="F31" i="2"/>
  <c r="J31" i="2" l="1"/>
  <c r="K31" i="2"/>
  <c r="I31" i="2"/>
  <c r="L30" i="2"/>
  <c r="I30" i="2"/>
  <c r="J30" i="2"/>
  <c r="K30" i="2"/>
  <c r="E33" i="2"/>
  <c r="H33" i="2" s="1"/>
  <c r="B35" i="2"/>
  <c r="C34" i="2"/>
  <c r="D34" i="2" s="1"/>
  <c r="G32" i="2"/>
  <c r="K32" i="2" s="1"/>
  <c r="F32" i="2"/>
  <c r="M31" i="2" l="1"/>
  <c r="N31" i="2" s="1"/>
  <c r="M30" i="2"/>
  <c r="N30" i="2" s="1"/>
  <c r="E34" i="2"/>
  <c r="G34" i="2" s="1"/>
  <c r="B36" i="2"/>
  <c r="C35" i="2"/>
  <c r="F33" i="2"/>
  <c r="J32" i="2"/>
  <c r="I32" i="2"/>
  <c r="L32" i="2"/>
  <c r="G33" i="2"/>
  <c r="K33" i="2" s="1"/>
  <c r="M32" i="2" l="1"/>
  <c r="N32" i="2" s="1"/>
  <c r="B37" i="2"/>
  <c r="C36" i="2"/>
  <c r="D36" i="2" s="1"/>
  <c r="H34" i="2"/>
  <c r="K34" i="2" s="1"/>
  <c r="F34" i="2"/>
  <c r="D35" i="2"/>
  <c r="J33" i="2"/>
  <c r="I33" i="2"/>
  <c r="L33" i="2"/>
  <c r="M33" i="2" l="1"/>
  <c r="N33" i="2" s="1"/>
  <c r="E36" i="2"/>
  <c r="H36" i="2" s="1"/>
  <c r="I34" i="2"/>
  <c r="L34" i="2"/>
  <c r="J34" i="2"/>
  <c r="B38" i="2"/>
  <c r="C37" i="2"/>
  <c r="D37" i="2" s="1"/>
  <c r="E35" i="2"/>
  <c r="F35" i="2" s="1"/>
  <c r="M34" i="2" l="1"/>
  <c r="N34" i="2" s="1"/>
  <c r="G35" i="2"/>
  <c r="E37" i="2"/>
  <c r="H37" i="2" s="1"/>
  <c r="F36" i="2"/>
  <c r="B39" i="2"/>
  <c r="C38" i="2"/>
  <c r="D38" i="2" s="1"/>
  <c r="H35" i="2"/>
  <c r="G36" i="2"/>
  <c r="K36" i="2" s="1"/>
  <c r="F37" i="2" l="1"/>
  <c r="G37" i="2"/>
  <c r="L37" i="2" s="1"/>
  <c r="I35" i="2"/>
  <c r="L35" i="2"/>
  <c r="J35" i="2"/>
  <c r="E38" i="2"/>
  <c r="F38" i="2" s="1"/>
  <c r="L36" i="2"/>
  <c r="I36" i="2"/>
  <c r="J36" i="2"/>
  <c r="B40" i="2"/>
  <c r="C39" i="2"/>
  <c r="D39" i="2" s="1"/>
  <c r="K35" i="2"/>
  <c r="J37" i="2" l="1"/>
  <c r="K37" i="2"/>
  <c r="I37" i="2"/>
  <c r="H38" i="2"/>
  <c r="M36" i="2"/>
  <c r="N36" i="2" s="1"/>
  <c r="M35" i="2"/>
  <c r="N35" i="2" s="1"/>
  <c r="G38" i="2"/>
  <c r="B41" i="2"/>
  <c r="C40" i="2"/>
  <c r="D40" i="2" s="1"/>
  <c r="E39" i="2"/>
  <c r="H39" i="2" s="1"/>
  <c r="K38" i="2" l="1"/>
  <c r="M37" i="2"/>
  <c r="N37" i="2" s="1"/>
  <c r="L38" i="2"/>
  <c r="I38" i="2"/>
  <c r="J38" i="2"/>
  <c r="F39" i="2"/>
  <c r="G39" i="2"/>
  <c r="L39" i="2" s="1"/>
  <c r="B42" i="2"/>
  <c r="C41" i="2"/>
  <c r="E40" i="2"/>
  <c r="H40" i="2" s="1"/>
  <c r="M38" i="2" l="1"/>
  <c r="N38" i="2" s="1"/>
  <c r="I39" i="2"/>
  <c r="K39" i="2"/>
  <c r="J39" i="2"/>
  <c r="D41" i="2"/>
  <c r="G40" i="2"/>
  <c r="F40" i="2"/>
  <c r="C42" i="2"/>
  <c r="D42" i="2" s="1"/>
  <c r="M39" i="2" l="1"/>
  <c r="N39" i="2" s="1"/>
  <c r="J40" i="2"/>
  <c r="L40" i="2"/>
  <c r="I40" i="2"/>
  <c r="K40" i="2"/>
  <c r="E42" i="2"/>
  <c r="F42" i="2" s="1"/>
  <c r="E41" i="2"/>
  <c r="H41" i="2" s="1"/>
  <c r="M40" i="2" l="1"/>
  <c r="N40" i="2" s="1"/>
  <c r="G42" i="2"/>
  <c r="G41" i="2"/>
  <c r="F41" i="2"/>
  <c r="F43" i="2" s="1"/>
  <c r="H42" i="2"/>
  <c r="G43" i="2" l="1"/>
  <c r="I42" i="2"/>
  <c r="J42" i="2"/>
  <c r="L42" i="2"/>
  <c r="K42" i="2"/>
  <c r="J41" i="2"/>
  <c r="L41" i="2"/>
  <c r="I41" i="2"/>
  <c r="K41" i="2"/>
  <c r="M42" i="2" l="1"/>
  <c r="N42" i="2" s="1"/>
  <c r="M41" i="2"/>
  <c r="N41" i="2" s="1"/>
</calcChain>
</file>

<file path=xl/sharedStrings.xml><?xml version="1.0" encoding="utf-8"?>
<sst xmlns="http://schemas.openxmlformats.org/spreadsheetml/2006/main" count="2351" uniqueCount="523">
  <si>
    <t>Employee_ID</t>
  </si>
  <si>
    <t>First_Name</t>
  </si>
  <si>
    <t>Last_Name</t>
  </si>
  <si>
    <t>Age</t>
  </si>
  <si>
    <t>Gender</t>
  </si>
  <si>
    <t>City</t>
  </si>
  <si>
    <t>Department</t>
  </si>
  <si>
    <t>Job_Title</t>
  </si>
  <si>
    <t>Employment_Status</t>
  </si>
  <si>
    <t>Education</t>
  </si>
  <si>
    <t>Experience_Years</t>
  </si>
  <si>
    <t>Monthly_Salary_PKR</t>
  </si>
  <si>
    <t>Join_Date</t>
  </si>
  <si>
    <t>Date_of_Birth</t>
  </si>
  <si>
    <t>Email</t>
  </si>
  <si>
    <t>Phone</t>
  </si>
  <si>
    <t>Manager_ID</t>
  </si>
  <si>
    <t>Performance_Score</t>
  </si>
  <si>
    <t>Attendance_Percent</t>
  </si>
  <si>
    <t>Overtime_Hours</t>
  </si>
  <si>
    <t>Annual_Bonus_PKR</t>
  </si>
  <si>
    <t>Department_Budget_PKR</t>
  </si>
  <si>
    <t>Training_Hours</t>
  </si>
  <si>
    <t>Leave_Days_Used</t>
  </si>
  <si>
    <t>Project_Name</t>
  </si>
  <si>
    <t>Project_Status</t>
  </si>
  <si>
    <t>Task_Count</t>
  </si>
  <si>
    <t>Tasks_Completed</t>
  </si>
  <si>
    <t>Client_Satisfaction</t>
  </si>
  <si>
    <t>Product</t>
  </si>
  <si>
    <t>Units_Sold</t>
  </si>
  <si>
    <t>Sales_Revenue_PKR</t>
  </si>
  <si>
    <t>Cost_PKR</t>
  </si>
  <si>
    <t>Profit_PKR</t>
  </si>
  <si>
    <t>Sales_Channel</t>
  </si>
  <si>
    <t>Payment_Method</t>
  </si>
  <si>
    <t>Region</t>
  </si>
  <si>
    <t>Customer_Rating</t>
  </si>
  <si>
    <t>Discount_Percent</t>
  </si>
  <si>
    <t>Record_Date</t>
  </si>
  <si>
    <t>EMP0001</t>
  </si>
  <si>
    <t>Maryam</t>
  </si>
  <si>
    <t>Ali</t>
  </si>
  <si>
    <t>Female</t>
  </si>
  <si>
    <t>Sukkur</t>
  </si>
  <si>
    <t>Sales</t>
  </si>
  <si>
    <t>Manager</t>
  </si>
  <si>
    <t>Active</t>
  </si>
  <si>
    <t>Matric</t>
  </si>
  <si>
    <t>maryam.ali1@example.com</t>
  </si>
  <si>
    <t>+92-3617933677</t>
  </si>
  <si>
    <t>EMP0073</t>
  </si>
  <si>
    <t>Gamma</t>
  </si>
  <si>
    <t>Completed</t>
  </si>
  <si>
    <t>SSD</t>
  </si>
  <si>
    <t>Walk-in</t>
  </si>
  <si>
    <t>EasyPaisa</t>
  </si>
  <si>
    <t>South</t>
  </si>
  <si>
    <t>EMP0002</t>
  </si>
  <si>
    <t>Hamza</t>
  </si>
  <si>
    <t>Ahmed</t>
  </si>
  <si>
    <t>Quetta</t>
  </si>
  <si>
    <t>Customer Support</t>
  </si>
  <si>
    <t>Specialist</t>
  </si>
  <si>
    <t>Probation</t>
  </si>
  <si>
    <t>Master's</t>
  </si>
  <si>
    <t>hamza.ahmed2@example.com</t>
  </si>
  <si>
    <t>+92-3242762079</t>
  </si>
  <si>
    <t>EMP0011</t>
  </si>
  <si>
    <t>Beta</t>
  </si>
  <si>
    <t>On Hold</t>
  </si>
  <si>
    <t>Printer</t>
  </si>
  <si>
    <t>LinkedIn</t>
  </si>
  <si>
    <t>JazzCash</t>
  </si>
  <si>
    <t>North</t>
  </si>
  <si>
    <t>EMP0003</t>
  </si>
  <si>
    <t>Laiba</t>
  </si>
  <si>
    <t>Raza</t>
  </si>
  <si>
    <t>Male</t>
  </si>
  <si>
    <t>Lahore</t>
  </si>
  <si>
    <t>IT</t>
  </si>
  <si>
    <t>Assistant</t>
  </si>
  <si>
    <t>laiba.raza3@example.com</t>
  </si>
  <si>
    <t>+92-3748197765</t>
  </si>
  <si>
    <t>EMP0092</t>
  </si>
  <si>
    <t>Headphones</t>
  </si>
  <si>
    <t>Referral</t>
  </si>
  <si>
    <t>West</t>
  </si>
  <si>
    <t>EMP0004</t>
  </si>
  <si>
    <t>Noor</t>
  </si>
  <si>
    <t>Siddiqui</t>
  </si>
  <si>
    <t>Other</t>
  </si>
  <si>
    <t>Multan</t>
  </si>
  <si>
    <t>Operations</t>
  </si>
  <si>
    <t>Officer</t>
  </si>
  <si>
    <t>Inactive</t>
  </si>
  <si>
    <t>Intermediate</t>
  </si>
  <si>
    <t>noor.siddiqui4@example.com</t>
  </si>
  <si>
    <t>+92-3075090595</t>
  </si>
  <si>
    <t>EMP0076</t>
  </si>
  <si>
    <t>Phoenix</t>
  </si>
  <si>
    <t>In Progress</t>
  </si>
  <si>
    <t>Website</t>
  </si>
  <si>
    <t>Central</t>
  </si>
  <si>
    <t>EMP0005</t>
  </si>
  <si>
    <t>Danish</t>
  </si>
  <si>
    <t>Butt</t>
  </si>
  <si>
    <t>Analyst</t>
  </si>
  <si>
    <t>danish.butt5@example.com</t>
  </si>
  <si>
    <t>+92-3019437596</t>
  </si>
  <si>
    <t>EMP0027</t>
  </si>
  <si>
    <t>Not Started</t>
  </si>
  <si>
    <t>Router</t>
  </si>
  <si>
    <t>Card</t>
  </si>
  <si>
    <t>EMP0006</t>
  </si>
  <si>
    <t>Shah</t>
  </si>
  <si>
    <t>Coordinator</t>
  </si>
  <si>
    <t>Diploma</t>
  </si>
  <si>
    <t>danish.shah6@example.com</t>
  </si>
  <si>
    <t>+92-3877470852</t>
  </si>
  <si>
    <t>EMP0043</t>
  </si>
  <si>
    <t>Delta</t>
  </si>
  <si>
    <t>Cash</t>
  </si>
  <si>
    <t>East</t>
  </si>
  <si>
    <t>EMP0007</t>
  </si>
  <si>
    <t>Qureshi</t>
  </si>
  <si>
    <t>HR</t>
  </si>
  <si>
    <t>hamza.qureshi7@example.com</t>
  </si>
  <si>
    <t>+92-3198662305</t>
  </si>
  <si>
    <t>EMP0016</t>
  </si>
  <si>
    <t>Webcam</t>
  </si>
  <si>
    <t>WhatsApp</t>
  </si>
  <si>
    <t>EMP0008</t>
  </si>
  <si>
    <t>Faisalabad</t>
  </si>
  <si>
    <t>Finance</t>
  </si>
  <si>
    <t>Executive</t>
  </si>
  <si>
    <t>laiba.qureshi8@example.com</t>
  </si>
  <si>
    <t>+92-3636146343</t>
  </si>
  <si>
    <t>EMP0028</t>
  </si>
  <si>
    <t>Omega</t>
  </si>
  <si>
    <t>Laptop</t>
  </si>
  <si>
    <t>EMP0009</t>
  </si>
  <si>
    <t>Hassan</t>
  </si>
  <si>
    <t>Farooq</t>
  </si>
  <si>
    <t>Karachi</t>
  </si>
  <si>
    <t>Bachelor's</t>
  </si>
  <si>
    <t>hassan.farooq9@example.com</t>
  </si>
  <si>
    <t>+92-3881232885</t>
  </si>
  <si>
    <t>EMP0072</t>
  </si>
  <si>
    <t>Alpha</t>
  </si>
  <si>
    <t>Facebook</t>
  </si>
  <si>
    <t>EMP0010</t>
  </si>
  <si>
    <t>Sara</t>
  </si>
  <si>
    <t>sara.shah10@example.com</t>
  </si>
  <si>
    <t>+92-3367490644</t>
  </si>
  <si>
    <t>Mouse</t>
  </si>
  <si>
    <t>Zain</t>
  </si>
  <si>
    <t>Associate</t>
  </si>
  <si>
    <t>On Leave</t>
  </si>
  <si>
    <t>zain.shah11@example.com</t>
  </si>
  <si>
    <t>+92-3654492893</t>
  </si>
  <si>
    <t>EMP0067</t>
  </si>
  <si>
    <t>Instagram</t>
  </si>
  <si>
    <t>EMP0012</t>
  </si>
  <si>
    <t>Zoya</t>
  </si>
  <si>
    <t>Hyderabad</t>
  </si>
  <si>
    <t>zoya.ali12@example.com</t>
  </si>
  <si>
    <t>+92-3318941925</t>
  </si>
  <si>
    <t>EMP0034</t>
  </si>
  <si>
    <t>Bank Transfer</t>
  </si>
  <si>
    <t>EMP0013</t>
  </si>
  <si>
    <t>Bilal</t>
  </si>
  <si>
    <t>bilal.farooq13@example.com</t>
  </si>
  <si>
    <t>+92-3742974546</t>
  </si>
  <si>
    <t>EMP0058</t>
  </si>
  <si>
    <t>EMP0014</t>
  </si>
  <si>
    <t>Ayesha</t>
  </si>
  <si>
    <t>ayesha.butt14@example.com</t>
  </si>
  <si>
    <t>+92-3458874224</t>
  </si>
  <si>
    <t>Monitor</t>
  </si>
  <si>
    <t>EMP0015</t>
  </si>
  <si>
    <t>Hira</t>
  </si>
  <si>
    <t>hira.ahmed15@example.com</t>
  </si>
  <si>
    <t>+92-3493041470</t>
  </si>
  <si>
    <t>EMP0083</t>
  </si>
  <si>
    <t>Marketing</t>
  </si>
  <si>
    <t>ali.butt16@example.com</t>
  </si>
  <si>
    <t>+92-3340968878</t>
  </si>
  <si>
    <t>EMP0095</t>
  </si>
  <si>
    <t>Keyboard</t>
  </si>
  <si>
    <t>EMP0017</t>
  </si>
  <si>
    <t>Malik</t>
  </si>
  <si>
    <t>danish.malik17@example.com</t>
  </si>
  <si>
    <t>+92-3712349408</t>
  </si>
  <si>
    <t>EMP0038</t>
  </si>
  <si>
    <t>EMP0018</t>
  </si>
  <si>
    <t>Fatima</t>
  </si>
  <si>
    <t>Procurement</t>
  </si>
  <si>
    <t>fatima.shah18@example.com</t>
  </si>
  <si>
    <t>+92-3154469603</t>
  </si>
  <si>
    <t>EMP0019</t>
  </si>
  <si>
    <t>Khan</t>
  </si>
  <si>
    <t>fatima.khan19@example.com</t>
  </si>
  <si>
    <t>+92-3116640560</t>
  </si>
  <si>
    <t>EMP0094</t>
  </si>
  <si>
    <t>EMP0020</t>
  </si>
  <si>
    <t>Omar</t>
  </si>
  <si>
    <t>omar.butt20@example.com</t>
  </si>
  <si>
    <t>+92-3322175495</t>
  </si>
  <si>
    <t>EMP0023</t>
  </si>
  <si>
    <t>EMP0021</t>
  </si>
  <si>
    <t>Rawalpindi</t>
  </si>
  <si>
    <t>hamza.ali21@example.com</t>
  </si>
  <si>
    <t>+92-3788809494</t>
  </si>
  <si>
    <t>EMP0063</t>
  </si>
  <si>
    <t>EMP0022</t>
  </si>
  <si>
    <t>Usman</t>
  </si>
  <si>
    <t>Hussain</t>
  </si>
  <si>
    <t>usman.hussain22@example.com</t>
  </si>
  <si>
    <t>+92-3910154622</t>
  </si>
  <si>
    <t>ayesha.malik23@example.com</t>
  </si>
  <si>
    <t>+92-3376531138</t>
  </si>
  <si>
    <t>EMP0026</t>
  </si>
  <si>
    <t>EMP0024</t>
  </si>
  <si>
    <t>hassan.siddiqui24@example.com</t>
  </si>
  <si>
    <t>+92-3297572805</t>
  </si>
  <si>
    <t>EMP0068</t>
  </si>
  <si>
    <t>EMP0025</t>
  </si>
  <si>
    <t>Peshawar</t>
  </si>
  <si>
    <t>bilal.siddiqui25@example.com</t>
  </si>
  <si>
    <t>+92-3615455881</t>
  </si>
  <si>
    <t>EMP0049</t>
  </si>
  <si>
    <t>Office Chair</t>
  </si>
  <si>
    <t>ayesha.khan26@example.com</t>
  </si>
  <si>
    <t>+92-3353996545</t>
  </si>
  <si>
    <t>EMP0041</t>
  </si>
  <si>
    <t>Taha</t>
  </si>
  <si>
    <t>Islamabad</t>
  </si>
  <si>
    <t>taha.ahmed27@example.com</t>
  </si>
  <si>
    <t>+92-3486085910</t>
  </si>
  <si>
    <t>EMP0035</t>
  </si>
  <si>
    <t>usman.butt28@example.com</t>
  </si>
  <si>
    <t>+92-3988274942</t>
  </si>
  <si>
    <t>EMP0029</t>
  </si>
  <si>
    <t>ahmed.hussain29@example.com</t>
  </si>
  <si>
    <t>+92-3623608035</t>
  </si>
  <si>
    <t>EMP0051</t>
  </si>
  <si>
    <t>EMP0030</t>
  </si>
  <si>
    <t>hamza.butt30@example.com</t>
  </si>
  <si>
    <t>+92-3016938439</t>
  </si>
  <si>
    <t>EMP0071</t>
  </si>
  <si>
    <t>EMP0031</t>
  </si>
  <si>
    <t>bilal.ali31@example.com</t>
  </si>
  <si>
    <t>+92-3315598567</t>
  </si>
  <si>
    <t>EMP0052</t>
  </si>
  <si>
    <t>EMP0032</t>
  </si>
  <si>
    <t>bilal.butt32@example.com</t>
  </si>
  <si>
    <t>+92-3971510513</t>
  </si>
  <si>
    <t>EMP0033</t>
  </si>
  <si>
    <t>Iqra</t>
  </si>
  <si>
    <t>iqra.siddiqui33@example.com</t>
  </si>
  <si>
    <t>+92-3157096651</t>
  </si>
  <si>
    <t>EMP0079</t>
  </si>
  <si>
    <t>Nova</t>
  </si>
  <si>
    <t>hira.butt34@example.com</t>
  </si>
  <si>
    <t>+92-3659518889</t>
  </si>
  <si>
    <t>EMP0074</t>
  </si>
  <si>
    <t>Saad</t>
  </si>
  <si>
    <t>saad.siddiqui35@example.com</t>
  </si>
  <si>
    <t>+92-3840099528</t>
  </si>
  <si>
    <t>EMP0053</t>
  </si>
  <si>
    <t>EMP0036</t>
  </si>
  <si>
    <t>zoya.malik36@example.com</t>
  </si>
  <si>
    <t>+92-3331369693</t>
  </si>
  <si>
    <t>Orion</t>
  </si>
  <si>
    <t>EMP0037</t>
  </si>
  <si>
    <t>ayesha.shah37@example.com</t>
  </si>
  <si>
    <t>+92-3845607459</t>
  </si>
  <si>
    <t>zoya.butt38@example.com</t>
  </si>
  <si>
    <t>+92-3185860473</t>
  </si>
  <si>
    <t>EMP0039</t>
  </si>
  <si>
    <t>omar.butt39@example.com</t>
  </si>
  <si>
    <t>+92-3474037337</t>
  </si>
  <si>
    <t>EMP0040</t>
  </si>
  <si>
    <t>ali.siddiqui40@example.com</t>
  </si>
  <si>
    <t>+92-3010585413</t>
  </si>
  <si>
    <t>EMP0045</t>
  </si>
  <si>
    <t>danish.shah41@example.com</t>
  </si>
  <si>
    <t>+92-3832965294</t>
  </si>
  <si>
    <t>EMP0042</t>
  </si>
  <si>
    <t>Sheikh</t>
  </si>
  <si>
    <t>laiba.sheikh42@example.com</t>
  </si>
  <si>
    <t>+92-3535403847</t>
  </si>
  <si>
    <t>hira.sheikh43@example.com</t>
  </si>
  <si>
    <t>+92-3687038027</t>
  </si>
  <si>
    <t>EMP0044</t>
  </si>
  <si>
    <t>zain.malik44@example.com</t>
  </si>
  <si>
    <t>+92-3236818248</t>
  </si>
  <si>
    <t>taha.raza45@example.com</t>
  </si>
  <si>
    <t>+92-3680743002</t>
  </si>
  <si>
    <t>EMP0046</t>
  </si>
  <si>
    <t>noor.malik46@example.com</t>
  </si>
  <si>
    <t>+92-3452992691</t>
  </si>
  <si>
    <t>EMP0062</t>
  </si>
  <si>
    <t>EMP0047</t>
  </si>
  <si>
    <t>ali.sheikh47@example.com</t>
  </si>
  <si>
    <t>+92-3922134061</t>
  </si>
  <si>
    <t>EMP0086</t>
  </si>
  <si>
    <t>EMP0048</t>
  </si>
  <si>
    <t>omar.khan48@example.com</t>
  </si>
  <si>
    <t>+92-3760325994</t>
  </si>
  <si>
    <t>EMP0055</t>
  </si>
  <si>
    <t>sara.shah49@example.com</t>
  </si>
  <si>
    <t>+92-3576267357</t>
  </si>
  <si>
    <t>EMP0050</t>
  </si>
  <si>
    <t>laiba.khan50@example.com</t>
  </si>
  <si>
    <t>+92-3793923346</t>
  </si>
  <si>
    <t>EMP0098</t>
  </si>
  <si>
    <t>maryam.khan51@example.com</t>
  </si>
  <si>
    <t>+92-3689706905</t>
  </si>
  <si>
    <t>ayesha.sheikh52@example.com</t>
  </si>
  <si>
    <t>+92-3417068021</t>
  </si>
  <si>
    <t>zain.butt53@example.com</t>
  </si>
  <si>
    <t>+92-3290683283</t>
  </si>
  <si>
    <t>EMP0054</t>
  </si>
  <si>
    <t>bilal.ali54@example.com</t>
  </si>
  <si>
    <t>+92-3672454585</t>
  </si>
  <si>
    <t>EMP0091</t>
  </si>
  <si>
    <t>sara.sheikh55@example.com</t>
  </si>
  <si>
    <t>+92-3720970882</t>
  </si>
  <si>
    <t>EMP0056</t>
  </si>
  <si>
    <t>taha.ali56@example.com</t>
  </si>
  <si>
    <t>+92-3995878149</t>
  </si>
  <si>
    <t>EMP0057</t>
  </si>
  <si>
    <t>ahmed.farooq57@example.com</t>
  </si>
  <si>
    <t>+92-3989385133</t>
  </si>
  <si>
    <t>zain.sheikh58@example.com</t>
  </si>
  <si>
    <t>+92-3529161981</t>
  </si>
  <si>
    <t>EMP0059</t>
  </si>
  <si>
    <t>hira.qureshi59@example.com</t>
  </si>
  <si>
    <t>+92-3341963674</t>
  </si>
  <si>
    <t>EMP0060</t>
  </si>
  <si>
    <t>zain.raza60@example.com</t>
  </si>
  <si>
    <t>+92-3746760685</t>
  </si>
  <si>
    <t>EMP0061</t>
  </si>
  <si>
    <t>hassan.butt61@example.com</t>
  </si>
  <si>
    <t>+92-3561189181</t>
  </si>
  <si>
    <t>ali.ahmed62@example.com</t>
  </si>
  <si>
    <t>+92-3788638446</t>
  </si>
  <si>
    <t>EMP0065</t>
  </si>
  <si>
    <t>taha.hussain63@example.com</t>
  </si>
  <si>
    <t>+92-3543458391</t>
  </si>
  <si>
    <t>EMP0064</t>
  </si>
  <si>
    <t>ahmed.khan64@example.com</t>
  </si>
  <si>
    <t>+92-3150991670</t>
  </si>
  <si>
    <t>omar.malik65@example.com</t>
  </si>
  <si>
    <t>+92-3335340855</t>
  </si>
  <si>
    <t>EMP0066</t>
  </si>
  <si>
    <t>ayesha.hussain66@example.com</t>
  </si>
  <si>
    <t>+92-3991974354</t>
  </si>
  <si>
    <t>hira.hussain67@example.com</t>
  </si>
  <si>
    <t>+92-3761093209</t>
  </si>
  <si>
    <t>ali.khan68@example.com</t>
  </si>
  <si>
    <t>+92-3180497627</t>
  </si>
  <si>
    <t>EMP0069</t>
  </si>
  <si>
    <t>bilal.farooq69@example.com</t>
  </si>
  <si>
    <t>+92-3994734116</t>
  </si>
  <si>
    <t>EMP0082</t>
  </si>
  <si>
    <t>EMP0070</t>
  </si>
  <si>
    <t>omar.farooq70@example.com</t>
  </si>
  <si>
    <t>+92-3097254980</t>
  </si>
  <si>
    <t>zoya.hussain71@example.com</t>
  </si>
  <si>
    <t>+92-3476511845</t>
  </si>
  <si>
    <t>zoya.farooq72@example.com</t>
  </si>
  <si>
    <t>+92-3368462080</t>
  </si>
  <si>
    <t>zoya.butt73@example.com</t>
  </si>
  <si>
    <t>+92-3178857459</t>
  </si>
  <si>
    <t>omar.raza74@example.com</t>
  </si>
  <si>
    <t>+92-3794293432</t>
  </si>
  <si>
    <t>EMP0081</t>
  </si>
  <si>
    <t>EMP0075</t>
  </si>
  <si>
    <t>usman.shah75@example.com</t>
  </si>
  <si>
    <t>+92-3779897824</t>
  </si>
  <si>
    <t>taha.sheikh76@example.com</t>
  </si>
  <si>
    <t>+92-3845057340</t>
  </si>
  <si>
    <t>EMP0077</t>
  </si>
  <si>
    <t>usman.shah77@example.com</t>
  </si>
  <si>
    <t>+92-3632711147</t>
  </si>
  <si>
    <t>EMP0087</t>
  </si>
  <si>
    <t>EMP0078</t>
  </si>
  <si>
    <t>fatima.ali78@example.com</t>
  </si>
  <si>
    <t>+92-3945491310</t>
  </si>
  <si>
    <t>hassan.malik79@example.com</t>
  </si>
  <si>
    <t>+92-3442129000</t>
  </si>
  <si>
    <t>EMP0080</t>
  </si>
  <si>
    <t>ayesha.khan80@example.com</t>
  </si>
  <si>
    <t>+92-3168880433</t>
  </si>
  <si>
    <t>taha.hussain81@example.com</t>
  </si>
  <si>
    <t>+92-3339861201</t>
  </si>
  <si>
    <t>omar.shah82@example.com</t>
  </si>
  <si>
    <t>+92-3920768103</t>
  </si>
  <si>
    <t>taha.khan83@example.com</t>
  </si>
  <si>
    <t>+92-3385559113</t>
  </si>
  <si>
    <t>EMP0084</t>
  </si>
  <si>
    <t>omar.raza84@example.com</t>
  </si>
  <si>
    <t>+92-3434866357</t>
  </si>
  <si>
    <t>EMP0085</t>
  </si>
  <si>
    <t>ayesha.ali85@example.com</t>
  </si>
  <si>
    <t>+92-3427571911</t>
  </si>
  <si>
    <t>ahmed.butt86@example.com</t>
  </si>
  <si>
    <t>+92-3995177696</t>
  </si>
  <si>
    <t>iqra.raza87@example.com</t>
  </si>
  <si>
    <t>+92-3250465232</t>
  </si>
  <si>
    <t>EMP0093</t>
  </si>
  <si>
    <t>EMP0088</t>
  </si>
  <si>
    <t>hira.malik88@example.com</t>
  </si>
  <si>
    <t>+92-3342445209</t>
  </si>
  <si>
    <t>EMP0089</t>
  </si>
  <si>
    <t>danish.siddiqui89@example.com</t>
  </si>
  <si>
    <t>+92-3997790805</t>
  </si>
  <si>
    <t>EMP0090</t>
  </si>
  <si>
    <t>hassan.butt90@example.com</t>
  </si>
  <si>
    <t>+92-3723393682</t>
  </si>
  <si>
    <t>zain.shah91@example.com</t>
  </si>
  <si>
    <t>+92-3018783061</t>
  </si>
  <si>
    <t>sara.raza92@example.com</t>
  </si>
  <si>
    <t>+92-3743518579</t>
  </si>
  <si>
    <t>ali.ali93@example.com</t>
  </si>
  <si>
    <t>+92-3337028493</t>
  </si>
  <si>
    <t>zain.sheikh94@example.com</t>
  </si>
  <si>
    <t>+92-3045520491</t>
  </si>
  <si>
    <t>zoya.siddiqui95@example.com</t>
  </si>
  <si>
    <t>+92-3121651866</t>
  </si>
  <si>
    <t>EMP0096</t>
  </si>
  <si>
    <t>usman.butt96@example.com</t>
  </si>
  <si>
    <t>+92-3580067465</t>
  </si>
  <si>
    <t>EMP0097</t>
  </si>
  <si>
    <t>maryam.siddiqui97@example.com</t>
  </si>
  <si>
    <t>+92-3146911705</t>
  </si>
  <si>
    <t>hira.khan98@example.com</t>
  </si>
  <si>
    <t>+92-3721923226</t>
  </si>
  <si>
    <t>EMP0099</t>
  </si>
  <si>
    <t>laiba.ali99@example.com</t>
  </si>
  <si>
    <t>+92-3024469829</t>
  </si>
  <si>
    <t>EMP0100</t>
  </si>
  <si>
    <t>omar.raza100@example.com</t>
  </si>
  <si>
    <t>+92-3355041969</t>
  </si>
  <si>
    <t>Add 5 to A — '=A2+5</t>
  </si>
  <si>
    <t>Add 5 to B — '=B2+5</t>
  </si>
  <si>
    <t>Addition — '=A3+B3</t>
  </si>
  <si>
    <t>SUM 3 Cells — '=SUM(A3,B3,C3)</t>
  </si>
  <si>
    <t>SUM Range — '=SUM(A3:D3)</t>
  </si>
  <si>
    <t>SUM with Addition — '=SUM(D3+E3)</t>
  </si>
  <si>
    <t>SUM Separate Cells — '=SUM(D3,E3)</t>
  </si>
  <si>
    <t>Subtraction — '=E3-D3</t>
  </si>
  <si>
    <t>Multiplication — '=G3*H3</t>
  </si>
  <si>
    <t>PRODUCT — '=PRODUCT(G3:H3)</t>
  </si>
  <si>
    <t>Division — '=H3/G3</t>
  </si>
  <si>
    <t>AVERAGE — '=AVERAGE(G3:H3)</t>
  </si>
  <si>
    <t>MAXIMUM — '=MAX(A3:K3)</t>
  </si>
  <si>
    <t>MINIMUM — '=MIN(A3:M3)</t>
  </si>
  <si>
    <t>P.F</t>
  </si>
  <si>
    <t>OOP</t>
  </si>
  <si>
    <t>DSA</t>
  </si>
  <si>
    <t>O.S</t>
  </si>
  <si>
    <t>Count</t>
  </si>
  <si>
    <t>Counta</t>
  </si>
  <si>
    <t>Countblank</t>
  </si>
  <si>
    <t>ab</t>
  </si>
  <si>
    <t>Date</t>
  </si>
  <si>
    <t>Employee Name</t>
  </si>
  <si>
    <t>Sales (Rs.)</t>
  </si>
  <si>
    <t>Target (Rs.)</t>
  </si>
  <si>
    <t>Muhammad Ahmed</t>
  </si>
  <si>
    <t>Ayesha Khan</t>
  </si>
  <si>
    <t>Muhammad Hamza</t>
  </si>
  <si>
    <t>Fatima Ali</t>
  </si>
  <si>
    <t>Hassan Raza</t>
  </si>
  <si>
    <t>Sana Ahmed</t>
  </si>
  <si>
    <t>Usman Malik</t>
  </si>
  <si>
    <t>Zainab Siddiqui</t>
  </si>
  <si>
    <t>Bilal Hussain</t>
  </si>
  <si>
    <t>Maryam Sheikh</t>
  </si>
  <si>
    <t>Ali Abbas</t>
  </si>
  <si>
    <t>Hira Shah</t>
  </si>
  <si>
    <t>Abdullah Qureshi</t>
  </si>
  <si>
    <t>Iqra Javed</t>
  </si>
  <si>
    <t>Saad Farooq</t>
  </si>
  <si>
    <t>Maham Tariq</t>
  </si>
  <si>
    <t>Danish Iqbal</t>
  </si>
  <si>
    <t>Noor Fatima</t>
  </si>
  <si>
    <t>Fahad Mustafa</t>
  </si>
  <si>
    <t>Laiba Aslam</t>
  </si>
  <si>
    <t>Omar Siddiqui</t>
  </si>
  <si>
    <t>Khadija Noor</t>
  </si>
  <si>
    <t>Talha Anwar</t>
  </si>
  <si>
    <t>Rabia Khalid</t>
  </si>
  <si>
    <t>Ahmad Raza</t>
  </si>
  <si>
    <t>Sidra Imran</t>
  </si>
  <si>
    <t>Taha Yousuf</t>
  </si>
  <si>
    <t>Amna Zahid</t>
  </si>
  <si>
    <t>Shahzaib Akhtar</t>
  </si>
  <si>
    <t>Minal Arif</t>
  </si>
  <si>
    <t>Muneeb Ahmed</t>
  </si>
  <si>
    <t>Eman Zahra</t>
  </si>
  <si>
    <t>Shayan Khan</t>
  </si>
  <si>
    <t>Sadia Bibi</t>
  </si>
  <si>
    <t>Farhan Ali</t>
  </si>
  <si>
    <t>Mehwish Raza</t>
  </si>
  <si>
    <t>Adeel Hussain</t>
  </si>
  <si>
    <t>Anum Fatima</t>
  </si>
  <si>
    <t>Rizwan Haider</t>
  </si>
  <si>
    <t>Mahnoor Asif</t>
  </si>
  <si>
    <t>Ibrahim Shah</t>
  </si>
  <si>
    <t>Nimra Khalid</t>
  </si>
  <si>
    <t>Arsalan Javed</t>
  </si>
  <si>
    <t>Hafsa Tariq</t>
  </si>
  <si>
    <t>Sameer Iqbal</t>
  </si>
  <si>
    <t>Zoya Ahmed</t>
  </si>
  <si>
    <t>Kamran Yousuf</t>
  </si>
  <si>
    <t>Alina Saeed</t>
  </si>
  <si>
    <t>Waleed Akram</t>
  </si>
  <si>
    <t>Sehrish Malik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</si>
</sst>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[$PKR]\ #,##0.00"/>
    <numFmt numFmtId="166" formatCode="dd/mm/yyyy"/>
    <numFmt numFmtId="167" formatCode="&quot;Rs. &quot;#,##0"/>
    <numFmt numFmtId="168" formatCode="&quot;Rs.&quot;\ #,##0"/>
  </numFmts>
  <fonts count="9" x14ac:knownFonts="1">
    <font>
      <sz val="11"/>
      <color theme="1"/>
      <name val="Calibri"/>
      <family val="2"/>
      <scheme val="minor"/>
    </font>
    <font>
      <b/>
      <sz val="11"/>
      <color theme="2"/>
      <name val="Arial Narrow"/>
      <family val="2"/>
    </font>
    <font>
      <b/>
      <sz val="16"/>
      <color theme="2"/>
      <name val="Arial Narrow"/>
      <family val="2"/>
    </font>
    <font>
      <sz val="16"/>
      <color theme="1"/>
      <name val="Calibri"/>
      <family val="2"/>
      <scheme val="minor"/>
    </font>
    <font>
      <b/>
      <sz val="22"/>
      <color theme="2"/>
      <name val="Arial Narrow"/>
      <family val="2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64A20"/>
      </patternFill>
    </fill>
  </fills>
  <borders count="23">
    <border>
      <left/>
      <right/>
      <top/>
      <bottom/>
      <diagonal/>
    </border>
    <border>
      <left style="thick">
        <color theme="3"/>
      </left>
      <right style="thick">
        <color theme="2" tint="-0.499984740745262"/>
      </right>
      <top style="thick">
        <color theme="3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3"/>
      </top>
      <bottom style="thick">
        <color theme="2" tint="-0.499984740745262"/>
      </bottom>
      <diagonal/>
    </border>
    <border>
      <left style="thick">
        <color theme="3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double">
        <color theme="4"/>
      </left>
      <right style="double">
        <color theme="2" tint="-0.499984740745262"/>
      </right>
      <top style="double">
        <color theme="2" tint="-0.499984740745262"/>
      </top>
      <bottom style="double">
        <color theme="2" tint="-0.499984740745262"/>
      </bottom>
      <diagonal/>
    </border>
    <border>
      <left style="double">
        <color theme="2" tint="-0.499984740745262"/>
      </left>
      <right style="double">
        <color theme="2" tint="-0.499984740745262"/>
      </right>
      <top style="double">
        <color theme="2" tint="-0.499984740745262"/>
      </top>
      <bottom style="double">
        <color theme="2" tint="-0.499984740745262"/>
      </bottom>
      <diagonal/>
    </border>
    <border>
      <left style="thick">
        <color theme="2" tint="-0.499984740745262"/>
      </left>
      <right style="double">
        <color theme="2" tint="-0.499984740745262"/>
      </right>
      <top style="thick">
        <color theme="2" tint="-0.499984740745262"/>
      </top>
      <bottom style="double">
        <color theme="2" tint="-0.499984740745262"/>
      </bottom>
      <diagonal/>
    </border>
    <border>
      <left style="double">
        <color theme="2" tint="-0.499984740745262"/>
      </left>
      <right style="double">
        <color theme="2" tint="-0.499984740745262"/>
      </right>
      <top style="thick">
        <color theme="2" tint="-0.499984740745262"/>
      </top>
      <bottom style="double">
        <color theme="2" tint="-0.499984740745262"/>
      </bottom>
      <diagonal/>
    </border>
    <border>
      <left style="double">
        <color theme="2" tint="-0.499984740745262"/>
      </left>
      <right style="thick">
        <color theme="2" tint="-0.499984740745262"/>
      </right>
      <top style="thick">
        <color theme="2" tint="-0.499984740745262"/>
      </top>
      <bottom style="double">
        <color theme="2" tint="-0.499984740745262"/>
      </bottom>
      <diagonal/>
    </border>
    <border>
      <left style="thick">
        <color theme="2" tint="-0.499984740745262"/>
      </left>
      <right style="double">
        <color theme="2" tint="-0.499984740745262"/>
      </right>
      <top style="double">
        <color theme="2" tint="-0.499984740745262"/>
      </top>
      <bottom style="double">
        <color theme="2" tint="-0.499984740745262"/>
      </bottom>
      <diagonal/>
    </border>
    <border>
      <left style="double">
        <color theme="2" tint="-0.499984740745262"/>
      </left>
      <right style="thick">
        <color theme="2" tint="-0.499984740745262"/>
      </right>
      <top style="double">
        <color theme="2" tint="-0.499984740745262"/>
      </top>
      <bottom style="double">
        <color theme="2" tint="-0.499984740745262"/>
      </bottom>
      <diagonal/>
    </border>
    <border>
      <left style="thick">
        <color theme="2" tint="-0.499984740745262"/>
      </left>
      <right style="double">
        <color theme="2" tint="-0.499984740745262"/>
      </right>
      <top style="double">
        <color theme="2" tint="-0.499984740745262"/>
      </top>
      <bottom style="thick">
        <color theme="2" tint="-0.499984740745262"/>
      </bottom>
      <diagonal/>
    </border>
    <border>
      <left style="double">
        <color theme="2" tint="-0.499984740745262"/>
      </left>
      <right style="double">
        <color theme="2" tint="-0.499984740745262"/>
      </right>
      <top style="double">
        <color theme="2" tint="-0.499984740745262"/>
      </top>
      <bottom style="thick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vertical="top"/>
    </xf>
    <xf numFmtId="165" fontId="1" fillId="2" borderId="6" xfId="0" applyNumberFormat="1" applyFont="1" applyFill="1" applyBorder="1" applyAlignment="1">
      <alignment horizontal="center" vertical="top"/>
    </xf>
    <xf numFmtId="166" fontId="1" fillId="2" borderId="6" xfId="0" applyNumberFormat="1" applyFont="1" applyFill="1" applyBorder="1" applyAlignment="1">
      <alignment horizontal="center" vertical="top"/>
    </xf>
    <xf numFmtId="0" fontId="1" fillId="2" borderId="6" xfId="0" applyFont="1" applyFill="1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/>
    <xf numFmtId="165" fontId="0" fillId="0" borderId="6" xfId="0" applyNumberFormat="1" applyBorder="1"/>
    <xf numFmtId="166" fontId="0" fillId="0" borderId="6" xfId="0" applyNumberFormat="1" applyBorder="1"/>
    <xf numFmtId="164" fontId="0" fillId="0" borderId="6" xfId="0" applyNumberFormat="1" applyBorder="1"/>
    <xf numFmtId="0" fontId="0" fillId="0" borderId="6" xfId="0" applyBorder="1" applyAlignment="1">
      <alignment vertical="top"/>
    </xf>
    <xf numFmtId="0" fontId="4" fillId="2" borderId="7" xfId="0" applyFont="1" applyFill="1" applyBorder="1" applyAlignment="1">
      <alignment horizontal="center" vertical="top"/>
    </xf>
    <xf numFmtId="0" fontId="5" fillId="0" borderId="0" xfId="0" applyFont="1" applyBorder="1"/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68" fontId="0" fillId="0" borderId="0" xfId="0" applyNumberFormat="1"/>
    <xf numFmtId="0" fontId="0" fillId="0" borderId="14" xfId="0" applyBorder="1" applyAlignment="1"/>
    <xf numFmtId="168" fontId="0" fillId="0" borderId="14" xfId="0" applyNumberFormat="1" applyBorder="1" applyAlignment="1"/>
    <xf numFmtId="0" fontId="0" fillId="0" borderId="15" xfId="0" applyBorder="1" applyAlignment="1"/>
    <xf numFmtId="168" fontId="0" fillId="0" borderId="15" xfId="0" applyNumberFormat="1" applyBorder="1" applyAlignment="1"/>
    <xf numFmtId="0" fontId="8" fillId="3" borderId="16" xfId="0" applyFont="1" applyFill="1" applyBorder="1" applyAlignment="1"/>
    <xf numFmtId="0" fontId="7" fillId="3" borderId="17" xfId="0" applyFont="1" applyFill="1" applyBorder="1" applyAlignment="1"/>
    <xf numFmtId="168" fontId="7" fillId="3" borderId="17" xfId="0" applyNumberFormat="1" applyFont="1" applyFill="1" applyBorder="1" applyAlignment="1"/>
    <xf numFmtId="0" fontId="7" fillId="3" borderId="18" xfId="0" applyFont="1" applyFill="1" applyBorder="1" applyAlignment="1"/>
    <xf numFmtId="167" fontId="0" fillId="0" borderId="20" xfId="0" applyNumberFormat="1" applyBorder="1" applyAlignment="1"/>
    <xf numFmtId="14" fontId="0" fillId="0" borderId="19" xfId="0" applyNumberFormat="1" applyBorder="1" applyAlignment="1"/>
    <xf numFmtId="14" fontId="0" fillId="0" borderId="21" xfId="0" applyNumberFormat="1" applyBorder="1" applyAlignment="1"/>
    <xf numFmtId="167" fontId="0" fillId="0" borderId="22" xfId="0" applyNumberFormat="1" applyBorder="1" applyAlignment="1"/>
    <xf numFmtId="166" fontId="0" fillId="0" borderId="19" xfId="0" applyNumberFormat="1" applyBorder="1" applyAlignment="1"/>
    <xf numFmtId="14" fontId="0" fillId="0" borderId="0" xfId="0" applyNumberFormat="1" applyBorder="1" applyAlignment="1"/>
    <xf numFmtId="0" fontId="0" fillId="0" borderId="0" xfId="0" applyBorder="1" applyAlignment="1"/>
    <xf numFmtId="168" fontId="0" fillId="0" borderId="0" xfId="0" applyNumberFormat="1" applyBorder="1" applyAlignment="1"/>
    <xf numFmtId="167" fontId="0" fillId="0" borderId="0" xfId="0" applyNumberFormat="1" applyBorder="1" applyAlignment="1"/>
    <xf numFmtId="0" fontId="8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168" fontId="7" fillId="3" borderId="17" xfId="0" applyNumberFormat="1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167" fontId="0" fillId="0" borderId="20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8" fontId="0" fillId="0" borderId="15" xfId="0" applyNumberFormat="1" applyBorder="1" applyAlignment="1">
      <alignment horizontal="center"/>
    </xf>
    <xf numFmtId="167" fontId="0" fillId="0" borderId="22" xfId="0" applyNumberFormat="1" applyBorder="1" applyAlignment="1">
      <alignment horizontal="center"/>
    </xf>
  </cellXfs>
  <cellStyles count="1">
    <cellStyle name="Normal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2"/>
      </font>
      <fill>
        <patternFill>
          <bgColor rgb="FFFF0000"/>
        </patternFill>
      </fill>
    </dxf>
    <dxf>
      <font>
        <b/>
        <i val="0"/>
        <color theme="2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2"/>
      </font>
      <fill>
        <patternFill>
          <bgColor rgb="FFFF0000"/>
        </patternFill>
      </fill>
    </dxf>
    <dxf>
      <font>
        <b/>
        <i val="0"/>
        <color theme="2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2"/>
      </font>
      <fill>
        <patternFill>
          <bgColor rgb="FFFF0000"/>
        </patternFill>
      </fill>
    </dxf>
    <dxf>
      <font>
        <b/>
        <i val="0"/>
        <color theme="2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2"/>
      </font>
      <fill>
        <patternFill>
          <bgColor rgb="FFFF0000"/>
        </patternFill>
      </fill>
    </dxf>
    <dxf>
      <font>
        <b/>
        <i val="0"/>
        <color theme="2"/>
      </font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2E7867-F6FB-4E99-90AB-B3D6FC5DD7A3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d68953c5-6118-45d0-8c7e-db6211ef9f7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2"/>
  <sheetViews>
    <sheetView topLeftCell="A88" zoomScale="145" zoomScaleNormal="145" workbookViewId="0">
      <selection activeCell="B1" sqref="B1:B101"/>
    </sheetView>
  </sheetViews>
  <sheetFormatPr defaultRowHeight="16.5" thickTop="1" thickBottom="1" x14ac:dyDescent="0.3"/>
  <cols>
    <col min="1" max="1" width="12.42578125" style="13" bestFit="1" customWidth="1"/>
    <col min="2" max="2" width="10.85546875" style="14" bestFit="1" customWidth="1"/>
    <col min="3" max="3" width="10.5703125" style="14" bestFit="1" customWidth="1"/>
    <col min="4" max="4" width="4.42578125" style="14" bestFit="1" customWidth="1"/>
    <col min="5" max="5" width="7.5703125" style="14" bestFit="1" customWidth="1"/>
    <col min="6" max="6" width="10.85546875" style="14" bestFit="1" customWidth="1"/>
    <col min="7" max="7" width="17.28515625" style="14" customWidth="1"/>
    <col min="8" max="8" width="11.5703125" style="14" bestFit="1" customWidth="1"/>
    <col min="9" max="9" width="18.5703125" style="14" bestFit="1" customWidth="1"/>
    <col min="10" max="10" width="12.7109375" style="14" bestFit="1" customWidth="1"/>
    <col min="11" max="11" width="16.5703125" style="15" bestFit="1" customWidth="1"/>
    <col min="12" max="12" width="19.5703125" style="16" bestFit="1" customWidth="1"/>
    <col min="13" max="13" width="11.140625" style="17" bestFit="1" customWidth="1"/>
    <col min="14" max="14" width="12.85546875" style="14" bestFit="1" customWidth="1"/>
    <col min="15" max="15" width="32.42578125" style="14" bestFit="1" customWidth="1"/>
    <col min="16" max="16" width="15.5703125" style="14" bestFit="1" customWidth="1"/>
    <col min="17" max="17" width="11.42578125" style="14" bestFit="1" customWidth="1"/>
    <col min="18" max="18" width="18.28515625" style="14" bestFit="1" customWidth="1"/>
    <col min="19" max="19" width="18.7109375" style="14" bestFit="1" customWidth="1"/>
    <col min="20" max="20" width="15.28515625" style="14" bestFit="1" customWidth="1"/>
    <col min="21" max="21" width="19" style="14" bestFit="1" customWidth="1"/>
    <col min="22" max="22" width="23.42578125" style="14" bestFit="1" customWidth="1"/>
    <col min="23" max="23" width="14.85546875" style="14" bestFit="1" customWidth="1"/>
    <col min="24" max="24" width="17" style="14" bestFit="1" customWidth="1"/>
    <col min="25" max="25" width="13.140625" style="14" bestFit="1" customWidth="1"/>
    <col min="26" max="26" width="13.7109375" style="14" bestFit="1" customWidth="1"/>
    <col min="27" max="27" width="11.42578125" style="14" bestFit="1" customWidth="1"/>
    <col min="28" max="28" width="16.7109375" style="14" bestFit="1" customWidth="1"/>
    <col min="29" max="29" width="17.7109375" style="14" bestFit="1" customWidth="1"/>
    <col min="30" max="30" width="12.140625" style="14" bestFit="1" customWidth="1"/>
    <col min="31" max="31" width="10.5703125" style="14" bestFit="1" customWidth="1"/>
    <col min="32" max="32" width="19.28515625" style="14" bestFit="1" customWidth="1"/>
    <col min="33" max="34" width="10.7109375" style="14" bestFit="1" customWidth="1"/>
    <col min="35" max="35" width="14.140625" style="14" bestFit="1" customWidth="1"/>
    <col min="36" max="36" width="16.140625" style="14" bestFit="1" customWidth="1"/>
    <col min="37" max="37" width="7.42578125" style="14" bestFit="1" customWidth="1"/>
    <col min="38" max="38" width="16.28515625" style="14" bestFit="1" customWidth="1"/>
    <col min="39" max="39" width="16.5703125" style="14" bestFit="1" customWidth="1"/>
    <col min="40" max="40" width="12.140625" style="14" bestFit="1" customWidth="1"/>
    <col min="41" max="16384" width="9.140625" style="14"/>
  </cols>
  <sheetData>
    <row r="1" spans="1:40" s="12" customFormat="1" ht="18" thickTop="1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</row>
    <row r="2" spans="1:40" thickTop="1" thickBot="1" x14ac:dyDescent="0.3">
      <c r="A2" s="13" t="s">
        <v>40</v>
      </c>
      <c r="B2" s="14" t="s">
        <v>41</v>
      </c>
      <c r="C2" s="14" t="s">
        <v>42</v>
      </c>
      <c r="D2" s="14">
        <v>27</v>
      </c>
      <c r="E2" s="14" t="s">
        <v>43</v>
      </c>
      <c r="F2" s="14" t="s">
        <v>44</v>
      </c>
      <c r="G2" s="14" t="s">
        <v>45</v>
      </c>
      <c r="H2" s="14" t="s">
        <v>46</v>
      </c>
      <c r="I2" s="14" t="s">
        <v>47</v>
      </c>
      <c r="J2" s="14" t="s">
        <v>48</v>
      </c>
      <c r="K2" s="15">
        <v>13</v>
      </c>
      <c r="L2" s="16">
        <v>144621</v>
      </c>
      <c r="M2" s="17">
        <v>45729</v>
      </c>
      <c r="N2" s="18">
        <v>31826</v>
      </c>
      <c r="O2" s="14" t="s">
        <v>49</v>
      </c>
      <c r="P2" s="14" t="s">
        <v>50</v>
      </c>
      <c r="Q2" s="14" t="s">
        <v>51</v>
      </c>
      <c r="R2" s="14">
        <v>1.5</v>
      </c>
      <c r="S2" s="14">
        <v>76.7</v>
      </c>
      <c r="T2" s="14">
        <v>3</v>
      </c>
      <c r="U2" s="14">
        <v>207974</v>
      </c>
      <c r="V2" s="14">
        <v>1331970</v>
      </c>
      <c r="W2" s="14">
        <v>28</v>
      </c>
      <c r="X2" s="14">
        <v>1</v>
      </c>
      <c r="Y2" s="14" t="s">
        <v>52</v>
      </c>
      <c r="Z2" s="14" t="s">
        <v>53</v>
      </c>
      <c r="AA2" s="14">
        <v>5</v>
      </c>
      <c r="AB2" s="14">
        <v>4</v>
      </c>
      <c r="AC2" s="14">
        <v>2.7</v>
      </c>
      <c r="AD2" s="14" t="s">
        <v>54</v>
      </c>
      <c r="AE2" s="14">
        <v>60</v>
      </c>
      <c r="AF2" s="14">
        <v>222001</v>
      </c>
      <c r="AG2" s="14">
        <v>153368.45000000001</v>
      </c>
      <c r="AH2" s="14">
        <v>68632.55</v>
      </c>
      <c r="AI2" s="14" t="s">
        <v>55</v>
      </c>
      <c r="AJ2" s="14" t="s">
        <v>56</v>
      </c>
      <c r="AK2" s="14" t="s">
        <v>57</v>
      </c>
      <c r="AL2" s="14">
        <v>1.4</v>
      </c>
      <c r="AM2" s="14">
        <v>17.100000000000001</v>
      </c>
      <c r="AN2" s="18">
        <v>45850</v>
      </c>
    </row>
    <row r="3" spans="1:40" thickTop="1" thickBot="1" x14ac:dyDescent="0.3">
      <c r="A3" s="13" t="s">
        <v>58</v>
      </c>
      <c r="B3" s="14" t="s">
        <v>59</v>
      </c>
      <c r="C3" s="14" t="s">
        <v>60</v>
      </c>
      <c r="D3" s="14">
        <v>34</v>
      </c>
      <c r="E3" s="14" t="s">
        <v>43</v>
      </c>
      <c r="F3" s="14" t="s">
        <v>61</v>
      </c>
      <c r="G3" s="14" t="s">
        <v>62</v>
      </c>
      <c r="H3" s="14" t="s">
        <v>63</v>
      </c>
      <c r="I3" s="14" t="s">
        <v>64</v>
      </c>
      <c r="J3" s="14" t="s">
        <v>65</v>
      </c>
      <c r="K3" s="15">
        <v>29</v>
      </c>
      <c r="L3" s="16">
        <v>153799</v>
      </c>
      <c r="M3" s="17">
        <v>46028</v>
      </c>
      <c r="N3" s="18">
        <v>32624</v>
      </c>
      <c r="O3" s="14" t="s">
        <v>66</v>
      </c>
      <c r="P3" s="14" t="s">
        <v>67</v>
      </c>
      <c r="Q3" s="14" t="s">
        <v>68</v>
      </c>
      <c r="R3" s="14">
        <v>3.3</v>
      </c>
      <c r="S3" s="14">
        <v>85.8</v>
      </c>
      <c r="T3" s="14">
        <v>21</v>
      </c>
      <c r="U3" s="14">
        <v>235318</v>
      </c>
      <c r="V3" s="14">
        <v>5330794</v>
      </c>
      <c r="W3" s="14">
        <v>77</v>
      </c>
      <c r="X3" s="14">
        <v>2</v>
      </c>
      <c r="Y3" s="14" t="s">
        <v>69</v>
      </c>
      <c r="Z3" s="14" t="s">
        <v>70</v>
      </c>
      <c r="AA3" s="14">
        <v>37</v>
      </c>
      <c r="AB3" s="14">
        <v>3</v>
      </c>
      <c r="AC3" s="14">
        <v>1.7</v>
      </c>
      <c r="AD3" s="14" t="s">
        <v>71</v>
      </c>
      <c r="AE3" s="14">
        <v>77</v>
      </c>
      <c r="AF3" s="14">
        <v>302175</v>
      </c>
      <c r="AG3" s="14">
        <v>215596.12</v>
      </c>
      <c r="AH3" s="14">
        <v>86578.880000000005</v>
      </c>
      <c r="AI3" s="14" t="s">
        <v>72</v>
      </c>
      <c r="AJ3" s="14" t="s">
        <v>73</v>
      </c>
      <c r="AK3" s="14" t="s">
        <v>74</v>
      </c>
      <c r="AL3" s="14">
        <v>4.8</v>
      </c>
      <c r="AM3" s="14">
        <v>2.2999999999999998</v>
      </c>
      <c r="AN3" s="18">
        <v>46229</v>
      </c>
    </row>
    <row r="4" spans="1:40" thickTop="1" thickBot="1" x14ac:dyDescent="0.3">
      <c r="A4" s="13" t="s">
        <v>75</v>
      </c>
      <c r="B4" s="14" t="s">
        <v>76</v>
      </c>
      <c r="C4" s="14" t="s">
        <v>77</v>
      </c>
      <c r="D4" s="14">
        <v>50</v>
      </c>
      <c r="E4" s="14" t="s">
        <v>78</v>
      </c>
      <c r="F4" s="14" t="s">
        <v>79</v>
      </c>
      <c r="G4" s="14" t="s">
        <v>80</v>
      </c>
      <c r="H4" s="14" t="s">
        <v>81</v>
      </c>
      <c r="I4" s="14" t="s">
        <v>47</v>
      </c>
      <c r="J4" s="14" t="s">
        <v>48</v>
      </c>
      <c r="K4" s="15">
        <v>23</v>
      </c>
      <c r="L4" s="16">
        <v>218891</v>
      </c>
      <c r="M4" s="17">
        <v>45975</v>
      </c>
      <c r="N4" s="18">
        <v>36821</v>
      </c>
      <c r="O4" s="14" t="s">
        <v>82</v>
      </c>
      <c r="P4" s="14" t="s">
        <v>83</v>
      </c>
      <c r="Q4" s="14" t="s">
        <v>84</v>
      </c>
      <c r="R4" s="14">
        <v>2.54</v>
      </c>
      <c r="S4" s="14">
        <v>90.1</v>
      </c>
      <c r="T4" s="14">
        <v>1</v>
      </c>
      <c r="U4" s="14">
        <v>242061</v>
      </c>
      <c r="V4" s="14">
        <v>6463698</v>
      </c>
      <c r="W4" s="14">
        <v>21</v>
      </c>
      <c r="X4" s="14">
        <v>19</v>
      </c>
      <c r="Y4" s="14" t="s">
        <v>69</v>
      </c>
      <c r="Z4" s="14" t="s">
        <v>70</v>
      </c>
      <c r="AA4" s="14">
        <v>39</v>
      </c>
      <c r="AB4" s="14">
        <v>31</v>
      </c>
      <c r="AC4" s="14">
        <v>1.2</v>
      </c>
      <c r="AD4" s="14" t="s">
        <v>85</v>
      </c>
      <c r="AE4" s="14">
        <v>66</v>
      </c>
      <c r="AF4" s="14">
        <v>193322</v>
      </c>
      <c r="AG4" s="14">
        <v>136728.78</v>
      </c>
      <c r="AH4" s="14">
        <v>56593.22</v>
      </c>
      <c r="AI4" s="14" t="s">
        <v>86</v>
      </c>
      <c r="AJ4" s="14" t="s">
        <v>73</v>
      </c>
      <c r="AK4" s="14" t="s">
        <v>87</v>
      </c>
      <c r="AL4" s="14">
        <v>4.7</v>
      </c>
      <c r="AM4" s="14">
        <v>14.9</v>
      </c>
      <c r="AN4" s="18">
        <v>45828</v>
      </c>
    </row>
    <row r="5" spans="1:40" thickTop="1" thickBot="1" x14ac:dyDescent="0.3">
      <c r="A5" s="13" t="s">
        <v>88</v>
      </c>
      <c r="B5" s="14" t="s">
        <v>89</v>
      </c>
      <c r="C5" s="14" t="s">
        <v>90</v>
      </c>
      <c r="D5" s="14">
        <v>38</v>
      </c>
      <c r="E5" s="14" t="s">
        <v>91</v>
      </c>
      <c r="F5" s="14" t="s">
        <v>92</v>
      </c>
      <c r="G5" s="14" t="s">
        <v>93</v>
      </c>
      <c r="H5" s="14" t="s">
        <v>94</v>
      </c>
      <c r="I5" s="14" t="s">
        <v>95</v>
      </c>
      <c r="J5" s="14" t="s">
        <v>96</v>
      </c>
      <c r="K5" s="15">
        <v>2</v>
      </c>
      <c r="L5" s="16">
        <v>81194</v>
      </c>
      <c r="M5" s="17">
        <v>45812</v>
      </c>
      <c r="N5" s="18">
        <v>32089</v>
      </c>
      <c r="O5" s="14" t="s">
        <v>97</v>
      </c>
      <c r="P5" s="14" t="s">
        <v>98</v>
      </c>
      <c r="Q5" s="14" t="s">
        <v>99</v>
      </c>
      <c r="R5" s="14">
        <v>1.73</v>
      </c>
      <c r="S5" s="14">
        <v>78.5</v>
      </c>
      <c r="T5" s="14">
        <v>9</v>
      </c>
      <c r="U5" s="14">
        <v>219648</v>
      </c>
      <c r="V5" s="14">
        <v>9468948</v>
      </c>
      <c r="W5" s="14">
        <v>47</v>
      </c>
      <c r="X5" s="14">
        <v>19</v>
      </c>
      <c r="Y5" s="14" t="s">
        <v>100</v>
      </c>
      <c r="Z5" s="14" t="s">
        <v>101</v>
      </c>
      <c r="AA5" s="14">
        <v>9</v>
      </c>
      <c r="AB5" s="14">
        <v>6</v>
      </c>
      <c r="AC5" s="14">
        <v>3.8</v>
      </c>
      <c r="AD5" s="14" t="s">
        <v>54</v>
      </c>
      <c r="AE5" s="14">
        <v>486</v>
      </c>
      <c r="AF5" s="14">
        <v>303064</v>
      </c>
      <c r="AG5" s="14">
        <v>167533.92000000001</v>
      </c>
      <c r="AH5" s="14">
        <v>135530.07999999999</v>
      </c>
      <c r="AI5" s="14" t="s">
        <v>102</v>
      </c>
      <c r="AJ5" s="14" t="s">
        <v>73</v>
      </c>
      <c r="AK5" s="14" t="s">
        <v>103</v>
      </c>
      <c r="AL5" s="14">
        <v>2.6</v>
      </c>
      <c r="AM5" s="14">
        <v>12</v>
      </c>
      <c r="AN5" s="18">
        <v>45764</v>
      </c>
    </row>
    <row r="6" spans="1:40" thickTop="1" thickBot="1" x14ac:dyDescent="0.3">
      <c r="A6" s="13" t="s">
        <v>104</v>
      </c>
      <c r="B6" s="14" t="s">
        <v>105</v>
      </c>
      <c r="C6" s="14" t="s">
        <v>106</v>
      </c>
      <c r="D6" s="14">
        <v>49</v>
      </c>
      <c r="E6" s="14" t="s">
        <v>78</v>
      </c>
      <c r="F6" s="14" t="s">
        <v>79</v>
      </c>
      <c r="G6" s="14" t="s">
        <v>93</v>
      </c>
      <c r="H6" s="14" t="s">
        <v>107</v>
      </c>
      <c r="I6" s="14" t="s">
        <v>47</v>
      </c>
      <c r="J6" s="14" t="s">
        <v>48</v>
      </c>
      <c r="K6" s="15">
        <v>18</v>
      </c>
      <c r="L6" s="16">
        <v>74653</v>
      </c>
      <c r="M6" s="17">
        <v>46207</v>
      </c>
      <c r="N6" s="18">
        <v>30487</v>
      </c>
      <c r="O6" s="14" t="s">
        <v>108</v>
      </c>
      <c r="P6" s="14" t="s">
        <v>109</v>
      </c>
      <c r="Q6" s="14" t="s">
        <v>110</v>
      </c>
      <c r="R6" s="14">
        <v>3.46</v>
      </c>
      <c r="S6" s="14">
        <v>74.5</v>
      </c>
      <c r="T6" s="14">
        <v>16</v>
      </c>
      <c r="U6" s="14">
        <v>182132</v>
      </c>
      <c r="V6" s="14">
        <v>10604568</v>
      </c>
      <c r="W6" s="14">
        <v>46</v>
      </c>
      <c r="X6" s="14">
        <v>15</v>
      </c>
      <c r="Y6" s="14" t="s">
        <v>69</v>
      </c>
      <c r="Z6" s="14" t="s">
        <v>111</v>
      </c>
      <c r="AA6" s="14">
        <v>5</v>
      </c>
      <c r="AB6" s="14">
        <v>1</v>
      </c>
      <c r="AC6" s="14">
        <v>4.4000000000000004</v>
      </c>
      <c r="AD6" s="14" t="s">
        <v>112</v>
      </c>
      <c r="AE6" s="14">
        <v>245</v>
      </c>
      <c r="AF6" s="14">
        <v>224947</v>
      </c>
      <c r="AG6" s="14">
        <v>106407.06</v>
      </c>
      <c r="AH6" s="14">
        <v>118539.94</v>
      </c>
      <c r="AI6" s="14" t="s">
        <v>72</v>
      </c>
      <c r="AJ6" s="14" t="s">
        <v>113</v>
      </c>
      <c r="AK6" s="14" t="s">
        <v>74</v>
      </c>
      <c r="AL6" s="14">
        <v>1.6</v>
      </c>
      <c r="AM6" s="14">
        <v>22.5</v>
      </c>
      <c r="AN6" s="18">
        <v>45929</v>
      </c>
    </row>
    <row r="7" spans="1:40" thickTop="1" thickBot="1" x14ac:dyDescent="0.3">
      <c r="A7" s="13" t="s">
        <v>114</v>
      </c>
      <c r="B7" s="14" t="s">
        <v>105</v>
      </c>
      <c r="C7" s="14" t="s">
        <v>115</v>
      </c>
      <c r="D7" s="14">
        <v>44</v>
      </c>
      <c r="E7" s="14" t="s">
        <v>78</v>
      </c>
      <c r="F7" s="14" t="s">
        <v>61</v>
      </c>
      <c r="G7" s="14" t="s">
        <v>45</v>
      </c>
      <c r="H7" s="14" t="s">
        <v>116</v>
      </c>
      <c r="I7" s="14" t="s">
        <v>47</v>
      </c>
      <c r="J7" s="14" t="s">
        <v>117</v>
      </c>
      <c r="K7" s="15">
        <v>16</v>
      </c>
      <c r="L7" s="16">
        <v>131128</v>
      </c>
      <c r="M7" s="17">
        <v>45829</v>
      </c>
      <c r="N7" s="18">
        <v>33346</v>
      </c>
      <c r="O7" s="14" t="s">
        <v>118</v>
      </c>
      <c r="P7" s="14" t="s">
        <v>119</v>
      </c>
      <c r="Q7" s="14" t="s">
        <v>120</v>
      </c>
      <c r="R7" s="14">
        <v>3.55</v>
      </c>
      <c r="S7" s="14">
        <v>88.4</v>
      </c>
      <c r="T7" s="14">
        <v>12</v>
      </c>
      <c r="U7" s="14">
        <v>125508</v>
      </c>
      <c r="V7" s="14">
        <v>14229348</v>
      </c>
      <c r="W7" s="14">
        <v>51</v>
      </c>
      <c r="X7" s="14">
        <v>23</v>
      </c>
      <c r="Y7" s="14" t="s">
        <v>121</v>
      </c>
      <c r="Z7" s="14" t="s">
        <v>101</v>
      </c>
      <c r="AA7" s="14">
        <v>14</v>
      </c>
      <c r="AB7" s="14">
        <v>8</v>
      </c>
      <c r="AC7" s="14">
        <v>3.1</v>
      </c>
      <c r="AD7" s="14" t="s">
        <v>71</v>
      </c>
      <c r="AE7" s="14">
        <v>374</v>
      </c>
      <c r="AF7" s="14">
        <v>99640</v>
      </c>
      <c r="AG7" s="14">
        <v>63873.599999999999</v>
      </c>
      <c r="AH7" s="14">
        <v>35766.400000000001</v>
      </c>
      <c r="AI7" s="14" t="s">
        <v>102</v>
      </c>
      <c r="AJ7" s="14" t="s">
        <v>122</v>
      </c>
      <c r="AK7" s="14" t="s">
        <v>123</v>
      </c>
      <c r="AL7" s="14">
        <v>2.9</v>
      </c>
      <c r="AM7" s="14">
        <v>5.8</v>
      </c>
      <c r="AN7" s="18">
        <v>46277</v>
      </c>
    </row>
    <row r="8" spans="1:40" thickTop="1" thickBot="1" x14ac:dyDescent="0.3">
      <c r="A8" s="13" t="s">
        <v>124</v>
      </c>
      <c r="B8" s="14" t="s">
        <v>59</v>
      </c>
      <c r="C8" s="14" t="s">
        <v>125</v>
      </c>
      <c r="D8" s="14">
        <v>26</v>
      </c>
      <c r="E8" s="14" t="s">
        <v>78</v>
      </c>
      <c r="F8" s="14" t="s">
        <v>79</v>
      </c>
      <c r="G8" s="14" t="s">
        <v>126</v>
      </c>
      <c r="H8" s="14" t="s">
        <v>81</v>
      </c>
      <c r="I8" s="14" t="s">
        <v>95</v>
      </c>
      <c r="J8" s="14" t="s">
        <v>117</v>
      </c>
      <c r="K8" s="15">
        <v>6</v>
      </c>
      <c r="L8" s="16">
        <v>161524</v>
      </c>
      <c r="M8" s="17">
        <v>45659</v>
      </c>
      <c r="N8" s="18">
        <v>35015</v>
      </c>
      <c r="O8" s="14" t="s">
        <v>127</v>
      </c>
      <c r="P8" s="14" t="s">
        <v>128</v>
      </c>
      <c r="Q8" s="14" t="s">
        <v>129</v>
      </c>
      <c r="R8" s="14">
        <v>4.6399999999999997</v>
      </c>
      <c r="S8" s="14">
        <v>93.5</v>
      </c>
      <c r="T8" s="14">
        <v>12</v>
      </c>
      <c r="U8" s="14">
        <v>250626</v>
      </c>
      <c r="V8" s="14">
        <v>3495097</v>
      </c>
      <c r="W8" s="14">
        <v>55</v>
      </c>
      <c r="X8" s="14">
        <v>25</v>
      </c>
      <c r="Y8" s="14" t="s">
        <v>100</v>
      </c>
      <c r="Z8" s="14" t="s">
        <v>111</v>
      </c>
      <c r="AA8" s="14">
        <v>23</v>
      </c>
      <c r="AB8" s="14">
        <v>11</v>
      </c>
      <c r="AC8" s="14">
        <v>4.2</v>
      </c>
      <c r="AD8" s="14" t="s">
        <v>130</v>
      </c>
      <c r="AE8" s="14">
        <v>237</v>
      </c>
      <c r="AF8" s="14">
        <v>438921</v>
      </c>
      <c r="AG8" s="14">
        <v>349687.41</v>
      </c>
      <c r="AH8" s="14">
        <v>89233.59</v>
      </c>
      <c r="AI8" s="14" t="s">
        <v>131</v>
      </c>
      <c r="AJ8" s="14" t="s">
        <v>122</v>
      </c>
      <c r="AK8" s="14" t="s">
        <v>57</v>
      </c>
      <c r="AL8" s="14">
        <v>1.7</v>
      </c>
      <c r="AM8" s="14">
        <v>3.8</v>
      </c>
      <c r="AN8" s="18">
        <v>45812</v>
      </c>
    </row>
    <row r="9" spans="1:40" thickTop="1" thickBot="1" x14ac:dyDescent="0.3">
      <c r="A9" s="13" t="s">
        <v>132</v>
      </c>
      <c r="B9" s="14" t="s">
        <v>76</v>
      </c>
      <c r="C9" s="14" t="s">
        <v>125</v>
      </c>
      <c r="D9" s="14">
        <v>51</v>
      </c>
      <c r="E9" s="14" t="s">
        <v>91</v>
      </c>
      <c r="F9" s="14" t="s">
        <v>133</v>
      </c>
      <c r="G9" s="14" t="s">
        <v>134</v>
      </c>
      <c r="H9" s="14" t="s">
        <v>135</v>
      </c>
      <c r="I9" s="14" t="s">
        <v>47</v>
      </c>
      <c r="J9" s="14" t="s">
        <v>48</v>
      </c>
      <c r="K9" s="15">
        <v>25</v>
      </c>
      <c r="L9" s="16">
        <v>225413</v>
      </c>
      <c r="M9" s="17">
        <v>45763</v>
      </c>
      <c r="N9" s="18">
        <v>35404</v>
      </c>
      <c r="O9" s="14" t="s">
        <v>136</v>
      </c>
      <c r="P9" s="14" t="s">
        <v>137</v>
      </c>
      <c r="Q9" s="14" t="s">
        <v>138</v>
      </c>
      <c r="R9" s="14">
        <v>1.1100000000000001</v>
      </c>
      <c r="S9" s="14">
        <v>76.400000000000006</v>
      </c>
      <c r="T9" s="14">
        <v>32</v>
      </c>
      <c r="U9" s="14">
        <v>126111</v>
      </c>
      <c r="V9" s="14">
        <v>13312420</v>
      </c>
      <c r="W9" s="14">
        <v>75</v>
      </c>
      <c r="X9" s="14">
        <v>10</v>
      </c>
      <c r="Y9" s="14" t="s">
        <v>139</v>
      </c>
      <c r="Z9" s="14" t="s">
        <v>70</v>
      </c>
      <c r="AA9" s="14">
        <v>40</v>
      </c>
      <c r="AB9" s="14">
        <v>38</v>
      </c>
      <c r="AC9" s="14">
        <v>4.3</v>
      </c>
      <c r="AD9" s="14" t="s">
        <v>140</v>
      </c>
      <c r="AE9" s="14">
        <v>465</v>
      </c>
      <c r="AF9" s="14">
        <v>437839</v>
      </c>
      <c r="AG9" s="14">
        <v>303276.86</v>
      </c>
      <c r="AH9" s="14">
        <v>134562.14000000001</v>
      </c>
      <c r="AI9" s="14" t="s">
        <v>14</v>
      </c>
      <c r="AJ9" s="14" t="s">
        <v>73</v>
      </c>
      <c r="AK9" s="14" t="s">
        <v>103</v>
      </c>
      <c r="AL9" s="14">
        <v>4.3</v>
      </c>
      <c r="AM9" s="14">
        <v>15.5</v>
      </c>
      <c r="AN9" s="18">
        <v>46171</v>
      </c>
    </row>
    <row r="10" spans="1:40" thickTop="1" thickBot="1" x14ac:dyDescent="0.3">
      <c r="A10" s="13" t="s">
        <v>141</v>
      </c>
      <c r="B10" s="14" t="s">
        <v>142</v>
      </c>
      <c r="C10" s="14" t="s">
        <v>143</v>
      </c>
      <c r="D10" s="14">
        <v>32</v>
      </c>
      <c r="E10" s="14" t="s">
        <v>91</v>
      </c>
      <c r="F10" s="14" t="s">
        <v>144</v>
      </c>
      <c r="G10" s="14" t="s">
        <v>134</v>
      </c>
      <c r="H10" s="14" t="s">
        <v>135</v>
      </c>
      <c r="I10" s="14" t="s">
        <v>95</v>
      </c>
      <c r="J10" s="14" t="s">
        <v>145</v>
      </c>
      <c r="K10" s="15">
        <v>19</v>
      </c>
      <c r="L10" s="16">
        <v>225105</v>
      </c>
      <c r="M10" s="17">
        <v>45781</v>
      </c>
      <c r="N10" s="18">
        <v>35441</v>
      </c>
      <c r="O10" s="14" t="s">
        <v>146</v>
      </c>
      <c r="P10" s="14" t="s">
        <v>147</v>
      </c>
      <c r="Q10" s="14" t="s">
        <v>148</v>
      </c>
      <c r="R10" s="14">
        <v>2.93</v>
      </c>
      <c r="S10" s="14">
        <v>93.3</v>
      </c>
      <c r="T10" s="14">
        <v>35</v>
      </c>
      <c r="U10" s="14">
        <v>29791</v>
      </c>
      <c r="V10" s="14">
        <v>4669042</v>
      </c>
      <c r="W10" s="14">
        <v>24</v>
      </c>
      <c r="X10" s="14">
        <v>8</v>
      </c>
      <c r="Y10" s="14" t="s">
        <v>149</v>
      </c>
      <c r="Z10" s="14" t="s">
        <v>111</v>
      </c>
      <c r="AA10" s="14">
        <v>2</v>
      </c>
      <c r="AB10" s="14">
        <v>1</v>
      </c>
      <c r="AC10" s="14">
        <v>3</v>
      </c>
      <c r="AD10" s="14" t="s">
        <v>54</v>
      </c>
      <c r="AE10" s="14">
        <v>14</v>
      </c>
      <c r="AF10" s="14">
        <v>94605</v>
      </c>
      <c r="AG10" s="14">
        <v>60897</v>
      </c>
      <c r="AH10" s="14">
        <v>33708</v>
      </c>
      <c r="AI10" s="14" t="s">
        <v>150</v>
      </c>
      <c r="AJ10" s="14" t="s">
        <v>73</v>
      </c>
      <c r="AK10" s="14" t="s">
        <v>123</v>
      </c>
      <c r="AL10" s="14">
        <v>3.5</v>
      </c>
      <c r="AM10" s="14">
        <v>15.2</v>
      </c>
      <c r="AN10" s="18">
        <v>46182</v>
      </c>
    </row>
    <row r="11" spans="1:40" thickTop="1" thickBot="1" x14ac:dyDescent="0.3">
      <c r="A11" s="13" t="s">
        <v>151</v>
      </c>
      <c r="B11" s="14" t="s">
        <v>152</v>
      </c>
      <c r="C11" s="14" t="s">
        <v>115</v>
      </c>
      <c r="D11" s="14">
        <v>53</v>
      </c>
      <c r="E11" s="14" t="s">
        <v>78</v>
      </c>
      <c r="F11" s="14" t="s">
        <v>61</v>
      </c>
      <c r="G11" s="14" t="s">
        <v>80</v>
      </c>
      <c r="H11" s="14" t="s">
        <v>46</v>
      </c>
      <c r="I11" s="14" t="s">
        <v>64</v>
      </c>
      <c r="J11" s="14" t="s">
        <v>96</v>
      </c>
      <c r="K11" s="15">
        <v>13</v>
      </c>
      <c r="L11" s="16">
        <v>66882</v>
      </c>
      <c r="M11" s="17">
        <v>46059</v>
      </c>
      <c r="N11" s="18">
        <v>34488</v>
      </c>
      <c r="O11" s="14" t="s">
        <v>153</v>
      </c>
      <c r="P11" s="14" t="s">
        <v>154</v>
      </c>
      <c r="Q11" s="14" t="s">
        <v>151</v>
      </c>
      <c r="R11" s="14">
        <v>1.85</v>
      </c>
      <c r="S11" s="14">
        <v>79.099999999999994</v>
      </c>
      <c r="T11" s="14">
        <v>7</v>
      </c>
      <c r="U11" s="14">
        <v>80974</v>
      </c>
      <c r="V11" s="14">
        <v>12514497</v>
      </c>
      <c r="W11" s="14">
        <v>46</v>
      </c>
      <c r="X11" s="14">
        <v>4</v>
      </c>
      <c r="Y11" s="14" t="s">
        <v>139</v>
      </c>
      <c r="Z11" s="14" t="s">
        <v>101</v>
      </c>
      <c r="AA11" s="14">
        <v>35</v>
      </c>
      <c r="AB11" s="14">
        <v>30</v>
      </c>
      <c r="AC11" s="14">
        <v>4.9000000000000004</v>
      </c>
      <c r="AD11" s="14" t="s">
        <v>155</v>
      </c>
      <c r="AE11" s="14">
        <v>382</v>
      </c>
      <c r="AF11" s="14">
        <v>160325</v>
      </c>
      <c r="AG11" s="14">
        <v>98979.520000000004</v>
      </c>
      <c r="AH11" s="14">
        <v>61345.48</v>
      </c>
      <c r="AI11" s="14" t="s">
        <v>150</v>
      </c>
      <c r="AJ11" s="14" t="s">
        <v>73</v>
      </c>
      <c r="AK11" s="14" t="s">
        <v>87</v>
      </c>
      <c r="AL11" s="14">
        <v>1.7</v>
      </c>
      <c r="AM11" s="14">
        <v>20</v>
      </c>
      <c r="AN11" s="18">
        <v>45887</v>
      </c>
    </row>
    <row r="12" spans="1:40" thickTop="1" thickBot="1" x14ac:dyDescent="0.3">
      <c r="A12" s="13" t="s">
        <v>68</v>
      </c>
      <c r="B12" s="14" t="s">
        <v>156</v>
      </c>
      <c r="C12" s="14" t="s">
        <v>115</v>
      </c>
      <c r="D12" s="14">
        <v>47</v>
      </c>
      <c r="E12" s="14" t="s">
        <v>78</v>
      </c>
      <c r="F12" s="14" t="s">
        <v>133</v>
      </c>
      <c r="G12" s="14" t="s">
        <v>93</v>
      </c>
      <c r="H12" s="14" t="s">
        <v>157</v>
      </c>
      <c r="I12" s="14" t="s">
        <v>158</v>
      </c>
      <c r="J12" s="14" t="s">
        <v>48</v>
      </c>
      <c r="K12" s="15">
        <v>10</v>
      </c>
      <c r="L12" s="16">
        <v>180240</v>
      </c>
      <c r="M12" s="17">
        <v>46127</v>
      </c>
      <c r="N12" s="18">
        <v>34669</v>
      </c>
      <c r="O12" s="14" t="s">
        <v>159</v>
      </c>
      <c r="P12" s="14" t="s">
        <v>160</v>
      </c>
      <c r="Q12" s="14" t="s">
        <v>161</v>
      </c>
      <c r="R12" s="14">
        <v>3.5</v>
      </c>
      <c r="S12" s="14">
        <v>85.4</v>
      </c>
      <c r="T12" s="14">
        <v>4</v>
      </c>
      <c r="U12" s="14">
        <v>59165</v>
      </c>
      <c r="V12" s="14">
        <v>13726537</v>
      </c>
      <c r="W12" s="14">
        <v>29</v>
      </c>
      <c r="X12" s="14">
        <v>28</v>
      </c>
      <c r="Y12" s="14" t="s">
        <v>69</v>
      </c>
      <c r="Z12" s="14" t="s">
        <v>111</v>
      </c>
      <c r="AA12" s="14">
        <v>26</v>
      </c>
      <c r="AB12" s="14">
        <v>10</v>
      </c>
      <c r="AC12" s="14">
        <v>2.1</v>
      </c>
      <c r="AD12" s="14" t="s">
        <v>140</v>
      </c>
      <c r="AE12" s="14">
        <v>463</v>
      </c>
      <c r="AF12" s="14">
        <v>241241</v>
      </c>
      <c r="AG12" s="14">
        <v>197288.55</v>
      </c>
      <c r="AH12" s="14">
        <v>43952.45</v>
      </c>
      <c r="AI12" s="14" t="s">
        <v>162</v>
      </c>
      <c r="AJ12" s="14" t="s">
        <v>113</v>
      </c>
      <c r="AK12" s="14" t="s">
        <v>57</v>
      </c>
      <c r="AL12" s="14">
        <v>4.3</v>
      </c>
      <c r="AM12" s="14">
        <v>25.5</v>
      </c>
      <c r="AN12" s="18">
        <v>45922</v>
      </c>
    </row>
    <row r="13" spans="1:40" thickTop="1" thickBot="1" x14ac:dyDescent="0.3">
      <c r="A13" s="13" t="s">
        <v>163</v>
      </c>
      <c r="B13" s="14" t="s">
        <v>164</v>
      </c>
      <c r="C13" s="14" t="s">
        <v>42</v>
      </c>
      <c r="D13" s="14">
        <v>41</v>
      </c>
      <c r="E13" s="14" t="s">
        <v>78</v>
      </c>
      <c r="F13" s="14" t="s">
        <v>165</v>
      </c>
      <c r="G13" s="14" t="s">
        <v>45</v>
      </c>
      <c r="H13" s="14" t="s">
        <v>135</v>
      </c>
      <c r="I13" s="14" t="s">
        <v>64</v>
      </c>
      <c r="J13" s="14" t="s">
        <v>48</v>
      </c>
      <c r="K13" s="15">
        <v>8</v>
      </c>
      <c r="L13" s="16">
        <v>39412</v>
      </c>
      <c r="M13" s="17">
        <v>45748</v>
      </c>
      <c r="N13" s="18">
        <v>32193</v>
      </c>
      <c r="O13" s="14" t="s">
        <v>166</v>
      </c>
      <c r="P13" s="14" t="s">
        <v>167</v>
      </c>
      <c r="Q13" s="14" t="s">
        <v>168</v>
      </c>
      <c r="R13" s="14">
        <v>4.45</v>
      </c>
      <c r="S13" s="14">
        <v>83.6</v>
      </c>
      <c r="T13" s="14">
        <v>21</v>
      </c>
      <c r="U13" s="14">
        <v>289964</v>
      </c>
      <c r="V13" s="14">
        <v>7508855</v>
      </c>
      <c r="W13" s="14">
        <v>34</v>
      </c>
      <c r="X13" s="14">
        <v>19</v>
      </c>
      <c r="Y13" s="14" t="s">
        <v>52</v>
      </c>
      <c r="Z13" s="14" t="s">
        <v>111</v>
      </c>
      <c r="AA13" s="14">
        <v>37</v>
      </c>
      <c r="AB13" s="14">
        <v>31</v>
      </c>
      <c r="AC13" s="14">
        <v>3.1</v>
      </c>
      <c r="AD13" s="14" t="s">
        <v>155</v>
      </c>
      <c r="AE13" s="14">
        <v>480</v>
      </c>
      <c r="AF13" s="14">
        <v>296332</v>
      </c>
      <c r="AG13" s="14">
        <v>234129.97</v>
      </c>
      <c r="AH13" s="14">
        <v>62202.03</v>
      </c>
      <c r="AI13" s="14" t="s">
        <v>150</v>
      </c>
      <c r="AJ13" s="14" t="s">
        <v>169</v>
      </c>
      <c r="AK13" s="14" t="s">
        <v>123</v>
      </c>
      <c r="AL13" s="14">
        <v>1.2</v>
      </c>
      <c r="AM13" s="14">
        <v>6.1</v>
      </c>
      <c r="AN13" s="18">
        <v>45977</v>
      </c>
    </row>
    <row r="14" spans="1:40" thickTop="1" thickBot="1" x14ac:dyDescent="0.3">
      <c r="A14" s="13" t="s">
        <v>170</v>
      </c>
      <c r="B14" s="14" t="s">
        <v>171</v>
      </c>
      <c r="C14" s="14" t="s">
        <v>143</v>
      </c>
      <c r="D14" s="14">
        <v>32</v>
      </c>
      <c r="E14" s="14" t="s">
        <v>43</v>
      </c>
      <c r="F14" s="14" t="s">
        <v>133</v>
      </c>
      <c r="G14" s="14" t="s">
        <v>45</v>
      </c>
      <c r="H14" s="14" t="s">
        <v>116</v>
      </c>
      <c r="I14" s="14" t="s">
        <v>47</v>
      </c>
      <c r="J14" s="14" t="s">
        <v>48</v>
      </c>
      <c r="K14" s="15">
        <v>0</v>
      </c>
      <c r="L14" s="16">
        <v>227172</v>
      </c>
      <c r="M14" s="17">
        <v>46175</v>
      </c>
      <c r="N14" s="18">
        <v>35537</v>
      </c>
      <c r="O14" s="14" t="s">
        <v>172</v>
      </c>
      <c r="P14" s="14" t="s">
        <v>173</v>
      </c>
      <c r="Q14" s="14" t="s">
        <v>174</v>
      </c>
      <c r="R14" s="14">
        <v>1.43</v>
      </c>
      <c r="S14" s="14">
        <v>94.6</v>
      </c>
      <c r="T14" s="14">
        <v>27</v>
      </c>
      <c r="U14" s="14">
        <v>259523</v>
      </c>
      <c r="V14" s="14">
        <v>9658787</v>
      </c>
      <c r="W14" s="14">
        <v>50</v>
      </c>
      <c r="X14" s="14">
        <v>16</v>
      </c>
      <c r="Y14" s="14" t="s">
        <v>139</v>
      </c>
      <c r="Z14" s="14" t="s">
        <v>101</v>
      </c>
      <c r="AA14" s="14">
        <v>29</v>
      </c>
      <c r="AB14" s="14">
        <v>16</v>
      </c>
      <c r="AC14" s="14">
        <v>4.9000000000000004</v>
      </c>
      <c r="AD14" s="14" t="s">
        <v>71</v>
      </c>
      <c r="AE14" s="14">
        <v>101</v>
      </c>
      <c r="AF14" s="14">
        <v>413195</v>
      </c>
      <c r="AG14" s="14">
        <v>217411.83</v>
      </c>
      <c r="AH14" s="14">
        <v>195783.17</v>
      </c>
      <c r="AI14" s="14" t="s">
        <v>162</v>
      </c>
      <c r="AJ14" s="14" t="s">
        <v>73</v>
      </c>
      <c r="AK14" s="14" t="s">
        <v>123</v>
      </c>
      <c r="AL14" s="14">
        <v>4.9000000000000004</v>
      </c>
      <c r="AM14" s="14">
        <v>25.1</v>
      </c>
      <c r="AN14" s="18">
        <v>45672</v>
      </c>
    </row>
    <row r="15" spans="1:40" thickTop="1" thickBot="1" x14ac:dyDescent="0.3">
      <c r="A15" s="13" t="s">
        <v>175</v>
      </c>
      <c r="B15" s="14" t="s">
        <v>176</v>
      </c>
      <c r="C15" s="14" t="s">
        <v>106</v>
      </c>
      <c r="D15" s="14">
        <v>24</v>
      </c>
      <c r="E15" s="14" t="s">
        <v>78</v>
      </c>
      <c r="F15" s="14" t="s">
        <v>92</v>
      </c>
      <c r="G15" s="14" t="s">
        <v>80</v>
      </c>
      <c r="H15" s="14" t="s">
        <v>46</v>
      </c>
      <c r="I15" s="14" t="s">
        <v>158</v>
      </c>
      <c r="J15" s="14" t="s">
        <v>48</v>
      </c>
      <c r="K15" s="15">
        <v>14</v>
      </c>
      <c r="L15" s="16">
        <v>83588</v>
      </c>
      <c r="M15" s="17">
        <v>45819</v>
      </c>
      <c r="N15" s="18">
        <v>32356</v>
      </c>
      <c r="O15" s="14" t="s">
        <v>177</v>
      </c>
      <c r="P15" s="14" t="s">
        <v>178</v>
      </c>
      <c r="Q15" s="14" t="s">
        <v>120</v>
      </c>
      <c r="R15" s="14">
        <v>4.8899999999999997</v>
      </c>
      <c r="S15" s="14">
        <v>86.4</v>
      </c>
      <c r="T15" s="14">
        <v>15</v>
      </c>
      <c r="U15" s="14">
        <v>18060</v>
      </c>
      <c r="V15" s="14">
        <v>5693352</v>
      </c>
      <c r="W15" s="14">
        <v>27</v>
      </c>
      <c r="X15" s="14">
        <v>11</v>
      </c>
      <c r="Y15" s="14" t="s">
        <v>52</v>
      </c>
      <c r="Z15" s="14" t="s">
        <v>111</v>
      </c>
      <c r="AA15" s="14">
        <v>28</v>
      </c>
      <c r="AB15" s="14">
        <v>5</v>
      </c>
      <c r="AC15" s="14">
        <v>2.2999999999999998</v>
      </c>
      <c r="AD15" s="14" t="s">
        <v>179</v>
      </c>
      <c r="AE15" s="14">
        <v>243</v>
      </c>
      <c r="AF15" s="14">
        <v>403439</v>
      </c>
      <c r="AG15" s="14">
        <v>312885.53999999998</v>
      </c>
      <c r="AH15" s="14">
        <v>90553.46</v>
      </c>
      <c r="AI15" s="14" t="s">
        <v>55</v>
      </c>
      <c r="AJ15" s="14" t="s">
        <v>56</v>
      </c>
      <c r="AK15" s="14" t="s">
        <v>57</v>
      </c>
      <c r="AL15" s="14">
        <v>2</v>
      </c>
      <c r="AM15" s="14">
        <v>23.3</v>
      </c>
      <c r="AN15" s="18">
        <v>45751</v>
      </c>
    </row>
    <row r="16" spans="1:40" thickTop="1" thickBot="1" x14ac:dyDescent="0.3">
      <c r="A16" s="13" t="s">
        <v>180</v>
      </c>
      <c r="B16" s="14" t="s">
        <v>181</v>
      </c>
      <c r="C16" s="14" t="s">
        <v>60</v>
      </c>
      <c r="D16" s="14">
        <v>22</v>
      </c>
      <c r="E16" s="14" t="s">
        <v>43</v>
      </c>
      <c r="F16" s="14" t="s">
        <v>165</v>
      </c>
      <c r="G16" s="14" t="s">
        <v>126</v>
      </c>
      <c r="H16" s="14" t="s">
        <v>157</v>
      </c>
      <c r="I16" s="14" t="s">
        <v>95</v>
      </c>
      <c r="J16" s="14" t="s">
        <v>65</v>
      </c>
      <c r="K16" s="15">
        <v>12</v>
      </c>
      <c r="L16" s="16">
        <v>235359</v>
      </c>
      <c r="M16" s="17">
        <v>45991</v>
      </c>
      <c r="N16" s="18">
        <v>37838</v>
      </c>
      <c r="O16" s="14" t="s">
        <v>182</v>
      </c>
      <c r="P16" s="14" t="s">
        <v>183</v>
      </c>
      <c r="Q16" s="14" t="s">
        <v>184</v>
      </c>
      <c r="R16" s="14">
        <v>1.58</v>
      </c>
      <c r="S16" s="14">
        <v>94.7</v>
      </c>
      <c r="T16" s="14">
        <v>32</v>
      </c>
      <c r="U16" s="14">
        <v>225047</v>
      </c>
      <c r="V16" s="14">
        <v>12811995</v>
      </c>
      <c r="W16" s="14">
        <v>64</v>
      </c>
      <c r="X16" s="14">
        <v>4</v>
      </c>
      <c r="Y16" s="14" t="s">
        <v>149</v>
      </c>
      <c r="Z16" s="14" t="s">
        <v>101</v>
      </c>
      <c r="AA16" s="14">
        <v>3</v>
      </c>
      <c r="AB16" s="14">
        <v>3</v>
      </c>
      <c r="AC16" s="14">
        <v>1.3</v>
      </c>
      <c r="AD16" s="14" t="s">
        <v>140</v>
      </c>
      <c r="AE16" s="14">
        <v>68</v>
      </c>
      <c r="AF16" s="14">
        <v>90426</v>
      </c>
      <c r="AG16" s="14">
        <v>54058.39</v>
      </c>
      <c r="AH16" s="14">
        <v>36367.61</v>
      </c>
      <c r="AI16" s="14" t="s">
        <v>14</v>
      </c>
      <c r="AJ16" s="14" t="s">
        <v>122</v>
      </c>
      <c r="AK16" s="14" t="s">
        <v>87</v>
      </c>
      <c r="AL16" s="14">
        <v>4.3</v>
      </c>
      <c r="AM16" s="14">
        <v>16.8</v>
      </c>
      <c r="AN16" s="18">
        <v>46300</v>
      </c>
    </row>
    <row r="17" spans="1:40" thickTop="1" thickBot="1" x14ac:dyDescent="0.3">
      <c r="A17" s="13" t="s">
        <v>129</v>
      </c>
      <c r="B17" s="14" t="s">
        <v>42</v>
      </c>
      <c r="C17" s="14" t="s">
        <v>106</v>
      </c>
      <c r="D17" s="14">
        <v>21</v>
      </c>
      <c r="E17" s="14" t="s">
        <v>43</v>
      </c>
      <c r="F17" s="14" t="s">
        <v>79</v>
      </c>
      <c r="G17" s="14" t="s">
        <v>185</v>
      </c>
      <c r="H17" s="14" t="s">
        <v>157</v>
      </c>
      <c r="I17" s="14" t="s">
        <v>64</v>
      </c>
      <c r="J17" s="14" t="s">
        <v>117</v>
      </c>
      <c r="K17" s="15">
        <v>25</v>
      </c>
      <c r="L17" s="16">
        <v>54516</v>
      </c>
      <c r="M17" s="17">
        <v>45929</v>
      </c>
      <c r="N17" s="18">
        <v>32136</v>
      </c>
      <c r="O17" s="14" t="s">
        <v>186</v>
      </c>
      <c r="P17" s="14" t="s">
        <v>187</v>
      </c>
      <c r="Q17" s="14" t="s">
        <v>188</v>
      </c>
      <c r="R17" s="14">
        <v>3.6</v>
      </c>
      <c r="S17" s="14">
        <v>83.8</v>
      </c>
      <c r="T17" s="14">
        <v>24</v>
      </c>
      <c r="U17" s="14">
        <v>40233</v>
      </c>
      <c r="V17" s="14">
        <v>8536456</v>
      </c>
      <c r="W17" s="14">
        <v>36</v>
      </c>
      <c r="X17" s="14">
        <v>24</v>
      </c>
      <c r="Y17" s="14" t="s">
        <v>149</v>
      </c>
      <c r="Z17" s="14" t="s">
        <v>101</v>
      </c>
      <c r="AA17" s="14">
        <v>32</v>
      </c>
      <c r="AB17" s="14">
        <v>16</v>
      </c>
      <c r="AC17" s="14">
        <v>1.3</v>
      </c>
      <c r="AD17" s="14" t="s">
        <v>189</v>
      </c>
      <c r="AE17" s="14">
        <v>169</v>
      </c>
      <c r="AF17" s="14">
        <v>293629</v>
      </c>
      <c r="AG17" s="14">
        <v>206082.26</v>
      </c>
      <c r="AH17" s="14">
        <v>87546.74</v>
      </c>
      <c r="AI17" s="14" t="s">
        <v>55</v>
      </c>
      <c r="AJ17" s="14" t="s">
        <v>113</v>
      </c>
      <c r="AK17" s="14" t="s">
        <v>103</v>
      </c>
      <c r="AL17" s="14">
        <v>3.3</v>
      </c>
      <c r="AM17" s="14">
        <v>0.4</v>
      </c>
      <c r="AN17" s="18">
        <v>45720</v>
      </c>
    </row>
    <row r="18" spans="1:40" thickTop="1" thickBot="1" x14ac:dyDescent="0.3">
      <c r="A18" s="13" t="s">
        <v>190</v>
      </c>
      <c r="B18" s="14" t="s">
        <v>105</v>
      </c>
      <c r="C18" s="14" t="s">
        <v>191</v>
      </c>
      <c r="D18" s="14">
        <v>52</v>
      </c>
      <c r="E18" s="14" t="s">
        <v>43</v>
      </c>
      <c r="F18" s="14" t="s">
        <v>61</v>
      </c>
      <c r="G18" s="14" t="s">
        <v>80</v>
      </c>
      <c r="H18" s="14" t="s">
        <v>81</v>
      </c>
      <c r="I18" s="14" t="s">
        <v>64</v>
      </c>
      <c r="J18" s="14" t="s">
        <v>145</v>
      </c>
      <c r="K18" s="15">
        <v>24</v>
      </c>
      <c r="L18" s="16">
        <v>66064</v>
      </c>
      <c r="M18" s="17">
        <v>46220</v>
      </c>
      <c r="N18" s="18">
        <v>31535</v>
      </c>
      <c r="O18" s="14" t="s">
        <v>192</v>
      </c>
      <c r="P18" s="14" t="s">
        <v>193</v>
      </c>
      <c r="Q18" s="14" t="s">
        <v>194</v>
      </c>
      <c r="R18" s="14">
        <v>2.84</v>
      </c>
      <c r="S18" s="14">
        <v>94.6</v>
      </c>
      <c r="T18" s="14">
        <v>28</v>
      </c>
      <c r="U18" s="14">
        <v>140853</v>
      </c>
      <c r="V18" s="14">
        <v>6990238</v>
      </c>
      <c r="W18" s="14">
        <v>26</v>
      </c>
      <c r="X18" s="14">
        <v>29</v>
      </c>
      <c r="Y18" s="14" t="s">
        <v>121</v>
      </c>
      <c r="Z18" s="14" t="s">
        <v>111</v>
      </c>
      <c r="AA18" s="14">
        <v>14</v>
      </c>
      <c r="AB18" s="14">
        <v>10</v>
      </c>
      <c r="AC18" s="14">
        <v>3.3</v>
      </c>
      <c r="AD18" s="14" t="s">
        <v>189</v>
      </c>
      <c r="AE18" s="14">
        <v>382</v>
      </c>
      <c r="AF18" s="14">
        <v>367322</v>
      </c>
      <c r="AG18" s="14">
        <v>178820.45</v>
      </c>
      <c r="AH18" s="14">
        <v>188501.55</v>
      </c>
      <c r="AI18" s="14" t="s">
        <v>55</v>
      </c>
      <c r="AJ18" s="19" t="s">
        <v>113</v>
      </c>
      <c r="AK18" s="14" t="s">
        <v>57</v>
      </c>
      <c r="AL18" s="14">
        <v>3.4</v>
      </c>
      <c r="AM18" s="14">
        <v>19</v>
      </c>
      <c r="AN18" s="18">
        <v>45944</v>
      </c>
    </row>
    <row r="19" spans="1:40" thickTop="1" thickBot="1" x14ac:dyDescent="0.3">
      <c r="A19" s="13" t="s">
        <v>195</v>
      </c>
      <c r="B19" s="14" t="s">
        <v>196</v>
      </c>
      <c r="C19" s="14" t="s">
        <v>115</v>
      </c>
      <c r="D19" s="14">
        <v>22</v>
      </c>
      <c r="E19" s="14" t="s">
        <v>78</v>
      </c>
      <c r="F19" s="14" t="s">
        <v>144</v>
      </c>
      <c r="G19" s="14" t="s">
        <v>197</v>
      </c>
      <c r="H19" s="14" t="s">
        <v>81</v>
      </c>
      <c r="I19" s="14" t="s">
        <v>64</v>
      </c>
      <c r="J19" s="14" t="s">
        <v>117</v>
      </c>
      <c r="K19" s="15">
        <v>23</v>
      </c>
      <c r="L19" s="16">
        <v>71885</v>
      </c>
      <c r="M19" s="17">
        <v>46084</v>
      </c>
      <c r="N19" s="18">
        <v>33430</v>
      </c>
      <c r="O19" s="14" t="s">
        <v>198</v>
      </c>
      <c r="P19" s="14" t="s">
        <v>199</v>
      </c>
      <c r="Q19" s="14" t="s">
        <v>40</v>
      </c>
      <c r="R19" s="14">
        <v>2.2999999999999998</v>
      </c>
      <c r="S19" s="14">
        <v>80.099999999999994</v>
      </c>
      <c r="T19" s="14">
        <v>25</v>
      </c>
      <c r="U19" s="14">
        <v>62936</v>
      </c>
      <c r="V19" s="14">
        <v>3783991</v>
      </c>
      <c r="W19" s="14">
        <v>1</v>
      </c>
      <c r="X19" s="14">
        <v>28</v>
      </c>
      <c r="Y19" s="14" t="s">
        <v>139</v>
      </c>
      <c r="Z19" s="14" t="s">
        <v>53</v>
      </c>
      <c r="AA19" s="14">
        <v>32</v>
      </c>
      <c r="AB19" s="14">
        <v>25</v>
      </c>
      <c r="AC19" s="14">
        <v>2.5</v>
      </c>
      <c r="AD19" s="14" t="s">
        <v>130</v>
      </c>
      <c r="AE19" s="14">
        <v>199</v>
      </c>
      <c r="AF19" s="14">
        <v>206463</v>
      </c>
      <c r="AG19" s="14">
        <v>110584.05</v>
      </c>
      <c r="AH19" s="14">
        <v>95878.95</v>
      </c>
      <c r="AI19" s="14" t="s">
        <v>150</v>
      </c>
      <c r="AJ19" s="14" t="s">
        <v>113</v>
      </c>
      <c r="AK19" s="14" t="s">
        <v>87</v>
      </c>
      <c r="AL19" s="14">
        <v>4</v>
      </c>
      <c r="AM19" s="14">
        <v>25.6</v>
      </c>
      <c r="AN19" s="18">
        <v>45945</v>
      </c>
    </row>
    <row r="20" spans="1:40" thickTop="1" thickBot="1" x14ac:dyDescent="0.3">
      <c r="A20" s="13" t="s">
        <v>200</v>
      </c>
      <c r="B20" s="14" t="s">
        <v>196</v>
      </c>
      <c r="C20" s="14" t="s">
        <v>201</v>
      </c>
      <c r="D20" s="14">
        <v>38</v>
      </c>
      <c r="E20" s="14" t="s">
        <v>43</v>
      </c>
      <c r="F20" s="14" t="s">
        <v>61</v>
      </c>
      <c r="G20" s="14" t="s">
        <v>93</v>
      </c>
      <c r="H20" s="14" t="s">
        <v>46</v>
      </c>
      <c r="I20" s="14" t="s">
        <v>158</v>
      </c>
      <c r="J20" s="14" t="s">
        <v>145</v>
      </c>
      <c r="K20" s="15">
        <v>28</v>
      </c>
      <c r="L20" s="16">
        <v>42605</v>
      </c>
      <c r="M20" s="17">
        <v>46067</v>
      </c>
      <c r="N20" s="18">
        <v>35680</v>
      </c>
      <c r="O20" s="14" t="s">
        <v>202</v>
      </c>
      <c r="P20" s="14" t="s">
        <v>203</v>
      </c>
      <c r="Q20" s="14" t="s">
        <v>204</v>
      </c>
      <c r="R20" s="14">
        <v>2.64</v>
      </c>
      <c r="S20" s="14">
        <v>88.4</v>
      </c>
      <c r="T20" s="14">
        <v>8</v>
      </c>
      <c r="U20" s="14">
        <v>150055</v>
      </c>
      <c r="V20" s="14">
        <v>8646598</v>
      </c>
      <c r="W20" s="14">
        <v>6</v>
      </c>
      <c r="X20" s="14">
        <v>29</v>
      </c>
      <c r="Y20" s="14" t="s">
        <v>52</v>
      </c>
      <c r="Z20" s="14" t="s">
        <v>101</v>
      </c>
      <c r="AA20" s="14">
        <v>10</v>
      </c>
      <c r="AB20" s="14">
        <v>3</v>
      </c>
      <c r="AC20" s="14">
        <v>2.9</v>
      </c>
      <c r="AD20" s="14" t="s">
        <v>71</v>
      </c>
      <c r="AE20" s="14">
        <v>144</v>
      </c>
      <c r="AF20" s="14">
        <v>362067</v>
      </c>
      <c r="AG20" s="14">
        <v>201193.60000000001</v>
      </c>
      <c r="AH20" s="14">
        <v>160873.4</v>
      </c>
      <c r="AI20" s="14" t="s">
        <v>55</v>
      </c>
      <c r="AJ20" s="14" t="s">
        <v>113</v>
      </c>
      <c r="AK20" s="14" t="s">
        <v>123</v>
      </c>
      <c r="AL20" s="14">
        <v>2.6</v>
      </c>
      <c r="AM20" s="14">
        <v>7.2</v>
      </c>
      <c r="AN20" s="18">
        <v>46152</v>
      </c>
    </row>
    <row r="21" spans="1:40" thickTop="1" thickBot="1" x14ac:dyDescent="0.3">
      <c r="A21" s="13" t="s">
        <v>205</v>
      </c>
      <c r="B21" s="14" t="s">
        <v>206</v>
      </c>
      <c r="C21" s="14" t="s">
        <v>106</v>
      </c>
      <c r="D21" s="14">
        <v>25</v>
      </c>
      <c r="E21" s="14" t="s">
        <v>78</v>
      </c>
      <c r="F21" s="14" t="s">
        <v>61</v>
      </c>
      <c r="G21" s="14" t="s">
        <v>197</v>
      </c>
      <c r="H21" s="14" t="s">
        <v>46</v>
      </c>
      <c r="I21" s="14" t="s">
        <v>64</v>
      </c>
      <c r="J21" s="14" t="s">
        <v>117</v>
      </c>
      <c r="K21" s="15">
        <v>24</v>
      </c>
      <c r="L21" s="16">
        <v>152954</v>
      </c>
      <c r="M21" s="17">
        <v>46095</v>
      </c>
      <c r="N21" s="18">
        <v>30932</v>
      </c>
      <c r="O21" s="14" t="s">
        <v>207</v>
      </c>
      <c r="P21" s="14" t="s">
        <v>208</v>
      </c>
      <c r="Q21" s="14" t="s">
        <v>209</v>
      </c>
      <c r="R21" s="14">
        <v>2.37</v>
      </c>
      <c r="S21" s="14">
        <v>72.7</v>
      </c>
      <c r="T21" s="14">
        <v>15</v>
      </c>
      <c r="U21" s="14">
        <v>193098</v>
      </c>
      <c r="V21" s="14">
        <v>4834520</v>
      </c>
      <c r="W21" s="14">
        <v>72</v>
      </c>
      <c r="X21" s="14">
        <v>6</v>
      </c>
      <c r="Y21" s="14" t="s">
        <v>149</v>
      </c>
      <c r="Z21" s="14" t="s">
        <v>70</v>
      </c>
      <c r="AA21" s="14">
        <v>42</v>
      </c>
      <c r="AB21" s="14">
        <v>10</v>
      </c>
      <c r="AC21" s="14">
        <v>2.5</v>
      </c>
      <c r="AD21" s="14" t="s">
        <v>54</v>
      </c>
      <c r="AE21" s="14">
        <v>107</v>
      </c>
      <c r="AF21" s="14">
        <v>221762</v>
      </c>
      <c r="AG21" s="14">
        <v>109618.01</v>
      </c>
      <c r="AH21" s="14">
        <v>112143.99</v>
      </c>
      <c r="AI21" s="14" t="s">
        <v>131</v>
      </c>
      <c r="AJ21" s="14" t="s">
        <v>113</v>
      </c>
      <c r="AK21" s="14" t="s">
        <v>123</v>
      </c>
      <c r="AL21" s="14">
        <v>4</v>
      </c>
      <c r="AM21" s="14">
        <v>14.9</v>
      </c>
      <c r="AN21" s="18">
        <v>46246</v>
      </c>
    </row>
    <row r="22" spans="1:40" thickTop="1" thickBot="1" x14ac:dyDescent="0.3">
      <c r="A22" s="13" t="s">
        <v>210</v>
      </c>
      <c r="B22" s="14" t="s">
        <v>59</v>
      </c>
      <c r="C22" s="14" t="s">
        <v>42</v>
      </c>
      <c r="D22" s="14">
        <v>26</v>
      </c>
      <c r="E22" s="14" t="s">
        <v>43</v>
      </c>
      <c r="F22" s="14" t="s">
        <v>211</v>
      </c>
      <c r="G22" s="14" t="s">
        <v>62</v>
      </c>
      <c r="H22" s="14" t="s">
        <v>94</v>
      </c>
      <c r="I22" s="14" t="s">
        <v>64</v>
      </c>
      <c r="J22" s="14" t="s">
        <v>145</v>
      </c>
      <c r="K22" s="15">
        <v>30</v>
      </c>
      <c r="L22" s="16">
        <v>116793</v>
      </c>
      <c r="M22" s="17">
        <v>45680</v>
      </c>
      <c r="N22" s="18">
        <v>30695</v>
      </c>
      <c r="O22" s="14" t="s">
        <v>212</v>
      </c>
      <c r="P22" s="14" t="s">
        <v>213</v>
      </c>
      <c r="Q22" s="14" t="s">
        <v>214</v>
      </c>
      <c r="R22" s="14">
        <v>1</v>
      </c>
      <c r="S22" s="14">
        <v>81.7</v>
      </c>
      <c r="T22" s="14">
        <v>33</v>
      </c>
      <c r="U22" s="14">
        <v>245446</v>
      </c>
      <c r="V22" s="14">
        <v>8032138</v>
      </c>
      <c r="W22" s="14">
        <v>31</v>
      </c>
      <c r="X22" s="14">
        <v>25</v>
      </c>
      <c r="Y22" s="14" t="s">
        <v>69</v>
      </c>
      <c r="Z22" s="14" t="s">
        <v>101</v>
      </c>
      <c r="AA22" s="14">
        <v>41</v>
      </c>
      <c r="AB22" s="14">
        <v>13</v>
      </c>
      <c r="AC22" s="14">
        <v>1.6</v>
      </c>
      <c r="AD22" s="14" t="s">
        <v>54</v>
      </c>
      <c r="AE22" s="14">
        <v>497</v>
      </c>
      <c r="AF22" s="14">
        <v>375056</v>
      </c>
      <c r="AG22" s="14">
        <v>238631.79</v>
      </c>
      <c r="AH22" s="14">
        <v>136424.21</v>
      </c>
      <c r="AI22" s="14" t="s">
        <v>150</v>
      </c>
      <c r="AJ22" s="14" t="s">
        <v>73</v>
      </c>
      <c r="AK22" s="14" t="s">
        <v>74</v>
      </c>
      <c r="AL22" s="14">
        <v>3.2</v>
      </c>
      <c r="AM22" s="14">
        <v>1.2</v>
      </c>
      <c r="AN22" s="18">
        <v>45786</v>
      </c>
    </row>
    <row r="23" spans="1:40" thickTop="1" thickBot="1" x14ac:dyDescent="0.3">
      <c r="A23" s="13" t="s">
        <v>215</v>
      </c>
      <c r="B23" s="14" t="s">
        <v>216</v>
      </c>
      <c r="C23" s="14" t="s">
        <v>217</v>
      </c>
      <c r="D23" s="14">
        <v>37</v>
      </c>
      <c r="E23" s="14" t="s">
        <v>91</v>
      </c>
      <c r="F23" s="14" t="s">
        <v>92</v>
      </c>
      <c r="G23" s="14" t="s">
        <v>185</v>
      </c>
      <c r="H23" s="14" t="s">
        <v>157</v>
      </c>
      <c r="I23" s="14" t="s">
        <v>47</v>
      </c>
      <c r="J23" s="14" t="s">
        <v>117</v>
      </c>
      <c r="K23" s="15">
        <v>16</v>
      </c>
      <c r="L23" s="16">
        <v>187801</v>
      </c>
      <c r="M23" s="17">
        <v>45854</v>
      </c>
      <c r="N23" s="18">
        <v>33732</v>
      </c>
      <c r="O23" s="14" t="s">
        <v>218</v>
      </c>
      <c r="P23" s="14" t="s">
        <v>219</v>
      </c>
      <c r="Q23" s="14" t="s">
        <v>58</v>
      </c>
      <c r="R23" s="14">
        <v>3.15</v>
      </c>
      <c r="S23" s="14">
        <v>99.9</v>
      </c>
      <c r="T23" s="14">
        <v>17</v>
      </c>
      <c r="U23" s="14">
        <v>165862</v>
      </c>
      <c r="V23" s="14">
        <v>11314184</v>
      </c>
      <c r="W23" s="14">
        <v>31</v>
      </c>
      <c r="X23" s="14">
        <v>15</v>
      </c>
      <c r="Y23" s="14" t="s">
        <v>121</v>
      </c>
      <c r="Z23" s="14" t="s">
        <v>101</v>
      </c>
      <c r="AA23" s="14">
        <v>20</v>
      </c>
      <c r="AB23" s="14">
        <v>4</v>
      </c>
      <c r="AC23" s="14">
        <v>1.1000000000000001</v>
      </c>
      <c r="AD23" s="14" t="s">
        <v>130</v>
      </c>
      <c r="AE23" s="14">
        <v>360</v>
      </c>
      <c r="AF23" s="14">
        <v>34708</v>
      </c>
      <c r="AG23" s="14">
        <v>23908.16</v>
      </c>
      <c r="AH23" s="14">
        <v>10799.84</v>
      </c>
      <c r="AI23" s="14" t="s">
        <v>55</v>
      </c>
      <c r="AJ23" s="14" t="s">
        <v>122</v>
      </c>
      <c r="AK23" s="14" t="s">
        <v>74</v>
      </c>
      <c r="AL23" s="14">
        <v>1.8</v>
      </c>
      <c r="AM23" s="14">
        <v>26.5</v>
      </c>
      <c r="AN23" s="18">
        <v>46088</v>
      </c>
    </row>
    <row r="24" spans="1:40" thickTop="1" thickBot="1" x14ac:dyDescent="0.3">
      <c r="A24" s="13" t="s">
        <v>209</v>
      </c>
      <c r="B24" s="14" t="s">
        <v>176</v>
      </c>
      <c r="C24" s="14" t="s">
        <v>191</v>
      </c>
      <c r="D24" s="14">
        <v>52</v>
      </c>
      <c r="E24" s="14" t="s">
        <v>78</v>
      </c>
      <c r="F24" s="14" t="s">
        <v>133</v>
      </c>
      <c r="G24" s="14" t="s">
        <v>62</v>
      </c>
      <c r="H24" s="14" t="s">
        <v>63</v>
      </c>
      <c r="I24" s="14" t="s">
        <v>64</v>
      </c>
      <c r="J24" s="14" t="s">
        <v>96</v>
      </c>
      <c r="K24" s="15">
        <v>0</v>
      </c>
      <c r="L24" s="16">
        <v>243945</v>
      </c>
      <c r="M24" s="17">
        <v>45957</v>
      </c>
      <c r="N24" s="18">
        <v>37867</v>
      </c>
      <c r="O24" s="14" t="s">
        <v>220</v>
      </c>
      <c r="P24" s="14" t="s">
        <v>221</v>
      </c>
      <c r="Q24" s="14" t="s">
        <v>222</v>
      </c>
      <c r="R24" s="14">
        <v>2.25</v>
      </c>
      <c r="S24" s="14">
        <v>94.6</v>
      </c>
      <c r="T24" s="14">
        <v>14</v>
      </c>
      <c r="U24" s="14">
        <v>243853</v>
      </c>
      <c r="V24" s="14">
        <v>4215193</v>
      </c>
      <c r="W24" s="14">
        <v>33</v>
      </c>
      <c r="X24" s="14">
        <v>24</v>
      </c>
      <c r="Y24" s="14" t="s">
        <v>139</v>
      </c>
      <c r="Z24" s="14" t="s">
        <v>111</v>
      </c>
      <c r="AA24" s="14">
        <v>24</v>
      </c>
      <c r="AB24" s="14">
        <v>7</v>
      </c>
      <c r="AC24" s="14">
        <v>4.8</v>
      </c>
      <c r="AD24" s="14" t="s">
        <v>112</v>
      </c>
      <c r="AE24" s="14">
        <v>312</v>
      </c>
      <c r="AF24" s="14">
        <v>134454</v>
      </c>
      <c r="AG24" s="14">
        <v>93703.87</v>
      </c>
      <c r="AH24" s="14">
        <v>40750.129999999997</v>
      </c>
      <c r="AI24" s="14" t="s">
        <v>162</v>
      </c>
      <c r="AJ24" s="14" t="s">
        <v>169</v>
      </c>
      <c r="AK24" s="14" t="s">
        <v>87</v>
      </c>
      <c r="AL24" s="14">
        <v>2.7</v>
      </c>
      <c r="AM24" s="14">
        <v>20</v>
      </c>
      <c r="AN24" s="18">
        <v>46267</v>
      </c>
    </row>
    <row r="25" spans="1:40" thickTop="1" thickBot="1" x14ac:dyDescent="0.3">
      <c r="A25" s="13" t="s">
        <v>223</v>
      </c>
      <c r="B25" s="14" t="s">
        <v>142</v>
      </c>
      <c r="C25" s="14" t="s">
        <v>90</v>
      </c>
      <c r="D25" s="14">
        <v>47</v>
      </c>
      <c r="E25" s="14" t="s">
        <v>78</v>
      </c>
      <c r="F25" s="14" t="s">
        <v>144</v>
      </c>
      <c r="G25" s="14" t="s">
        <v>134</v>
      </c>
      <c r="H25" s="14" t="s">
        <v>94</v>
      </c>
      <c r="I25" s="14" t="s">
        <v>64</v>
      </c>
      <c r="J25" s="14" t="s">
        <v>117</v>
      </c>
      <c r="K25" s="15">
        <v>23</v>
      </c>
      <c r="L25" s="16">
        <v>64676</v>
      </c>
      <c r="M25" s="17">
        <v>45739</v>
      </c>
      <c r="N25" s="18">
        <v>31205</v>
      </c>
      <c r="O25" s="14" t="s">
        <v>224</v>
      </c>
      <c r="P25" s="14" t="s">
        <v>225</v>
      </c>
      <c r="Q25" s="14" t="s">
        <v>226</v>
      </c>
      <c r="R25" s="14">
        <v>3.99</v>
      </c>
      <c r="S25" s="14">
        <v>71</v>
      </c>
      <c r="T25" s="14">
        <v>24</v>
      </c>
      <c r="U25" s="14">
        <v>196022</v>
      </c>
      <c r="V25" s="14">
        <v>6064960</v>
      </c>
      <c r="W25" s="14">
        <v>56</v>
      </c>
      <c r="X25" s="14">
        <v>5</v>
      </c>
      <c r="Y25" s="14" t="s">
        <v>69</v>
      </c>
      <c r="Z25" s="14" t="s">
        <v>111</v>
      </c>
      <c r="AA25" s="14">
        <v>39</v>
      </c>
      <c r="AB25" s="14">
        <v>9</v>
      </c>
      <c r="AC25" s="14">
        <v>1.3</v>
      </c>
      <c r="AD25" s="14" t="s">
        <v>179</v>
      </c>
      <c r="AE25" s="14">
        <v>179</v>
      </c>
      <c r="AF25" s="14">
        <v>43499</v>
      </c>
      <c r="AG25" s="14">
        <v>23001.89</v>
      </c>
      <c r="AH25" s="14">
        <v>20497.11</v>
      </c>
      <c r="AI25" s="14" t="s">
        <v>131</v>
      </c>
      <c r="AJ25" s="14" t="s">
        <v>122</v>
      </c>
      <c r="AK25" s="14" t="s">
        <v>103</v>
      </c>
      <c r="AL25" s="14">
        <v>4.9000000000000004</v>
      </c>
      <c r="AM25" s="14">
        <v>6.2</v>
      </c>
      <c r="AN25" s="18">
        <v>46023</v>
      </c>
    </row>
    <row r="26" spans="1:40" thickTop="1" thickBot="1" x14ac:dyDescent="0.3">
      <c r="A26" s="13" t="s">
        <v>227</v>
      </c>
      <c r="B26" s="14" t="s">
        <v>171</v>
      </c>
      <c r="C26" s="14" t="s">
        <v>90</v>
      </c>
      <c r="D26" s="14">
        <v>44</v>
      </c>
      <c r="E26" s="14" t="s">
        <v>91</v>
      </c>
      <c r="F26" s="14" t="s">
        <v>228</v>
      </c>
      <c r="G26" s="14" t="s">
        <v>126</v>
      </c>
      <c r="H26" s="14" t="s">
        <v>63</v>
      </c>
      <c r="I26" s="14" t="s">
        <v>158</v>
      </c>
      <c r="J26" s="14" t="s">
        <v>145</v>
      </c>
      <c r="K26" s="15">
        <v>0</v>
      </c>
      <c r="L26" s="16">
        <v>200586</v>
      </c>
      <c r="M26" s="17">
        <v>46078</v>
      </c>
      <c r="N26" s="18">
        <v>32106</v>
      </c>
      <c r="O26" s="14" t="s">
        <v>229</v>
      </c>
      <c r="P26" s="14" t="s">
        <v>230</v>
      </c>
      <c r="Q26" s="14" t="s">
        <v>231</v>
      </c>
      <c r="R26" s="14">
        <v>1.1399999999999999</v>
      </c>
      <c r="S26" s="14">
        <v>71.900000000000006</v>
      </c>
      <c r="T26" s="14">
        <v>3</v>
      </c>
      <c r="U26" s="14">
        <v>134750</v>
      </c>
      <c r="V26" s="14">
        <v>3770574</v>
      </c>
      <c r="W26" s="14">
        <v>8</v>
      </c>
      <c r="X26" s="14">
        <v>28</v>
      </c>
      <c r="Y26" s="14" t="s">
        <v>100</v>
      </c>
      <c r="Z26" s="14" t="s">
        <v>53</v>
      </c>
      <c r="AA26" s="14">
        <v>31</v>
      </c>
      <c r="AB26" s="14">
        <v>12</v>
      </c>
      <c r="AC26" s="14">
        <v>2.1</v>
      </c>
      <c r="AD26" s="14" t="s">
        <v>232</v>
      </c>
      <c r="AE26" s="14">
        <v>22</v>
      </c>
      <c r="AF26" s="14">
        <v>61011</v>
      </c>
      <c r="AG26" s="14">
        <v>28566.89</v>
      </c>
      <c r="AH26" s="14">
        <v>32444.11</v>
      </c>
      <c r="AI26" s="14" t="s">
        <v>55</v>
      </c>
      <c r="AJ26" s="14" t="s">
        <v>113</v>
      </c>
      <c r="AK26" s="14" t="s">
        <v>123</v>
      </c>
      <c r="AL26" s="14">
        <v>2.2000000000000002</v>
      </c>
      <c r="AM26" s="14">
        <v>21.6</v>
      </c>
      <c r="AN26" s="18">
        <v>46267</v>
      </c>
    </row>
    <row r="27" spans="1:40" thickTop="1" thickBot="1" x14ac:dyDescent="0.3">
      <c r="A27" s="13" t="s">
        <v>222</v>
      </c>
      <c r="B27" s="14" t="s">
        <v>176</v>
      </c>
      <c r="C27" s="14" t="s">
        <v>201</v>
      </c>
      <c r="D27" s="14">
        <v>45</v>
      </c>
      <c r="E27" s="14" t="s">
        <v>43</v>
      </c>
      <c r="F27" s="14" t="s">
        <v>92</v>
      </c>
      <c r="G27" s="14" t="s">
        <v>197</v>
      </c>
      <c r="H27" s="14" t="s">
        <v>135</v>
      </c>
      <c r="I27" s="14" t="s">
        <v>64</v>
      </c>
      <c r="J27" s="14" t="s">
        <v>96</v>
      </c>
      <c r="K27" s="15">
        <v>0</v>
      </c>
      <c r="L27" s="16">
        <v>245388</v>
      </c>
      <c r="M27" s="17">
        <v>45968</v>
      </c>
      <c r="N27" s="18">
        <v>37335</v>
      </c>
      <c r="O27" s="14" t="s">
        <v>233</v>
      </c>
      <c r="P27" s="14" t="s">
        <v>234</v>
      </c>
      <c r="Q27" s="14" t="s">
        <v>235</v>
      </c>
      <c r="R27" s="14">
        <v>2.84</v>
      </c>
      <c r="S27" s="14">
        <v>93.5</v>
      </c>
      <c r="T27" s="14">
        <v>5</v>
      </c>
      <c r="U27" s="14">
        <v>268375</v>
      </c>
      <c r="V27" s="14">
        <v>3810342</v>
      </c>
      <c r="W27" s="14">
        <v>50</v>
      </c>
      <c r="X27" s="14">
        <v>24</v>
      </c>
      <c r="Y27" s="14" t="s">
        <v>52</v>
      </c>
      <c r="Z27" s="14" t="s">
        <v>101</v>
      </c>
      <c r="AA27" s="14">
        <v>31</v>
      </c>
      <c r="AB27" s="14">
        <v>29</v>
      </c>
      <c r="AC27" s="14">
        <v>2.6</v>
      </c>
      <c r="AD27" s="14" t="s">
        <v>140</v>
      </c>
      <c r="AE27" s="14">
        <v>246</v>
      </c>
      <c r="AF27" s="14">
        <v>448071</v>
      </c>
      <c r="AG27" s="14">
        <v>240403.76</v>
      </c>
      <c r="AH27" s="14">
        <v>207667.24</v>
      </c>
      <c r="AI27" s="14" t="s">
        <v>14</v>
      </c>
      <c r="AJ27" s="14" t="s">
        <v>169</v>
      </c>
      <c r="AK27" s="14" t="s">
        <v>87</v>
      </c>
      <c r="AL27" s="14">
        <v>4.5</v>
      </c>
      <c r="AM27" s="14">
        <v>29.6</v>
      </c>
      <c r="AN27" s="18">
        <v>45929</v>
      </c>
    </row>
    <row r="28" spans="1:40" thickTop="1" thickBot="1" x14ac:dyDescent="0.3">
      <c r="A28" s="13" t="s">
        <v>110</v>
      </c>
      <c r="B28" s="14" t="s">
        <v>236</v>
      </c>
      <c r="C28" s="14" t="s">
        <v>60</v>
      </c>
      <c r="D28" s="14">
        <v>32</v>
      </c>
      <c r="E28" s="14" t="s">
        <v>78</v>
      </c>
      <c r="F28" s="14" t="s">
        <v>237</v>
      </c>
      <c r="G28" s="14" t="s">
        <v>62</v>
      </c>
      <c r="H28" s="14" t="s">
        <v>81</v>
      </c>
      <c r="I28" s="14" t="s">
        <v>95</v>
      </c>
      <c r="J28" s="14" t="s">
        <v>65</v>
      </c>
      <c r="K28" s="15">
        <v>27</v>
      </c>
      <c r="L28" s="16">
        <v>237866</v>
      </c>
      <c r="M28" s="17">
        <v>45782</v>
      </c>
      <c r="N28" s="18">
        <v>38117</v>
      </c>
      <c r="O28" s="14" t="s">
        <v>238</v>
      </c>
      <c r="P28" s="14" t="s">
        <v>239</v>
      </c>
      <c r="Q28" s="14" t="s">
        <v>240</v>
      </c>
      <c r="R28" s="14">
        <v>2.4900000000000002</v>
      </c>
      <c r="S28" s="14">
        <v>92.1</v>
      </c>
      <c r="T28" s="14">
        <v>12</v>
      </c>
      <c r="U28" s="14">
        <v>230370</v>
      </c>
      <c r="V28" s="14">
        <v>4651171</v>
      </c>
      <c r="W28" s="14">
        <v>23</v>
      </c>
      <c r="X28" s="14">
        <v>7</v>
      </c>
      <c r="Y28" s="14" t="s">
        <v>121</v>
      </c>
      <c r="Z28" s="14" t="s">
        <v>101</v>
      </c>
      <c r="AA28" s="14">
        <v>32</v>
      </c>
      <c r="AB28" s="14">
        <v>28</v>
      </c>
      <c r="AC28" s="14">
        <v>2.1</v>
      </c>
      <c r="AD28" s="14" t="s">
        <v>232</v>
      </c>
      <c r="AE28" s="14">
        <v>96</v>
      </c>
      <c r="AF28" s="14">
        <v>124230</v>
      </c>
      <c r="AG28" s="14">
        <v>60335.57</v>
      </c>
      <c r="AH28" s="14">
        <v>63894.43</v>
      </c>
      <c r="AI28" s="14" t="s">
        <v>14</v>
      </c>
      <c r="AJ28" s="14" t="s">
        <v>122</v>
      </c>
      <c r="AK28" s="14" t="s">
        <v>87</v>
      </c>
      <c r="AL28" s="14">
        <v>2</v>
      </c>
      <c r="AM28" s="14">
        <v>7.4</v>
      </c>
      <c r="AN28" s="18">
        <v>46196</v>
      </c>
    </row>
    <row r="29" spans="1:40" thickTop="1" thickBot="1" x14ac:dyDescent="0.3">
      <c r="A29" s="13" t="s">
        <v>138</v>
      </c>
      <c r="B29" s="14" t="s">
        <v>216</v>
      </c>
      <c r="C29" s="14" t="s">
        <v>106</v>
      </c>
      <c r="D29" s="14">
        <v>27</v>
      </c>
      <c r="E29" s="14" t="s">
        <v>78</v>
      </c>
      <c r="F29" s="14" t="s">
        <v>228</v>
      </c>
      <c r="G29" s="14" t="s">
        <v>126</v>
      </c>
      <c r="H29" s="14" t="s">
        <v>81</v>
      </c>
      <c r="I29" s="14" t="s">
        <v>158</v>
      </c>
      <c r="J29" s="14" t="s">
        <v>48</v>
      </c>
      <c r="K29" s="15">
        <v>28</v>
      </c>
      <c r="L29" s="16">
        <v>111985</v>
      </c>
      <c r="M29" s="17">
        <v>45896</v>
      </c>
      <c r="N29" s="18">
        <v>30323</v>
      </c>
      <c r="O29" s="14" t="s">
        <v>241</v>
      </c>
      <c r="P29" s="14" t="s">
        <v>242</v>
      </c>
      <c r="Q29" s="14" t="s">
        <v>227</v>
      </c>
      <c r="R29" s="14">
        <v>4.72</v>
      </c>
      <c r="S29" s="14">
        <v>81.2</v>
      </c>
      <c r="T29" s="14">
        <v>11</v>
      </c>
      <c r="U29" s="14">
        <v>235465</v>
      </c>
      <c r="V29" s="14">
        <v>10617369</v>
      </c>
      <c r="W29" s="14">
        <v>33</v>
      </c>
      <c r="X29" s="14">
        <v>24</v>
      </c>
      <c r="Y29" s="14" t="s">
        <v>149</v>
      </c>
      <c r="Z29" s="14" t="s">
        <v>111</v>
      </c>
      <c r="AA29" s="14">
        <v>30</v>
      </c>
      <c r="AB29" s="14">
        <v>1</v>
      </c>
      <c r="AC29" s="14">
        <v>3.5</v>
      </c>
      <c r="AD29" s="14" t="s">
        <v>232</v>
      </c>
      <c r="AE29" s="14">
        <v>179</v>
      </c>
      <c r="AF29" s="14">
        <v>438856</v>
      </c>
      <c r="AG29" s="14">
        <v>213810.95</v>
      </c>
      <c r="AH29" s="14">
        <v>225045.05</v>
      </c>
      <c r="AI29" s="14" t="s">
        <v>86</v>
      </c>
      <c r="AJ29" s="14" t="s">
        <v>122</v>
      </c>
      <c r="AK29" s="14" t="s">
        <v>123</v>
      </c>
      <c r="AL29" s="14">
        <v>2.4</v>
      </c>
      <c r="AM29" s="14">
        <v>1.3</v>
      </c>
      <c r="AN29" s="18">
        <v>45919</v>
      </c>
    </row>
    <row r="30" spans="1:40" thickTop="1" thickBot="1" x14ac:dyDescent="0.3">
      <c r="A30" s="13" t="s">
        <v>243</v>
      </c>
      <c r="B30" s="14" t="s">
        <v>60</v>
      </c>
      <c r="C30" s="14" t="s">
        <v>217</v>
      </c>
      <c r="D30" s="14">
        <v>21</v>
      </c>
      <c r="E30" s="14" t="s">
        <v>43</v>
      </c>
      <c r="F30" s="14" t="s">
        <v>92</v>
      </c>
      <c r="G30" s="14" t="s">
        <v>93</v>
      </c>
      <c r="H30" s="14" t="s">
        <v>135</v>
      </c>
      <c r="I30" s="14" t="s">
        <v>158</v>
      </c>
      <c r="J30" s="14" t="s">
        <v>48</v>
      </c>
      <c r="K30" s="15">
        <v>6</v>
      </c>
      <c r="L30" s="16">
        <v>43248</v>
      </c>
      <c r="M30" s="17">
        <v>46165</v>
      </c>
      <c r="N30" s="18">
        <v>35645</v>
      </c>
      <c r="O30" s="14" t="s">
        <v>244</v>
      </c>
      <c r="P30" s="14" t="s">
        <v>245</v>
      </c>
      <c r="Q30" s="14" t="s">
        <v>246</v>
      </c>
      <c r="R30" s="14">
        <v>3.66</v>
      </c>
      <c r="S30" s="14">
        <v>74.599999999999994</v>
      </c>
      <c r="T30" s="14">
        <v>34</v>
      </c>
      <c r="U30" s="14">
        <v>47790</v>
      </c>
      <c r="V30" s="14">
        <v>11456501</v>
      </c>
      <c r="W30" s="14">
        <v>20</v>
      </c>
      <c r="X30" s="14">
        <v>12</v>
      </c>
      <c r="Y30" s="14" t="s">
        <v>139</v>
      </c>
      <c r="Z30" s="14" t="s">
        <v>70</v>
      </c>
      <c r="AA30" s="14">
        <v>14</v>
      </c>
      <c r="AB30" s="14">
        <v>13</v>
      </c>
      <c r="AC30" s="14">
        <v>5</v>
      </c>
      <c r="AD30" s="14" t="s">
        <v>85</v>
      </c>
      <c r="AE30" s="14">
        <v>213</v>
      </c>
      <c r="AF30" s="14">
        <v>398898</v>
      </c>
      <c r="AG30" s="14">
        <v>275681.53999999998</v>
      </c>
      <c r="AH30" s="14">
        <v>123216.46</v>
      </c>
      <c r="AI30" s="14" t="s">
        <v>102</v>
      </c>
      <c r="AJ30" s="14" t="s">
        <v>113</v>
      </c>
      <c r="AK30" s="14" t="s">
        <v>103</v>
      </c>
      <c r="AL30" s="14">
        <v>4.5</v>
      </c>
      <c r="AM30" s="14">
        <v>12.4</v>
      </c>
      <c r="AN30" s="18">
        <v>45676</v>
      </c>
    </row>
    <row r="31" spans="1:40" thickTop="1" thickBot="1" x14ac:dyDescent="0.3">
      <c r="A31" s="13" t="s">
        <v>247</v>
      </c>
      <c r="B31" s="14" t="s">
        <v>59</v>
      </c>
      <c r="C31" s="14" t="s">
        <v>106</v>
      </c>
      <c r="D31" s="14">
        <v>21</v>
      </c>
      <c r="E31" s="14" t="s">
        <v>43</v>
      </c>
      <c r="F31" s="14" t="s">
        <v>237</v>
      </c>
      <c r="G31" s="14" t="s">
        <v>62</v>
      </c>
      <c r="H31" s="14" t="s">
        <v>157</v>
      </c>
      <c r="I31" s="14" t="s">
        <v>47</v>
      </c>
      <c r="J31" s="14" t="s">
        <v>145</v>
      </c>
      <c r="K31" s="15">
        <v>18</v>
      </c>
      <c r="L31" s="16">
        <v>130611</v>
      </c>
      <c r="M31" s="17">
        <v>46129</v>
      </c>
      <c r="N31" s="18">
        <v>38051</v>
      </c>
      <c r="O31" s="14" t="s">
        <v>248</v>
      </c>
      <c r="P31" s="14" t="s">
        <v>249</v>
      </c>
      <c r="Q31" s="14" t="s">
        <v>250</v>
      </c>
      <c r="R31" s="14">
        <v>1.57</v>
      </c>
      <c r="S31" s="14">
        <v>94.2</v>
      </c>
      <c r="T31" s="14">
        <v>25</v>
      </c>
      <c r="U31" s="14">
        <v>46677</v>
      </c>
      <c r="V31" s="14">
        <v>10111071</v>
      </c>
      <c r="W31" s="14">
        <v>79</v>
      </c>
      <c r="X31" s="14">
        <v>29</v>
      </c>
      <c r="Y31" s="14" t="s">
        <v>100</v>
      </c>
      <c r="Z31" s="14" t="s">
        <v>101</v>
      </c>
      <c r="AA31" s="14">
        <v>26</v>
      </c>
      <c r="AB31" s="14">
        <v>6</v>
      </c>
      <c r="AC31" s="14">
        <v>1.6</v>
      </c>
      <c r="AD31" s="14" t="s">
        <v>85</v>
      </c>
      <c r="AE31" s="14">
        <v>82</v>
      </c>
      <c r="AF31" s="14">
        <v>118390</v>
      </c>
      <c r="AG31" s="14">
        <v>70391.199999999997</v>
      </c>
      <c r="AH31" s="14">
        <v>47998.8</v>
      </c>
      <c r="AI31" s="14" t="s">
        <v>162</v>
      </c>
      <c r="AJ31" s="14" t="s">
        <v>122</v>
      </c>
      <c r="AK31" s="14" t="s">
        <v>74</v>
      </c>
      <c r="AL31" s="14">
        <v>2.5</v>
      </c>
      <c r="AM31" s="14">
        <v>22.6</v>
      </c>
      <c r="AN31" s="18">
        <v>45860</v>
      </c>
    </row>
    <row r="32" spans="1:40" thickTop="1" thickBot="1" x14ac:dyDescent="0.3">
      <c r="A32" s="13" t="s">
        <v>251</v>
      </c>
      <c r="B32" s="14" t="s">
        <v>171</v>
      </c>
      <c r="C32" s="14" t="s">
        <v>42</v>
      </c>
      <c r="D32" s="14">
        <v>24</v>
      </c>
      <c r="E32" s="14" t="s">
        <v>91</v>
      </c>
      <c r="F32" s="14" t="s">
        <v>92</v>
      </c>
      <c r="G32" s="14" t="s">
        <v>185</v>
      </c>
      <c r="H32" s="14" t="s">
        <v>135</v>
      </c>
      <c r="I32" s="14" t="s">
        <v>95</v>
      </c>
      <c r="J32" s="14" t="s">
        <v>65</v>
      </c>
      <c r="K32" s="15">
        <v>12</v>
      </c>
      <c r="L32" s="16">
        <v>196147</v>
      </c>
      <c r="M32" s="17">
        <v>45858</v>
      </c>
      <c r="N32" s="18">
        <v>34777</v>
      </c>
      <c r="O32" s="14" t="s">
        <v>252</v>
      </c>
      <c r="P32" s="14" t="s">
        <v>253</v>
      </c>
      <c r="Q32" s="14" t="s">
        <v>254</v>
      </c>
      <c r="R32" s="14">
        <v>4.75</v>
      </c>
      <c r="S32" s="14">
        <v>74.7</v>
      </c>
      <c r="T32" s="14">
        <v>22</v>
      </c>
      <c r="U32" s="14">
        <v>64517</v>
      </c>
      <c r="V32" s="14">
        <v>3007642</v>
      </c>
      <c r="W32" s="14">
        <v>31</v>
      </c>
      <c r="X32" s="14">
        <v>23</v>
      </c>
      <c r="Y32" s="14" t="s">
        <v>121</v>
      </c>
      <c r="Z32" s="14" t="s">
        <v>111</v>
      </c>
      <c r="AA32" s="14">
        <v>31</v>
      </c>
      <c r="AB32" s="14">
        <v>20</v>
      </c>
      <c r="AC32" s="14">
        <v>4.5</v>
      </c>
      <c r="AD32" s="14" t="s">
        <v>140</v>
      </c>
      <c r="AE32" s="14">
        <v>341</v>
      </c>
      <c r="AF32" s="14">
        <v>37805</v>
      </c>
      <c r="AG32" s="14">
        <v>30658.05</v>
      </c>
      <c r="AH32" s="14">
        <v>7146.95</v>
      </c>
      <c r="AI32" s="14" t="s">
        <v>14</v>
      </c>
      <c r="AJ32" s="14" t="s">
        <v>122</v>
      </c>
      <c r="AK32" s="14" t="s">
        <v>87</v>
      </c>
      <c r="AL32" s="14">
        <v>3.4</v>
      </c>
      <c r="AM32" s="14">
        <v>16.5</v>
      </c>
      <c r="AN32" s="18">
        <v>46300</v>
      </c>
    </row>
    <row r="33" spans="1:40" thickTop="1" thickBot="1" x14ac:dyDescent="0.3">
      <c r="A33" s="13" t="s">
        <v>255</v>
      </c>
      <c r="B33" s="14" t="s">
        <v>171</v>
      </c>
      <c r="C33" s="14" t="s">
        <v>106</v>
      </c>
      <c r="D33" s="14">
        <v>45</v>
      </c>
      <c r="E33" s="14" t="s">
        <v>91</v>
      </c>
      <c r="F33" s="14" t="s">
        <v>133</v>
      </c>
      <c r="G33" s="14" t="s">
        <v>197</v>
      </c>
      <c r="H33" s="14" t="s">
        <v>81</v>
      </c>
      <c r="I33" s="14" t="s">
        <v>95</v>
      </c>
      <c r="J33" s="14" t="s">
        <v>48</v>
      </c>
      <c r="K33" s="15">
        <v>0</v>
      </c>
      <c r="L33" s="16">
        <v>197238</v>
      </c>
      <c r="M33" s="17">
        <v>46159</v>
      </c>
      <c r="N33" s="18">
        <v>34439</v>
      </c>
      <c r="O33" s="14" t="s">
        <v>256</v>
      </c>
      <c r="P33" s="14" t="s">
        <v>257</v>
      </c>
      <c r="Q33" s="14" t="s">
        <v>209</v>
      </c>
      <c r="R33" s="14">
        <v>4.24</v>
      </c>
      <c r="S33" s="14">
        <v>82</v>
      </c>
      <c r="T33" s="14">
        <v>4</v>
      </c>
      <c r="U33" s="14">
        <v>67347</v>
      </c>
      <c r="V33" s="14">
        <v>6515891</v>
      </c>
      <c r="W33" s="14">
        <v>55</v>
      </c>
      <c r="X33" s="14">
        <v>11</v>
      </c>
      <c r="Y33" s="14" t="s">
        <v>69</v>
      </c>
      <c r="Z33" s="14" t="s">
        <v>70</v>
      </c>
      <c r="AA33" s="14">
        <v>16</v>
      </c>
      <c r="AB33" s="14">
        <v>13</v>
      </c>
      <c r="AC33" s="14">
        <v>3</v>
      </c>
      <c r="AD33" s="14" t="s">
        <v>140</v>
      </c>
      <c r="AE33" s="14">
        <v>20</v>
      </c>
      <c r="AF33" s="14">
        <v>235238</v>
      </c>
      <c r="AG33" s="14">
        <v>132683.24</v>
      </c>
      <c r="AH33" s="14">
        <v>102554.76</v>
      </c>
      <c r="AI33" s="14" t="s">
        <v>162</v>
      </c>
      <c r="AJ33" s="14" t="s">
        <v>122</v>
      </c>
      <c r="AK33" s="14" t="s">
        <v>123</v>
      </c>
      <c r="AL33" s="14">
        <v>4.0999999999999996</v>
      </c>
      <c r="AM33" s="14">
        <v>15.3</v>
      </c>
      <c r="AN33" s="18">
        <v>45713</v>
      </c>
    </row>
    <row r="34" spans="1:40" thickTop="1" thickBot="1" x14ac:dyDescent="0.3">
      <c r="A34" s="13" t="s">
        <v>258</v>
      </c>
      <c r="B34" s="14" t="s">
        <v>259</v>
      </c>
      <c r="C34" s="14" t="s">
        <v>90</v>
      </c>
      <c r="D34" s="14">
        <v>25</v>
      </c>
      <c r="E34" s="14" t="s">
        <v>91</v>
      </c>
      <c r="F34" s="14" t="s">
        <v>79</v>
      </c>
      <c r="G34" s="14" t="s">
        <v>126</v>
      </c>
      <c r="H34" s="14" t="s">
        <v>135</v>
      </c>
      <c r="I34" s="14" t="s">
        <v>64</v>
      </c>
      <c r="J34" s="14" t="s">
        <v>117</v>
      </c>
      <c r="K34" s="15">
        <v>30</v>
      </c>
      <c r="L34" s="16">
        <v>247597</v>
      </c>
      <c r="M34" s="17">
        <v>45827</v>
      </c>
      <c r="N34" s="18">
        <v>37233</v>
      </c>
      <c r="O34" s="14" t="s">
        <v>260</v>
      </c>
      <c r="P34" s="14" t="s">
        <v>261</v>
      </c>
      <c r="Q34" s="14" t="s">
        <v>262</v>
      </c>
      <c r="R34" s="14">
        <v>4.0199999999999996</v>
      </c>
      <c r="S34" s="14">
        <v>74.8</v>
      </c>
      <c r="T34" s="14">
        <v>17</v>
      </c>
      <c r="U34" s="14">
        <v>239286</v>
      </c>
      <c r="V34" s="14">
        <v>2908743</v>
      </c>
      <c r="W34" s="14">
        <v>32</v>
      </c>
      <c r="X34" s="14">
        <v>16</v>
      </c>
      <c r="Y34" s="14" t="s">
        <v>263</v>
      </c>
      <c r="Z34" s="14" t="s">
        <v>101</v>
      </c>
      <c r="AA34" s="14">
        <v>9</v>
      </c>
      <c r="AB34" s="14">
        <v>0</v>
      </c>
      <c r="AC34" s="14">
        <v>3.4</v>
      </c>
      <c r="AD34" s="14" t="s">
        <v>232</v>
      </c>
      <c r="AE34" s="14">
        <v>259</v>
      </c>
      <c r="AF34" s="14">
        <v>357226</v>
      </c>
      <c r="AG34" s="14">
        <v>286431.35999999999</v>
      </c>
      <c r="AH34" s="14">
        <v>70794.64</v>
      </c>
      <c r="AI34" s="14" t="s">
        <v>86</v>
      </c>
      <c r="AJ34" s="14" t="s">
        <v>113</v>
      </c>
      <c r="AK34" s="14" t="s">
        <v>123</v>
      </c>
      <c r="AL34" s="14">
        <v>1.1000000000000001</v>
      </c>
      <c r="AM34" s="14">
        <v>5.5</v>
      </c>
      <c r="AN34" s="18">
        <v>45823</v>
      </c>
    </row>
    <row r="35" spans="1:40" thickTop="1" thickBot="1" x14ac:dyDescent="0.3">
      <c r="A35" s="13" t="s">
        <v>168</v>
      </c>
      <c r="B35" s="14" t="s">
        <v>181</v>
      </c>
      <c r="C35" s="14" t="s">
        <v>106</v>
      </c>
      <c r="D35" s="14">
        <v>28</v>
      </c>
      <c r="E35" s="14" t="s">
        <v>91</v>
      </c>
      <c r="F35" s="14" t="s">
        <v>144</v>
      </c>
      <c r="G35" s="14" t="s">
        <v>93</v>
      </c>
      <c r="H35" s="14" t="s">
        <v>81</v>
      </c>
      <c r="I35" s="14" t="s">
        <v>47</v>
      </c>
      <c r="J35" s="14" t="s">
        <v>117</v>
      </c>
      <c r="K35" s="15">
        <v>17</v>
      </c>
      <c r="L35" s="16">
        <v>200092</v>
      </c>
      <c r="M35" s="17">
        <v>46061</v>
      </c>
      <c r="N35" s="18">
        <v>37781</v>
      </c>
      <c r="O35" s="14" t="s">
        <v>264</v>
      </c>
      <c r="P35" s="14" t="s">
        <v>265</v>
      </c>
      <c r="Q35" s="14" t="s">
        <v>266</v>
      </c>
      <c r="R35" s="14">
        <v>1.58</v>
      </c>
      <c r="S35" s="14">
        <v>79.900000000000006</v>
      </c>
      <c r="T35" s="14">
        <v>5</v>
      </c>
      <c r="U35" s="14">
        <v>231882</v>
      </c>
      <c r="V35" s="14">
        <v>4359553</v>
      </c>
      <c r="W35" s="14">
        <v>22</v>
      </c>
      <c r="X35" s="14">
        <v>19</v>
      </c>
      <c r="Y35" s="14" t="s">
        <v>149</v>
      </c>
      <c r="Z35" s="14" t="s">
        <v>53</v>
      </c>
      <c r="AA35" s="14">
        <v>11</v>
      </c>
      <c r="AB35" s="14">
        <v>4</v>
      </c>
      <c r="AC35" s="14">
        <v>4.3</v>
      </c>
      <c r="AD35" s="14" t="s">
        <v>85</v>
      </c>
      <c r="AE35" s="14">
        <v>158</v>
      </c>
      <c r="AF35" s="14">
        <v>186874</v>
      </c>
      <c r="AG35" s="14">
        <v>146005.19</v>
      </c>
      <c r="AH35" s="14">
        <v>40868.81</v>
      </c>
      <c r="AI35" s="14" t="s">
        <v>14</v>
      </c>
      <c r="AJ35" s="14" t="s">
        <v>122</v>
      </c>
      <c r="AK35" s="14" t="s">
        <v>74</v>
      </c>
      <c r="AL35" s="14">
        <v>1.9</v>
      </c>
      <c r="AM35" s="14">
        <v>8.6999999999999993</v>
      </c>
      <c r="AN35" s="18">
        <v>46298</v>
      </c>
    </row>
    <row r="36" spans="1:40" thickTop="1" thickBot="1" x14ac:dyDescent="0.3">
      <c r="A36" s="13" t="s">
        <v>240</v>
      </c>
      <c r="B36" s="14" t="s">
        <v>267</v>
      </c>
      <c r="C36" s="14" t="s">
        <v>90</v>
      </c>
      <c r="D36" s="14">
        <v>52</v>
      </c>
      <c r="E36" s="14" t="s">
        <v>78</v>
      </c>
      <c r="F36" s="14" t="s">
        <v>44</v>
      </c>
      <c r="G36" s="14" t="s">
        <v>45</v>
      </c>
      <c r="H36" s="14" t="s">
        <v>107</v>
      </c>
      <c r="I36" s="14" t="s">
        <v>47</v>
      </c>
      <c r="J36" s="14" t="s">
        <v>48</v>
      </c>
      <c r="K36" s="15">
        <v>18</v>
      </c>
      <c r="L36" s="16">
        <v>128051</v>
      </c>
      <c r="M36" s="17">
        <v>45969</v>
      </c>
      <c r="N36" s="18">
        <v>30571</v>
      </c>
      <c r="O36" s="14" t="s">
        <v>268</v>
      </c>
      <c r="P36" s="14" t="s">
        <v>269</v>
      </c>
      <c r="Q36" s="14" t="s">
        <v>270</v>
      </c>
      <c r="R36" s="14">
        <v>3.33</v>
      </c>
      <c r="S36" s="14">
        <v>87.7</v>
      </c>
      <c r="T36" s="14">
        <v>13</v>
      </c>
      <c r="U36" s="14">
        <v>192012</v>
      </c>
      <c r="V36" s="14">
        <v>10967800</v>
      </c>
      <c r="W36" s="14">
        <v>60</v>
      </c>
      <c r="X36" s="14">
        <v>5</v>
      </c>
      <c r="Y36" s="14" t="s">
        <v>52</v>
      </c>
      <c r="Z36" s="14" t="s">
        <v>111</v>
      </c>
      <c r="AA36" s="14">
        <v>4</v>
      </c>
      <c r="AB36" s="14">
        <v>1</v>
      </c>
      <c r="AC36" s="14">
        <v>4.7</v>
      </c>
      <c r="AD36" s="14" t="s">
        <v>155</v>
      </c>
      <c r="AE36" s="14">
        <v>362</v>
      </c>
      <c r="AF36" s="14">
        <v>283790</v>
      </c>
      <c r="AG36" s="14">
        <v>165936.73000000001</v>
      </c>
      <c r="AH36" s="14">
        <v>117853.27</v>
      </c>
      <c r="AI36" s="14" t="s">
        <v>162</v>
      </c>
      <c r="AJ36" s="14" t="s">
        <v>73</v>
      </c>
      <c r="AK36" s="14" t="s">
        <v>74</v>
      </c>
      <c r="AL36" s="14">
        <v>1.3</v>
      </c>
      <c r="AM36" s="14">
        <v>4.3</v>
      </c>
      <c r="AN36" s="18">
        <v>45934</v>
      </c>
    </row>
    <row r="37" spans="1:40" thickTop="1" thickBot="1" x14ac:dyDescent="0.3">
      <c r="A37" s="13" t="s">
        <v>271</v>
      </c>
      <c r="B37" s="14" t="s">
        <v>164</v>
      </c>
      <c r="C37" s="14" t="s">
        <v>191</v>
      </c>
      <c r="D37" s="14">
        <v>49</v>
      </c>
      <c r="E37" s="14" t="s">
        <v>91</v>
      </c>
      <c r="F37" s="14" t="s">
        <v>61</v>
      </c>
      <c r="G37" s="14" t="s">
        <v>197</v>
      </c>
      <c r="H37" s="14" t="s">
        <v>46</v>
      </c>
      <c r="I37" s="14" t="s">
        <v>95</v>
      </c>
      <c r="J37" s="14" t="s">
        <v>48</v>
      </c>
      <c r="K37" s="15">
        <v>1</v>
      </c>
      <c r="L37" s="16">
        <v>51129</v>
      </c>
      <c r="M37" s="17">
        <v>46202</v>
      </c>
      <c r="N37" s="18">
        <v>29408</v>
      </c>
      <c r="O37" s="14" t="s">
        <v>272</v>
      </c>
      <c r="P37" s="14" t="s">
        <v>273</v>
      </c>
      <c r="Q37" s="14" t="s">
        <v>132</v>
      </c>
      <c r="R37" s="14">
        <v>4.6500000000000004</v>
      </c>
      <c r="S37" s="14">
        <v>73.099999999999994</v>
      </c>
      <c r="T37" s="14">
        <v>35</v>
      </c>
      <c r="U37" s="14">
        <v>103420</v>
      </c>
      <c r="V37" s="14">
        <v>2886836</v>
      </c>
      <c r="W37" s="14">
        <v>52</v>
      </c>
      <c r="X37" s="14">
        <v>6</v>
      </c>
      <c r="Y37" s="14" t="s">
        <v>274</v>
      </c>
      <c r="Z37" s="14" t="s">
        <v>101</v>
      </c>
      <c r="AA37" s="14">
        <v>36</v>
      </c>
      <c r="AB37" s="14">
        <v>22</v>
      </c>
      <c r="AC37" s="14">
        <v>3</v>
      </c>
      <c r="AD37" s="14" t="s">
        <v>179</v>
      </c>
      <c r="AE37" s="14">
        <v>153</v>
      </c>
      <c r="AF37" s="14">
        <v>21027</v>
      </c>
      <c r="AG37" s="14">
        <v>9898.85</v>
      </c>
      <c r="AH37" s="14">
        <v>11128.15</v>
      </c>
      <c r="AI37" s="14" t="s">
        <v>102</v>
      </c>
      <c r="AJ37" s="14" t="s">
        <v>73</v>
      </c>
      <c r="AK37" s="14" t="s">
        <v>103</v>
      </c>
      <c r="AL37" s="14">
        <v>1</v>
      </c>
      <c r="AM37" s="14">
        <v>25.3</v>
      </c>
      <c r="AN37" s="18">
        <v>46134</v>
      </c>
    </row>
    <row r="38" spans="1:40" thickTop="1" thickBot="1" x14ac:dyDescent="0.3">
      <c r="A38" s="13" t="s">
        <v>275</v>
      </c>
      <c r="B38" s="14" t="s">
        <v>176</v>
      </c>
      <c r="C38" s="14" t="s">
        <v>115</v>
      </c>
      <c r="D38" s="14">
        <v>37</v>
      </c>
      <c r="E38" s="14" t="s">
        <v>78</v>
      </c>
      <c r="F38" s="14" t="s">
        <v>144</v>
      </c>
      <c r="G38" s="14" t="s">
        <v>185</v>
      </c>
      <c r="H38" s="14" t="s">
        <v>63</v>
      </c>
      <c r="I38" s="14" t="s">
        <v>158</v>
      </c>
      <c r="J38" s="14" t="s">
        <v>48</v>
      </c>
      <c r="K38" s="15">
        <v>8</v>
      </c>
      <c r="L38" s="16">
        <v>201688</v>
      </c>
      <c r="M38" s="17">
        <v>46225</v>
      </c>
      <c r="N38" s="18">
        <v>37094</v>
      </c>
      <c r="O38" s="14" t="s">
        <v>276</v>
      </c>
      <c r="P38" s="14" t="s">
        <v>277</v>
      </c>
      <c r="Q38" s="14" t="s">
        <v>194</v>
      </c>
      <c r="R38" s="14">
        <v>3.57</v>
      </c>
      <c r="S38" s="14">
        <v>99</v>
      </c>
      <c r="T38" s="14">
        <v>13</v>
      </c>
      <c r="U38" s="14">
        <v>44785</v>
      </c>
      <c r="V38" s="14">
        <v>9013238</v>
      </c>
      <c r="W38" s="14">
        <v>1</v>
      </c>
      <c r="X38" s="14">
        <v>5</v>
      </c>
      <c r="Y38" s="14" t="s">
        <v>139</v>
      </c>
      <c r="Z38" s="14" t="s">
        <v>101</v>
      </c>
      <c r="AA38" s="14">
        <v>15</v>
      </c>
      <c r="AB38" s="14">
        <v>3</v>
      </c>
      <c r="AC38" s="14">
        <v>4.4000000000000004</v>
      </c>
      <c r="AD38" s="14" t="s">
        <v>155</v>
      </c>
      <c r="AE38" s="14">
        <v>483</v>
      </c>
      <c r="AF38" s="14">
        <v>358687</v>
      </c>
      <c r="AG38" s="14">
        <v>221460.63</v>
      </c>
      <c r="AH38" s="14">
        <v>137226.37</v>
      </c>
      <c r="AI38" s="14" t="s">
        <v>162</v>
      </c>
      <c r="AJ38" s="14" t="s">
        <v>113</v>
      </c>
      <c r="AK38" s="14" t="s">
        <v>57</v>
      </c>
      <c r="AL38" s="14">
        <v>4.5</v>
      </c>
      <c r="AM38" s="14">
        <v>9.9</v>
      </c>
      <c r="AN38" s="18">
        <v>45902</v>
      </c>
    </row>
    <row r="39" spans="1:40" thickTop="1" thickBot="1" x14ac:dyDescent="0.3">
      <c r="A39" s="13" t="s">
        <v>194</v>
      </c>
      <c r="B39" s="14" t="s">
        <v>164</v>
      </c>
      <c r="C39" s="14" t="s">
        <v>106</v>
      </c>
      <c r="D39" s="14">
        <v>51</v>
      </c>
      <c r="E39" s="14" t="s">
        <v>91</v>
      </c>
      <c r="F39" s="14" t="s">
        <v>144</v>
      </c>
      <c r="G39" s="14" t="s">
        <v>45</v>
      </c>
      <c r="H39" s="14" t="s">
        <v>94</v>
      </c>
      <c r="I39" s="14" t="s">
        <v>95</v>
      </c>
      <c r="J39" s="14" t="s">
        <v>65</v>
      </c>
      <c r="K39" s="15">
        <v>28</v>
      </c>
      <c r="L39" s="16">
        <v>115675</v>
      </c>
      <c r="M39" s="17">
        <v>45875</v>
      </c>
      <c r="N39" s="18">
        <v>33896</v>
      </c>
      <c r="O39" s="14" t="s">
        <v>278</v>
      </c>
      <c r="P39" s="14" t="s">
        <v>279</v>
      </c>
      <c r="Q39" s="14" t="s">
        <v>215</v>
      </c>
      <c r="R39" s="14">
        <v>1.58</v>
      </c>
      <c r="S39" s="14">
        <v>70.8</v>
      </c>
      <c r="T39" s="14">
        <v>6</v>
      </c>
      <c r="U39" s="14">
        <v>84835</v>
      </c>
      <c r="V39" s="14">
        <v>6285852</v>
      </c>
      <c r="W39" s="14">
        <v>18</v>
      </c>
      <c r="X39" s="14">
        <v>22</v>
      </c>
      <c r="Y39" s="14" t="s">
        <v>149</v>
      </c>
      <c r="Z39" s="14" t="s">
        <v>111</v>
      </c>
      <c r="AA39" s="14">
        <v>35</v>
      </c>
      <c r="AB39" s="14">
        <v>30</v>
      </c>
      <c r="AC39" s="14">
        <v>1.2</v>
      </c>
      <c r="AD39" s="14" t="s">
        <v>140</v>
      </c>
      <c r="AE39" s="14">
        <v>356</v>
      </c>
      <c r="AF39" s="14">
        <v>378249</v>
      </c>
      <c r="AG39" s="14">
        <v>307597.55</v>
      </c>
      <c r="AH39" s="14">
        <v>70651.45</v>
      </c>
      <c r="AI39" s="14" t="s">
        <v>150</v>
      </c>
      <c r="AJ39" s="14" t="s">
        <v>122</v>
      </c>
      <c r="AK39" s="14" t="s">
        <v>74</v>
      </c>
      <c r="AL39" s="14">
        <v>4.4000000000000004</v>
      </c>
      <c r="AM39" s="14">
        <v>22.9</v>
      </c>
      <c r="AN39" s="18">
        <v>45862</v>
      </c>
    </row>
    <row r="40" spans="1:40" thickTop="1" thickBot="1" x14ac:dyDescent="0.3">
      <c r="A40" s="13" t="s">
        <v>280</v>
      </c>
      <c r="B40" s="14" t="s">
        <v>206</v>
      </c>
      <c r="C40" s="14" t="s">
        <v>106</v>
      </c>
      <c r="D40" s="14">
        <v>45</v>
      </c>
      <c r="E40" s="14" t="s">
        <v>78</v>
      </c>
      <c r="F40" s="14" t="s">
        <v>211</v>
      </c>
      <c r="G40" s="14" t="s">
        <v>126</v>
      </c>
      <c r="H40" s="14" t="s">
        <v>46</v>
      </c>
      <c r="I40" s="14" t="s">
        <v>47</v>
      </c>
      <c r="J40" s="14" t="s">
        <v>48</v>
      </c>
      <c r="K40" s="15">
        <v>1</v>
      </c>
      <c r="L40" s="16">
        <v>247865</v>
      </c>
      <c r="M40" s="17">
        <v>45747</v>
      </c>
      <c r="N40" s="18">
        <v>38312</v>
      </c>
      <c r="O40" s="14" t="s">
        <v>281</v>
      </c>
      <c r="P40" s="14" t="s">
        <v>282</v>
      </c>
      <c r="Q40" s="14" t="s">
        <v>170</v>
      </c>
      <c r="R40" s="14">
        <v>1.53</v>
      </c>
      <c r="S40" s="14">
        <v>93.8</v>
      </c>
      <c r="T40" s="14">
        <v>13</v>
      </c>
      <c r="U40" s="14">
        <v>154381</v>
      </c>
      <c r="V40" s="14">
        <v>5854261</v>
      </c>
      <c r="W40" s="14">
        <v>43</v>
      </c>
      <c r="X40" s="14">
        <v>13</v>
      </c>
      <c r="Y40" s="14" t="s">
        <v>139</v>
      </c>
      <c r="Z40" s="14" t="s">
        <v>111</v>
      </c>
      <c r="AA40" s="14">
        <v>49</v>
      </c>
      <c r="AB40" s="14">
        <v>45</v>
      </c>
      <c r="AC40" s="14">
        <v>2.4</v>
      </c>
      <c r="AD40" s="14" t="s">
        <v>85</v>
      </c>
      <c r="AE40" s="14">
        <v>24</v>
      </c>
      <c r="AF40" s="14">
        <v>49575</v>
      </c>
      <c r="AG40" s="14">
        <v>38445.14</v>
      </c>
      <c r="AH40" s="14">
        <v>11129.86</v>
      </c>
      <c r="AI40" s="14" t="s">
        <v>14</v>
      </c>
      <c r="AJ40" s="14" t="s">
        <v>113</v>
      </c>
      <c r="AK40" s="14" t="s">
        <v>103</v>
      </c>
      <c r="AL40" s="14">
        <v>3</v>
      </c>
      <c r="AM40" s="14">
        <v>25.5</v>
      </c>
      <c r="AN40" s="18">
        <v>46291</v>
      </c>
    </row>
    <row r="41" spans="1:40" thickTop="1" thickBot="1" x14ac:dyDescent="0.3">
      <c r="A41" s="13" t="s">
        <v>283</v>
      </c>
      <c r="B41" s="14" t="s">
        <v>42</v>
      </c>
      <c r="C41" s="14" t="s">
        <v>90</v>
      </c>
      <c r="D41" s="14">
        <v>43</v>
      </c>
      <c r="E41" s="14" t="s">
        <v>43</v>
      </c>
      <c r="F41" s="14" t="s">
        <v>144</v>
      </c>
      <c r="G41" s="14" t="s">
        <v>126</v>
      </c>
      <c r="H41" s="14" t="s">
        <v>157</v>
      </c>
      <c r="I41" s="14" t="s">
        <v>158</v>
      </c>
      <c r="J41" s="14" t="s">
        <v>96</v>
      </c>
      <c r="K41" s="15">
        <v>13</v>
      </c>
      <c r="L41" s="16">
        <v>35340</v>
      </c>
      <c r="M41" s="17">
        <v>46194</v>
      </c>
      <c r="N41" s="18">
        <v>31557</v>
      </c>
      <c r="O41" s="14" t="s">
        <v>284</v>
      </c>
      <c r="P41" s="14" t="s">
        <v>285</v>
      </c>
      <c r="Q41" s="14" t="s">
        <v>286</v>
      </c>
      <c r="R41" s="14">
        <v>2.96</v>
      </c>
      <c r="S41" s="14">
        <v>84.7</v>
      </c>
      <c r="T41" s="14">
        <v>11</v>
      </c>
      <c r="U41" s="14">
        <v>259303</v>
      </c>
      <c r="V41" s="14">
        <v>10441420</v>
      </c>
      <c r="W41" s="14">
        <v>44</v>
      </c>
      <c r="X41" s="14">
        <v>30</v>
      </c>
      <c r="Y41" s="14" t="s">
        <v>139</v>
      </c>
      <c r="Z41" s="14" t="s">
        <v>101</v>
      </c>
      <c r="AA41" s="14">
        <v>50</v>
      </c>
      <c r="AB41" s="14">
        <v>6</v>
      </c>
      <c r="AC41" s="14">
        <v>2.1</v>
      </c>
      <c r="AD41" s="14" t="s">
        <v>155</v>
      </c>
      <c r="AE41" s="14">
        <v>480</v>
      </c>
      <c r="AF41" s="14">
        <v>31383</v>
      </c>
      <c r="AG41" s="14">
        <v>19190.28</v>
      </c>
      <c r="AH41" s="14">
        <v>12192.72</v>
      </c>
      <c r="AI41" s="14" t="s">
        <v>86</v>
      </c>
      <c r="AJ41" s="14" t="s">
        <v>73</v>
      </c>
      <c r="AK41" s="14" t="s">
        <v>57</v>
      </c>
      <c r="AL41" s="14">
        <v>1.4</v>
      </c>
      <c r="AM41" s="14">
        <v>19.100000000000001</v>
      </c>
      <c r="AN41" s="18">
        <v>45740</v>
      </c>
    </row>
    <row r="42" spans="1:40" thickTop="1" thickBot="1" x14ac:dyDescent="0.3">
      <c r="A42" s="13" t="s">
        <v>235</v>
      </c>
      <c r="B42" s="14" t="s">
        <v>105</v>
      </c>
      <c r="C42" s="14" t="s">
        <v>115</v>
      </c>
      <c r="D42" s="14">
        <v>43</v>
      </c>
      <c r="E42" s="14" t="s">
        <v>78</v>
      </c>
      <c r="F42" s="14" t="s">
        <v>92</v>
      </c>
      <c r="G42" s="14" t="s">
        <v>62</v>
      </c>
      <c r="H42" s="14" t="s">
        <v>157</v>
      </c>
      <c r="I42" s="14" t="s">
        <v>64</v>
      </c>
      <c r="J42" s="14" t="s">
        <v>48</v>
      </c>
      <c r="K42" s="15">
        <v>11</v>
      </c>
      <c r="L42" s="16">
        <v>89032</v>
      </c>
      <c r="M42" s="17">
        <v>45968</v>
      </c>
      <c r="N42" s="18">
        <v>32342</v>
      </c>
      <c r="O42" s="14" t="s">
        <v>287</v>
      </c>
      <c r="P42" s="14" t="s">
        <v>288</v>
      </c>
      <c r="Q42" s="14" t="s">
        <v>231</v>
      </c>
      <c r="R42" s="14">
        <v>4.93</v>
      </c>
      <c r="S42" s="14">
        <v>88.9</v>
      </c>
      <c r="T42" s="14">
        <v>29</v>
      </c>
      <c r="U42" s="14">
        <v>66521</v>
      </c>
      <c r="V42" s="14">
        <v>9417838</v>
      </c>
      <c r="W42" s="14">
        <v>76</v>
      </c>
      <c r="X42" s="14">
        <v>24</v>
      </c>
      <c r="Y42" s="14" t="s">
        <v>149</v>
      </c>
      <c r="Z42" s="14" t="s">
        <v>53</v>
      </c>
      <c r="AA42" s="14">
        <v>41</v>
      </c>
      <c r="AB42" s="14">
        <v>20</v>
      </c>
      <c r="AC42" s="14">
        <v>3.3</v>
      </c>
      <c r="AD42" s="14" t="s">
        <v>54</v>
      </c>
      <c r="AE42" s="14">
        <v>79</v>
      </c>
      <c r="AF42" s="14">
        <v>309259</v>
      </c>
      <c r="AG42" s="14">
        <v>229212.03</v>
      </c>
      <c r="AH42" s="14">
        <v>80046.97</v>
      </c>
      <c r="AI42" s="14" t="s">
        <v>72</v>
      </c>
      <c r="AJ42" s="14" t="s">
        <v>56</v>
      </c>
      <c r="AK42" s="14" t="s">
        <v>123</v>
      </c>
      <c r="AL42" s="14">
        <v>1.7</v>
      </c>
      <c r="AM42" s="14">
        <v>13.2</v>
      </c>
      <c r="AN42" s="18">
        <v>45921</v>
      </c>
    </row>
    <row r="43" spans="1:40" thickTop="1" thickBot="1" x14ac:dyDescent="0.3">
      <c r="A43" s="13" t="s">
        <v>289</v>
      </c>
      <c r="B43" s="14" t="s">
        <v>76</v>
      </c>
      <c r="C43" s="14" t="s">
        <v>290</v>
      </c>
      <c r="D43" s="14">
        <v>53</v>
      </c>
      <c r="E43" s="14" t="s">
        <v>78</v>
      </c>
      <c r="F43" s="14" t="s">
        <v>165</v>
      </c>
      <c r="G43" s="14" t="s">
        <v>80</v>
      </c>
      <c r="H43" s="14" t="s">
        <v>135</v>
      </c>
      <c r="I43" s="14" t="s">
        <v>95</v>
      </c>
      <c r="J43" s="14" t="s">
        <v>96</v>
      </c>
      <c r="K43" s="15">
        <v>23</v>
      </c>
      <c r="L43" s="16">
        <v>120606</v>
      </c>
      <c r="M43" s="17">
        <v>46192</v>
      </c>
      <c r="N43" s="18">
        <v>33305</v>
      </c>
      <c r="O43" s="14" t="s">
        <v>291</v>
      </c>
      <c r="P43" s="14" t="s">
        <v>292</v>
      </c>
      <c r="Q43" s="14" t="s">
        <v>168</v>
      </c>
      <c r="R43" s="14">
        <v>4.9000000000000004</v>
      </c>
      <c r="S43" s="14">
        <v>91.9</v>
      </c>
      <c r="T43" s="14">
        <v>6</v>
      </c>
      <c r="U43" s="14">
        <v>86298</v>
      </c>
      <c r="V43" s="14">
        <v>11537727</v>
      </c>
      <c r="W43" s="14">
        <v>13</v>
      </c>
      <c r="X43" s="14">
        <v>6</v>
      </c>
      <c r="Y43" s="14" t="s">
        <v>274</v>
      </c>
      <c r="Z43" s="14" t="s">
        <v>101</v>
      </c>
      <c r="AA43" s="14">
        <v>42</v>
      </c>
      <c r="AB43" s="14">
        <v>15</v>
      </c>
      <c r="AC43" s="14">
        <v>4.9000000000000004</v>
      </c>
      <c r="AD43" s="14" t="s">
        <v>85</v>
      </c>
      <c r="AE43" s="14">
        <v>375</v>
      </c>
      <c r="AF43" s="14">
        <v>81090</v>
      </c>
      <c r="AG43" s="14">
        <v>46513.21</v>
      </c>
      <c r="AH43" s="14">
        <v>34576.79</v>
      </c>
      <c r="AI43" s="14" t="s">
        <v>55</v>
      </c>
      <c r="AJ43" s="14" t="s">
        <v>73</v>
      </c>
      <c r="AK43" s="14" t="s">
        <v>123</v>
      </c>
      <c r="AL43" s="14">
        <v>1.8</v>
      </c>
      <c r="AM43" s="14">
        <v>19.100000000000001</v>
      </c>
      <c r="AN43" s="18">
        <v>45767</v>
      </c>
    </row>
    <row r="44" spans="1:40" thickTop="1" thickBot="1" x14ac:dyDescent="0.3">
      <c r="A44" s="13" t="s">
        <v>120</v>
      </c>
      <c r="B44" s="14" t="s">
        <v>181</v>
      </c>
      <c r="C44" s="14" t="s">
        <v>290</v>
      </c>
      <c r="D44" s="14">
        <v>48</v>
      </c>
      <c r="E44" s="14" t="s">
        <v>91</v>
      </c>
      <c r="F44" s="14" t="s">
        <v>211</v>
      </c>
      <c r="G44" s="14" t="s">
        <v>80</v>
      </c>
      <c r="H44" s="14" t="s">
        <v>81</v>
      </c>
      <c r="I44" s="14" t="s">
        <v>47</v>
      </c>
      <c r="J44" s="14" t="s">
        <v>96</v>
      </c>
      <c r="K44" s="15">
        <v>8</v>
      </c>
      <c r="L44" s="16">
        <v>193258</v>
      </c>
      <c r="M44" s="17">
        <v>46072</v>
      </c>
      <c r="N44" s="18">
        <v>29563</v>
      </c>
      <c r="O44" s="14" t="s">
        <v>293</v>
      </c>
      <c r="P44" s="14" t="s">
        <v>294</v>
      </c>
      <c r="Q44" s="14" t="s">
        <v>99</v>
      </c>
      <c r="R44" s="14">
        <v>4</v>
      </c>
      <c r="S44" s="14">
        <v>82.6</v>
      </c>
      <c r="T44" s="14">
        <v>14</v>
      </c>
      <c r="U44" s="14">
        <v>119855</v>
      </c>
      <c r="V44" s="14">
        <v>11901737</v>
      </c>
      <c r="W44" s="14">
        <v>23</v>
      </c>
      <c r="X44" s="14">
        <v>20</v>
      </c>
      <c r="Y44" s="14" t="s">
        <v>69</v>
      </c>
      <c r="Z44" s="14" t="s">
        <v>70</v>
      </c>
      <c r="AA44" s="14">
        <v>1</v>
      </c>
      <c r="AB44" s="14">
        <v>1</v>
      </c>
      <c r="AC44" s="14">
        <v>2.7</v>
      </c>
      <c r="AD44" s="14" t="s">
        <v>85</v>
      </c>
      <c r="AE44" s="14">
        <v>321</v>
      </c>
      <c r="AF44" s="14">
        <v>218602</v>
      </c>
      <c r="AG44" s="14">
        <v>135893.73000000001</v>
      </c>
      <c r="AH44" s="14">
        <v>82708.27</v>
      </c>
      <c r="AI44" s="14" t="s">
        <v>150</v>
      </c>
      <c r="AJ44" s="14" t="s">
        <v>73</v>
      </c>
      <c r="AK44" s="14" t="s">
        <v>57</v>
      </c>
      <c r="AL44" s="14">
        <v>4.0999999999999996</v>
      </c>
      <c r="AM44" s="14">
        <v>21.4</v>
      </c>
      <c r="AN44" s="18">
        <v>46302</v>
      </c>
    </row>
    <row r="45" spans="1:40" thickTop="1" thickBot="1" x14ac:dyDescent="0.3">
      <c r="A45" s="13" t="s">
        <v>295</v>
      </c>
      <c r="B45" s="14" t="s">
        <v>156</v>
      </c>
      <c r="C45" s="14" t="s">
        <v>191</v>
      </c>
      <c r="D45" s="14">
        <v>47</v>
      </c>
      <c r="E45" s="14" t="s">
        <v>91</v>
      </c>
      <c r="F45" s="14" t="s">
        <v>237</v>
      </c>
      <c r="G45" s="14" t="s">
        <v>93</v>
      </c>
      <c r="H45" s="14" t="s">
        <v>107</v>
      </c>
      <c r="I45" s="14" t="s">
        <v>64</v>
      </c>
      <c r="J45" s="14" t="s">
        <v>145</v>
      </c>
      <c r="K45" s="15">
        <v>29</v>
      </c>
      <c r="L45" s="16">
        <v>62886</v>
      </c>
      <c r="M45" s="17">
        <v>45697</v>
      </c>
      <c r="N45" s="18">
        <v>32393</v>
      </c>
      <c r="O45" s="14" t="s">
        <v>296</v>
      </c>
      <c r="P45" s="14" t="s">
        <v>297</v>
      </c>
      <c r="Q45" s="14" t="s">
        <v>161</v>
      </c>
      <c r="R45" s="14">
        <v>2.39</v>
      </c>
      <c r="S45" s="14">
        <v>95.4</v>
      </c>
      <c r="T45" s="14">
        <v>29</v>
      </c>
      <c r="U45" s="14">
        <v>283658</v>
      </c>
      <c r="V45" s="14">
        <v>3939025</v>
      </c>
      <c r="W45" s="14">
        <v>60</v>
      </c>
      <c r="X45" s="14">
        <v>16</v>
      </c>
      <c r="Y45" s="14" t="s">
        <v>149</v>
      </c>
      <c r="Z45" s="14" t="s">
        <v>53</v>
      </c>
      <c r="AA45" s="14">
        <v>2</v>
      </c>
      <c r="AB45" s="14">
        <v>2</v>
      </c>
      <c r="AC45" s="14">
        <v>3.1</v>
      </c>
      <c r="AD45" s="14" t="s">
        <v>130</v>
      </c>
      <c r="AE45" s="14">
        <v>379</v>
      </c>
      <c r="AF45" s="14">
        <v>237077</v>
      </c>
      <c r="AG45" s="14">
        <v>149030.19</v>
      </c>
      <c r="AH45" s="14">
        <v>88046.81</v>
      </c>
      <c r="AI45" s="14" t="s">
        <v>72</v>
      </c>
      <c r="AJ45" s="14" t="s">
        <v>169</v>
      </c>
      <c r="AK45" s="14" t="s">
        <v>57</v>
      </c>
      <c r="AL45" s="14">
        <v>2.6</v>
      </c>
      <c r="AM45" s="14">
        <v>22.9</v>
      </c>
      <c r="AN45" s="18">
        <v>45783</v>
      </c>
    </row>
    <row r="46" spans="1:40" thickTop="1" thickBot="1" x14ac:dyDescent="0.3">
      <c r="A46" s="13" t="s">
        <v>286</v>
      </c>
      <c r="B46" s="14" t="s">
        <v>236</v>
      </c>
      <c r="C46" s="14" t="s">
        <v>77</v>
      </c>
      <c r="D46" s="14">
        <v>46</v>
      </c>
      <c r="E46" s="14" t="s">
        <v>78</v>
      </c>
      <c r="F46" s="14" t="s">
        <v>144</v>
      </c>
      <c r="G46" s="14" t="s">
        <v>185</v>
      </c>
      <c r="H46" s="14" t="s">
        <v>94</v>
      </c>
      <c r="I46" s="14" t="s">
        <v>64</v>
      </c>
      <c r="J46" s="14" t="s">
        <v>117</v>
      </c>
      <c r="K46" s="15">
        <v>18</v>
      </c>
      <c r="L46" s="16">
        <v>104509</v>
      </c>
      <c r="M46" s="17">
        <v>45769</v>
      </c>
      <c r="N46" s="18">
        <v>31921</v>
      </c>
      <c r="O46" s="14" t="s">
        <v>298</v>
      </c>
      <c r="P46" s="14" t="s">
        <v>299</v>
      </c>
      <c r="Q46" s="14" t="s">
        <v>243</v>
      </c>
      <c r="R46" s="14">
        <v>4.9800000000000004</v>
      </c>
      <c r="S46" s="14">
        <v>98.8</v>
      </c>
      <c r="T46" s="14">
        <v>29</v>
      </c>
      <c r="U46" s="14">
        <v>111155</v>
      </c>
      <c r="V46" s="14">
        <v>3260411</v>
      </c>
      <c r="W46" s="14">
        <v>16</v>
      </c>
      <c r="X46" s="14">
        <v>29</v>
      </c>
      <c r="Y46" s="14" t="s">
        <v>69</v>
      </c>
      <c r="Z46" s="14" t="s">
        <v>101</v>
      </c>
      <c r="AA46" s="14">
        <v>18</v>
      </c>
      <c r="AB46" s="14">
        <v>12</v>
      </c>
      <c r="AC46" s="14">
        <v>2.9</v>
      </c>
      <c r="AD46" s="14" t="s">
        <v>54</v>
      </c>
      <c r="AE46" s="14">
        <v>369</v>
      </c>
      <c r="AF46" s="14">
        <v>349269</v>
      </c>
      <c r="AG46" s="14">
        <v>164487.81</v>
      </c>
      <c r="AH46" s="14">
        <v>184781.19</v>
      </c>
      <c r="AI46" s="14" t="s">
        <v>86</v>
      </c>
      <c r="AJ46" s="14" t="s">
        <v>169</v>
      </c>
      <c r="AK46" s="14" t="s">
        <v>123</v>
      </c>
      <c r="AL46" s="14">
        <v>3.7</v>
      </c>
      <c r="AM46" s="14">
        <v>24.9</v>
      </c>
      <c r="AN46" s="18">
        <v>46081</v>
      </c>
    </row>
    <row r="47" spans="1:40" thickTop="1" thickBot="1" x14ac:dyDescent="0.3">
      <c r="A47" s="13" t="s">
        <v>300</v>
      </c>
      <c r="B47" s="14" t="s">
        <v>89</v>
      </c>
      <c r="C47" s="14" t="s">
        <v>191</v>
      </c>
      <c r="D47" s="14">
        <v>43</v>
      </c>
      <c r="E47" s="14" t="s">
        <v>78</v>
      </c>
      <c r="F47" s="14" t="s">
        <v>165</v>
      </c>
      <c r="G47" s="14" t="s">
        <v>62</v>
      </c>
      <c r="H47" s="14" t="s">
        <v>116</v>
      </c>
      <c r="I47" s="14" t="s">
        <v>64</v>
      </c>
      <c r="J47" s="14" t="s">
        <v>96</v>
      </c>
      <c r="K47" s="15">
        <v>15</v>
      </c>
      <c r="L47" s="16">
        <v>35706</v>
      </c>
      <c r="M47" s="17">
        <v>45945</v>
      </c>
      <c r="N47" s="18">
        <v>33349</v>
      </c>
      <c r="O47" s="14" t="s">
        <v>301</v>
      </c>
      <c r="P47" s="14" t="s">
        <v>302</v>
      </c>
      <c r="Q47" s="14" t="s">
        <v>303</v>
      </c>
      <c r="R47" s="14">
        <v>2.94</v>
      </c>
      <c r="S47" s="14">
        <v>88.7</v>
      </c>
      <c r="T47" s="14">
        <v>5</v>
      </c>
      <c r="U47" s="14">
        <v>190018</v>
      </c>
      <c r="V47" s="14">
        <v>3062772</v>
      </c>
      <c r="W47" s="14">
        <v>38</v>
      </c>
      <c r="X47" s="14">
        <v>27</v>
      </c>
      <c r="Y47" s="14" t="s">
        <v>274</v>
      </c>
      <c r="Z47" s="14" t="s">
        <v>111</v>
      </c>
      <c r="AA47" s="14">
        <v>9</v>
      </c>
      <c r="AB47" s="14">
        <v>7</v>
      </c>
      <c r="AC47" s="14">
        <v>1.3</v>
      </c>
      <c r="AD47" s="14" t="s">
        <v>232</v>
      </c>
      <c r="AE47" s="14">
        <v>463</v>
      </c>
      <c r="AF47" s="14">
        <v>413400</v>
      </c>
      <c r="AG47" s="14">
        <v>269891.93</v>
      </c>
      <c r="AH47" s="14">
        <v>143508.07</v>
      </c>
      <c r="AI47" s="14" t="s">
        <v>14</v>
      </c>
      <c r="AJ47" s="14" t="s">
        <v>169</v>
      </c>
      <c r="AK47" s="14" t="s">
        <v>103</v>
      </c>
      <c r="AL47" s="14">
        <v>4.3</v>
      </c>
      <c r="AM47" s="14">
        <v>19</v>
      </c>
      <c r="AN47" s="18">
        <v>45673</v>
      </c>
    </row>
    <row r="48" spans="1:40" thickTop="1" thickBot="1" x14ac:dyDescent="0.3">
      <c r="A48" s="13" t="s">
        <v>304</v>
      </c>
      <c r="B48" s="14" t="s">
        <v>42</v>
      </c>
      <c r="C48" s="14" t="s">
        <v>290</v>
      </c>
      <c r="D48" s="14">
        <v>30</v>
      </c>
      <c r="E48" s="14" t="s">
        <v>78</v>
      </c>
      <c r="F48" s="14" t="s">
        <v>237</v>
      </c>
      <c r="G48" s="14" t="s">
        <v>197</v>
      </c>
      <c r="H48" s="14" t="s">
        <v>63</v>
      </c>
      <c r="I48" s="14" t="s">
        <v>95</v>
      </c>
      <c r="J48" s="14" t="s">
        <v>96</v>
      </c>
      <c r="K48" s="15">
        <v>28</v>
      </c>
      <c r="L48" s="16">
        <v>140508</v>
      </c>
      <c r="M48" s="17">
        <v>46205</v>
      </c>
      <c r="N48" s="18">
        <v>31343</v>
      </c>
      <c r="O48" s="14" t="s">
        <v>305</v>
      </c>
      <c r="P48" s="14" t="s">
        <v>306</v>
      </c>
      <c r="Q48" s="14" t="s">
        <v>307</v>
      </c>
      <c r="R48" s="14">
        <v>4.6100000000000003</v>
      </c>
      <c r="S48" s="14">
        <v>86.5</v>
      </c>
      <c r="T48" s="14">
        <v>19</v>
      </c>
      <c r="U48" s="14">
        <v>103478</v>
      </c>
      <c r="V48" s="14">
        <v>8795688</v>
      </c>
      <c r="W48" s="14">
        <v>27</v>
      </c>
      <c r="X48" s="14">
        <v>16</v>
      </c>
      <c r="Y48" s="14" t="s">
        <v>69</v>
      </c>
      <c r="Z48" s="14" t="s">
        <v>70</v>
      </c>
      <c r="AA48" s="14">
        <v>17</v>
      </c>
      <c r="AB48" s="14">
        <v>3</v>
      </c>
      <c r="AC48" s="14">
        <v>3.7</v>
      </c>
      <c r="AD48" s="14" t="s">
        <v>179</v>
      </c>
      <c r="AE48" s="14">
        <v>284</v>
      </c>
      <c r="AF48" s="14">
        <v>52748</v>
      </c>
      <c r="AG48" s="14">
        <v>36538.75</v>
      </c>
      <c r="AH48" s="14">
        <v>16209.25</v>
      </c>
      <c r="AI48" s="14" t="s">
        <v>150</v>
      </c>
      <c r="AJ48" s="14" t="s">
        <v>113</v>
      </c>
      <c r="AK48" s="14" t="s">
        <v>87</v>
      </c>
      <c r="AL48" s="14">
        <v>1.9</v>
      </c>
      <c r="AM48" s="14">
        <v>4.2</v>
      </c>
      <c r="AN48" s="18">
        <v>46162</v>
      </c>
    </row>
    <row r="49" spans="1:40" thickTop="1" thickBot="1" x14ac:dyDescent="0.3">
      <c r="A49" s="13" t="s">
        <v>308</v>
      </c>
      <c r="B49" s="14" t="s">
        <v>206</v>
      </c>
      <c r="C49" s="14" t="s">
        <v>201</v>
      </c>
      <c r="D49" s="14">
        <v>36</v>
      </c>
      <c r="E49" s="14" t="s">
        <v>43</v>
      </c>
      <c r="F49" s="14" t="s">
        <v>237</v>
      </c>
      <c r="G49" s="14" t="s">
        <v>45</v>
      </c>
      <c r="H49" s="14" t="s">
        <v>135</v>
      </c>
      <c r="I49" s="14" t="s">
        <v>158</v>
      </c>
      <c r="J49" s="14" t="s">
        <v>145</v>
      </c>
      <c r="K49" s="15">
        <v>22</v>
      </c>
      <c r="L49" s="16">
        <v>182474</v>
      </c>
      <c r="M49" s="17">
        <v>46167</v>
      </c>
      <c r="N49" s="18">
        <v>37038</v>
      </c>
      <c r="O49" s="14" t="s">
        <v>309</v>
      </c>
      <c r="P49" s="14" t="s">
        <v>310</v>
      </c>
      <c r="Q49" s="14" t="s">
        <v>311</v>
      </c>
      <c r="R49" s="14">
        <v>2.68</v>
      </c>
      <c r="S49" s="14">
        <v>98.8</v>
      </c>
      <c r="T49" s="14">
        <v>4</v>
      </c>
      <c r="U49" s="14">
        <v>94643</v>
      </c>
      <c r="V49" s="14">
        <v>11187773</v>
      </c>
      <c r="W49" s="14">
        <v>46</v>
      </c>
      <c r="X49" s="14">
        <v>20</v>
      </c>
      <c r="Y49" s="14" t="s">
        <v>149</v>
      </c>
      <c r="Z49" s="14" t="s">
        <v>111</v>
      </c>
      <c r="AA49" s="14">
        <v>10</v>
      </c>
      <c r="AB49" s="14">
        <v>7</v>
      </c>
      <c r="AC49" s="14">
        <v>3.4</v>
      </c>
      <c r="AD49" s="14" t="s">
        <v>71</v>
      </c>
      <c r="AE49" s="14">
        <v>414</v>
      </c>
      <c r="AF49" s="14">
        <v>268949</v>
      </c>
      <c r="AG49" s="14">
        <v>167508.12</v>
      </c>
      <c r="AH49" s="14">
        <v>101440.88</v>
      </c>
      <c r="AI49" s="14" t="s">
        <v>150</v>
      </c>
      <c r="AJ49" s="14" t="s">
        <v>56</v>
      </c>
      <c r="AK49" s="14" t="s">
        <v>87</v>
      </c>
      <c r="AL49" s="14">
        <v>2.9</v>
      </c>
      <c r="AM49" s="14">
        <v>26.9</v>
      </c>
      <c r="AN49" s="18">
        <v>45692</v>
      </c>
    </row>
    <row r="50" spans="1:40" thickTop="1" thickBot="1" x14ac:dyDescent="0.3">
      <c r="A50" s="13" t="s">
        <v>231</v>
      </c>
      <c r="B50" s="14" t="s">
        <v>152</v>
      </c>
      <c r="C50" s="14" t="s">
        <v>115</v>
      </c>
      <c r="D50" s="14">
        <v>44</v>
      </c>
      <c r="E50" s="14" t="s">
        <v>43</v>
      </c>
      <c r="F50" s="14" t="s">
        <v>228</v>
      </c>
      <c r="G50" s="14" t="s">
        <v>126</v>
      </c>
      <c r="H50" s="14" t="s">
        <v>116</v>
      </c>
      <c r="I50" s="14" t="s">
        <v>64</v>
      </c>
      <c r="J50" s="14" t="s">
        <v>117</v>
      </c>
      <c r="K50" s="15">
        <v>13</v>
      </c>
      <c r="L50" s="16">
        <v>100948</v>
      </c>
      <c r="M50" s="17">
        <v>46225</v>
      </c>
      <c r="N50" s="18">
        <v>29716</v>
      </c>
      <c r="O50" s="14" t="s">
        <v>312</v>
      </c>
      <c r="P50" s="14" t="s">
        <v>313</v>
      </c>
      <c r="Q50" s="14" t="s">
        <v>254</v>
      </c>
      <c r="R50" s="14">
        <v>2.33</v>
      </c>
      <c r="S50" s="14">
        <v>99.5</v>
      </c>
      <c r="T50" s="14">
        <v>32</v>
      </c>
      <c r="U50" s="14">
        <v>180779</v>
      </c>
      <c r="V50" s="14">
        <v>3914691</v>
      </c>
      <c r="W50" s="14">
        <v>63</v>
      </c>
      <c r="X50" s="14">
        <v>25</v>
      </c>
      <c r="Y50" s="14" t="s">
        <v>69</v>
      </c>
      <c r="Z50" s="14" t="s">
        <v>53</v>
      </c>
      <c r="AA50" s="14">
        <v>22</v>
      </c>
      <c r="AB50" s="14">
        <v>3</v>
      </c>
      <c r="AC50" s="14">
        <v>1.8</v>
      </c>
      <c r="AD50" s="14" t="s">
        <v>85</v>
      </c>
      <c r="AE50" s="14">
        <v>65</v>
      </c>
      <c r="AF50" s="14">
        <v>232889</v>
      </c>
      <c r="AG50" s="14">
        <v>158679.57</v>
      </c>
      <c r="AH50" s="14">
        <v>74209.429999999993</v>
      </c>
      <c r="AI50" s="14" t="s">
        <v>150</v>
      </c>
      <c r="AJ50" s="14" t="s">
        <v>122</v>
      </c>
      <c r="AK50" s="14" t="s">
        <v>87</v>
      </c>
      <c r="AL50" s="14">
        <v>3.9</v>
      </c>
      <c r="AM50" s="14">
        <v>26.6</v>
      </c>
      <c r="AN50" s="18">
        <v>46216</v>
      </c>
    </row>
    <row r="51" spans="1:40" thickTop="1" thickBot="1" x14ac:dyDescent="0.3">
      <c r="A51" s="13" t="s">
        <v>314</v>
      </c>
      <c r="B51" s="14" t="s">
        <v>76</v>
      </c>
      <c r="C51" s="14" t="s">
        <v>201</v>
      </c>
      <c r="D51" s="14">
        <v>33</v>
      </c>
      <c r="E51" s="14" t="s">
        <v>43</v>
      </c>
      <c r="F51" s="14" t="s">
        <v>44</v>
      </c>
      <c r="G51" s="14" t="s">
        <v>45</v>
      </c>
      <c r="H51" s="14" t="s">
        <v>94</v>
      </c>
      <c r="I51" s="14" t="s">
        <v>95</v>
      </c>
      <c r="J51" s="14" t="s">
        <v>65</v>
      </c>
      <c r="K51" s="15">
        <v>28</v>
      </c>
      <c r="L51" s="16">
        <v>213514</v>
      </c>
      <c r="M51" s="17">
        <v>45742</v>
      </c>
      <c r="N51" s="18">
        <v>31434</v>
      </c>
      <c r="O51" s="14" t="s">
        <v>315</v>
      </c>
      <c r="P51" s="14" t="s">
        <v>316</v>
      </c>
      <c r="Q51" s="14" t="s">
        <v>317</v>
      </c>
      <c r="R51" s="14">
        <v>1.7</v>
      </c>
      <c r="S51" s="14">
        <v>89.9</v>
      </c>
      <c r="T51" s="14">
        <v>2</v>
      </c>
      <c r="U51" s="14">
        <v>221024</v>
      </c>
      <c r="V51" s="14">
        <v>13494539</v>
      </c>
      <c r="W51" s="14">
        <v>12</v>
      </c>
      <c r="X51" s="14">
        <v>29</v>
      </c>
      <c r="Y51" s="14" t="s">
        <v>149</v>
      </c>
      <c r="Z51" s="14" t="s">
        <v>53</v>
      </c>
      <c r="AA51" s="14">
        <v>1</v>
      </c>
      <c r="AB51" s="14">
        <v>0</v>
      </c>
      <c r="AC51" s="14">
        <v>4.5</v>
      </c>
      <c r="AD51" s="14" t="s">
        <v>189</v>
      </c>
      <c r="AE51" s="14">
        <v>402</v>
      </c>
      <c r="AF51" s="14">
        <v>223919</v>
      </c>
      <c r="AG51" s="14">
        <v>125652.23</v>
      </c>
      <c r="AH51" s="14">
        <v>98266.77</v>
      </c>
      <c r="AI51" s="14" t="s">
        <v>55</v>
      </c>
      <c r="AJ51" s="14" t="s">
        <v>56</v>
      </c>
      <c r="AK51" s="14" t="s">
        <v>123</v>
      </c>
      <c r="AL51" s="14">
        <v>4.4000000000000004</v>
      </c>
      <c r="AM51" s="14">
        <v>5.5</v>
      </c>
      <c r="AN51" s="18">
        <v>45693</v>
      </c>
    </row>
    <row r="52" spans="1:40" thickTop="1" thickBot="1" x14ac:dyDescent="0.3">
      <c r="A52" s="13" t="s">
        <v>246</v>
      </c>
      <c r="B52" s="14" t="s">
        <v>41</v>
      </c>
      <c r="C52" s="14" t="s">
        <v>201</v>
      </c>
      <c r="D52" s="14">
        <v>52</v>
      </c>
      <c r="E52" s="14" t="s">
        <v>91</v>
      </c>
      <c r="F52" s="14" t="s">
        <v>61</v>
      </c>
      <c r="G52" s="14" t="s">
        <v>45</v>
      </c>
      <c r="H52" s="14" t="s">
        <v>157</v>
      </c>
      <c r="I52" s="14" t="s">
        <v>64</v>
      </c>
      <c r="J52" s="14" t="s">
        <v>65</v>
      </c>
      <c r="K52" s="15">
        <v>22</v>
      </c>
      <c r="L52" s="16">
        <v>141076</v>
      </c>
      <c r="M52" s="17">
        <v>46115</v>
      </c>
      <c r="N52" s="18">
        <v>29973</v>
      </c>
      <c r="O52" s="14" t="s">
        <v>318</v>
      </c>
      <c r="P52" s="14" t="s">
        <v>319</v>
      </c>
      <c r="Q52" s="14" t="s">
        <v>99</v>
      </c>
      <c r="R52" s="14">
        <v>4.97</v>
      </c>
      <c r="S52" s="14">
        <v>89.8</v>
      </c>
      <c r="T52" s="14">
        <v>9</v>
      </c>
      <c r="U52" s="14">
        <v>249271</v>
      </c>
      <c r="V52" s="14">
        <v>13416554</v>
      </c>
      <c r="W52" s="14">
        <v>52</v>
      </c>
      <c r="X52" s="14">
        <v>17</v>
      </c>
      <c r="Y52" s="14" t="s">
        <v>69</v>
      </c>
      <c r="Z52" s="14" t="s">
        <v>111</v>
      </c>
      <c r="AA52" s="14">
        <v>38</v>
      </c>
      <c r="AB52" s="14">
        <v>3</v>
      </c>
      <c r="AC52" s="14">
        <v>3.6</v>
      </c>
      <c r="AD52" s="14" t="s">
        <v>155</v>
      </c>
      <c r="AE52" s="14">
        <v>458</v>
      </c>
      <c r="AF52" s="14">
        <v>240797</v>
      </c>
      <c r="AG52" s="14">
        <v>158816</v>
      </c>
      <c r="AH52" s="14">
        <v>81981</v>
      </c>
      <c r="AI52" s="14" t="s">
        <v>162</v>
      </c>
      <c r="AJ52" s="14" t="s">
        <v>122</v>
      </c>
      <c r="AK52" s="14" t="s">
        <v>87</v>
      </c>
      <c r="AL52" s="14">
        <v>1</v>
      </c>
      <c r="AM52" s="14">
        <v>20.5</v>
      </c>
      <c r="AN52" s="18">
        <v>45782</v>
      </c>
    </row>
    <row r="53" spans="1:40" thickTop="1" thickBot="1" x14ac:dyDescent="0.3">
      <c r="A53" s="13" t="s">
        <v>254</v>
      </c>
      <c r="B53" s="14" t="s">
        <v>176</v>
      </c>
      <c r="C53" s="14" t="s">
        <v>290</v>
      </c>
      <c r="D53" s="14">
        <v>36</v>
      </c>
      <c r="E53" s="14" t="s">
        <v>43</v>
      </c>
      <c r="F53" s="14" t="s">
        <v>237</v>
      </c>
      <c r="G53" s="14" t="s">
        <v>45</v>
      </c>
      <c r="H53" s="14" t="s">
        <v>63</v>
      </c>
      <c r="I53" s="14" t="s">
        <v>95</v>
      </c>
      <c r="J53" s="14" t="s">
        <v>48</v>
      </c>
      <c r="K53" s="15">
        <v>9</v>
      </c>
      <c r="L53" s="16">
        <v>199789</v>
      </c>
      <c r="M53" s="17">
        <v>46228</v>
      </c>
      <c r="N53" s="18">
        <v>37483</v>
      </c>
      <c r="O53" s="14" t="s">
        <v>320</v>
      </c>
      <c r="P53" s="14" t="s">
        <v>321</v>
      </c>
      <c r="Q53" s="14" t="s">
        <v>84</v>
      </c>
      <c r="R53" s="14">
        <v>1.1299999999999999</v>
      </c>
      <c r="S53" s="14">
        <v>71.8</v>
      </c>
      <c r="T53" s="14">
        <v>5</v>
      </c>
      <c r="U53" s="14">
        <v>203921</v>
      </c>
      <c r="V53" s="14">
        <v>5718764</v>
      </c>
      <c r="W53" s="14">
        <v>39</v>
      </c>
      <c r="X53" s="14">
        <v>23</v>
      </c>
      <c r="Y53" s="14" t="s">
        <v>52</v>
      </c>
      <c r="Z53" s="14" t="s">
        <v>70</v>
      </c>
      <c r="AA53" s="14">
        <v>2</v>
      </c>
      <c r="AB53" s="14">
        <v>1</v>
      </c>
      <c r="AC53" s="14">
        <v>3.4</v>
      </c>
      <c r="AD53" s="14" t="s">
        <v>71</v>
      </c>
      <c r="AE53" s="14">
        <v>188</v>
      </c>
      <c r="AF53" s="14">
        <v>78621</v>
      </c>
      <c r="AG53" s="14">
        <v>39131.11</v>
      </c>
      <c r="AH53" s="14">
        <v>39489.89</v>
      </c>
      <c r="AI53" s="14" t="s">
        <v>72</v>
      </c>
      <c r="AJ53" s="14" t="s">
        <v>73</v>
      </c>
      <c r="AK53" s="14" t="s">
        <v>57</v>
      </c>
      <c r="AL53" s="14">
        <v>1.6</v>
      </c>
      <c r="AM53" s="14">
        <v>23.9</v>
      </c>
      <c r="AN53" s="18">
        <v>46029</v>
      </c>
    </row>
    <row r="54" spans="1:40" thickTop="1" thickBot="1" x14ac:dyDescent="0.3">
      <c r="A54" s="13" t="s">
        <v>270</v>
      </c>
      <c r="B54" s="14" t="s">
        <v>156</v>
      </c>
      <c r="C54" s="14" t="s">
        <v>106</v>
      </c>
      <c r="D54" s="14">
        <v>49</v>
      </c>
      <c r="E54" s="14" t="s">
        <v>43</v>
      </c>
      <c r="F54" s="14" t="s">
        <v>44</v>
      </c>
      <c r="G54" s="14" t="s">
        <v>93</v>
      </c>
      <c r="H54" s="14" t="s">
        <v>116</v>
      </c>
      <c r="I54" s="14" t="s">
        <v>158</v>
      </c>
      <c r="J54" s="14" t="s">
        <v>48</v>
      </c>
      <c r="K54" s="15">
        <v>19</v>
      </c>
      <c r="L54" s="16">
        <v>205641</v>
      </c>
      <c r="M54" s="17">
        <v>45998</v>
      </c>
      <c r="N54" s="18">
        <v>36495</v>
      </c>
      <c r="O54" s="14" t="s">
        <v>322</v>
      </c>
      <c r="P54" s="14" t="s">
        <v>323</v>
      </c>
      <c r="Q54" s="14" t="s">
        <v>283</v>
      </c>
      <c r="R54" s="14">
        <v>3.34</v>
      </c>
      <c r="S54" s="14">
        <v>99.3</v>
      </c>
      <c r="T54" s="14">
        <v>15</v>
      </c>
      <c r="U54" s="14">
        <v>197487</v>
      </c>
      <c r="V54" s="14">
        <v>6998767</v>
      </c>
      <c r="W54" s="14">
        <v>48</v>
      </c>
      <c r="X54" s="14">
        <v>19</v>
      </c>
      <c r="Y54" s="14" t="s">
        <v>121</v>
      </c>
      <c r="Z54" s="14" t="s">
        <v>70</v>
      </c>
      <c r="AA54" s="14">
        <v>25</v>
      </c>
      <c r="AB54" s="14">
        <v>24</v>
      </c>
      <c r="AC54" s="14">
        <v>2.1</v>
      </c>
      <c r="AD54" s="14" t="s">
        <v>140</v>
      </c>
      <c r="AE54" s="14">
        <v>164</v>
      </c>
      <c r="AF54" s="14">
        <v>435399</v>
      </c>
      <c r="AG54" s="14">
        <v>263262.68</v>
      </c>
      <c r="AH54" s="14">
        <v>172136.32000000001</v>
      </c>
      <c r="AI54" s="14" t="s">
        <v>55</v>
      </c>
      <c r="AJ54" s="14" t="s">
        <v>113</v>
      </c>
      <c r="AK54" s="14" t="s">
        <v>87</v>
      </c>
      <c r="AL54" s="14">
        <v>1.6</v>
      </c>
      <c r="AM54" s="14">
        <v>27.6</v>
      </c>
      <c r="AN54" s="18">
        <v>45701</v>
      </c>
    </row>
    <row r="55" spans="1:40" thickTop="1" thickBot="1" x14ac:dyDescent="0.3">
      <c r="A55" s="13" t="s">
        <v>324</v>
      </c>
      <c r="B55" s="14" t="s">
        <v>171</v>
      </c>
      <c r="C55" s="14" t="s">
        <v>42</v>
      </c>
      <c r="D55" s="14">
        <v>38</v>
      </c>
      <c r="E55" s="14" t="s">
        <v>91</v>
      </c>
      <c r="F55" s="14" t="s">
        <v>228</v>
      </c>
      <c r="G55" s="14" t="s">
        <v>93</v>
      </c>
      <c r="H55" s="14" t="s">
        <v>157</v>
      </c>
      <c r="I55" s="14" t="s">
        <v>64</v>
      </c>
      <c r="J55" s="14" t="s">
        <v>145</v>
      </c>
      <c r="K55" s="15">
        <v>6</v>
      </c>
      <c r="L55" s="16">
        <v>241488</v>
      </c>
      <c r="M55" s="17">
        <v>45897</v>
      </c>
      <c r="N55" s="18">
        <v>32783</v>
      </c>
      <c r="O55" s="14" t="s">
        <v>325</v>
      </c>
      <c r="P55" s="14" t="s">
        <v>326</v>
      </c>
      <c r="Q55" s="14" t="s">
        <v>327</v>
      </c>
      <c r="R55" s="14">
        <v>1.83</v>
      </c>
      <c r="S55" s="14">
        <v>77.599999999999994</v>
      </c>
      <c r="T55" s="14">
        <v>0</v>
      </c>
      <c r="U55" s="14">
        <v>201837</v>
      </c>
      <c r="V55" s="14">
        <v>8212779</v>
      </c>
      <c r="W55" s="14">
        <v>69</v>
      </c>
      <c r="X55" s="14">
        <v>2</v>
      </c>
      <c r="Y55" s="14" t="s">
        <v>100</v>
      </c>
      <c r="Z55" s="14" t="s">
        <v>111</v>
      </c>
      <c r="AA55" s="14">
        <v>37</v>
      </c>
      <c r="AB55" s="14">
        <v>9</v>
      </c>
      <c r="AC55" s="14">
        <v>1.9</v>
      </c>
      <c r="AD55" s="14" t="s">
        <v>232</v>
      </c>
      <c r="AE55" s="14">
        <v>266</v>
      </c>
      <c r="AF55" s="14">
        <v>440592</v>
      </c>
      <c r="AG55" s="14">
        <v>343453.19</v>
      </c>
      <c r="AH55" s="14">
        <v>97138.81</v>
      </c>
      <c r="AI55" s="14" t="s">
        <v>55</v>
      </c>
      <c r="AJ55" s="14" t="s">
        <v>56</v>
      </c>
      <c r="AK55" s="14" t="s">
        <v>123</v>
      </c>
      <c r="AL55" s="14">
        <v>2.9</v>
      </c>
      <c r="AM55" s="14">
        <v>17.7</v>
      </c>
      <c r="AN55" s="18">
        <v>45851</v>
      </c>
    </row>
    <row r="56" spans="1:40" thickTop="1" thickBot="1" x14ac:dyDescent="0.3">
      <c r="A56" s="13" t="s">
        <v>311</v>
      </c>
      <c r="B56" s="14" t="s">
        <v>152</v>
      </c>
      <c r="C56" s="14" t="s">
        <v>290</v>
      </c>
      <c r="D56" s="14">
        <v>44</v>
      </c>
      <c r="E56" s="14" t="s">
        <v>91</v>
      </c>
      <c r="F56" s="14" t="s">
        <v>44</v>
      </c>
      <c r="G56" s="14" t="s">
        <v>93</v>
      </c>
      <c r="H56" s="14" t="s">
        <v>94</v>
      </c>
      <c r="I56" s="14" t="s">
        <v>95</v>
      </c>
      <c r="J56" s="14" t="s">
        <v>96</v>
      </c>
      <c r="K56" s="15">
        <v>1</v>
      </c>
      <c r="L56" s="16">
        <v>164307</v>
      </c>
      <c r="M56" s="17">
        <v>46041</v>
      </c>
      <c r="N56" s="18">
        <v>30488</v>
      </c>
      <c r="O56" s="14" t="s">
        <v>328</v>
      </c>
      <c r="P56" s="14" t="s">
        <v>329</v>
      </c>
      <c r="Q56" s="14" t="s">
        <v>205</v>
      </c>
      <c r="R56" s="14">
        <v>2.2599999999999998</v>
      </c>
      <c r="S56" s="14">
        <v>70.900000000000006</v>
      </c>
      <c r="T56" s="14">
        <v>17</v>
      </c>
      <c r="U56" s="14">
        <v>272344</v>
      </c>
      <c r="V56" s="14">
        <v>10686062</v>
      </c>
      <c r="W56" s="14">
        <v>2</v>
      </c>
      <c r="X56" s="14">
        <v>3</v>
      </c>
      <c r="Y56" s="14" t="s">
        <v>149</v>
      </c>
      <c r="Z56" s="14" t="s">
        <v>101</v>
      </c>
      <c r="AA56" s="14">
        <v>45</v>
      </c>
      <c r="AB56" s="14">
        <v>18</v>
      </c>
      <c r="AC56" s="14">
        <v>5</v>
      </c>
      <c r="AD56" s="14" t="s">
        <v>232</v>
      </c>
      <c r="AE56" s="14">
        <v>248</v>
      </c>
      <c r="AF56" s="14">
        <v>63333</v>
      </c>
      <c r="AG56" s="14">
        <v>32734.07</v>
      </c>
      <c r="AH56" s="14">
        <v>30598.93</v>
      </c>
      <c r="AI56" s="14" t="s">
        <v>86</v>
      </c>
      <c r="AJ56" s="14" t="s">
        <v>113</v>
      </c>
      <c r="AK56" s="14" t="s">
        <v>123</v>
      </c>
      <c r="AL56" s="14">
        <v>2.7</v>
      </c>
      <c r="AM56" s="14">
        <v>28.4</v>
      </c>
      <c r="AN56" s="18">
        <v>46265</v>
      </c>
    </row>
    <row r="57" spans="1:40" thickTop="1" thickBot="1" x14ac:dyDescent="0.3">
      <c r="A57" s="13" t="s">
        <v>330</v>
      </c>
      <c r="B57" s="14" t="s">
        <v>236</v>
      </c>
      <c r="C57" s="14" t="s">
        <v>42</v>
      </c>
      <c r="D57" s="14">
        <v>32</v>
      </c>
      <c r="E57" s="14" t="s">
        <v>43</v>
      </c>
      <c r="F57" s="14" t="s">
        <v>79</v>
      </c>
      <c r="G57" s="14" t="s">
        <v>45</v>
      </c>
      <c r="H57" s="14" t="s">
        <v>107</v>
      </c>
      <c r="I57" s="14" t="s">
        <v>47</v>
      </c>
      <c r="J57" s="14" t="s">
        <v>65</v>
      </c>
      <c r="K57" s="15">
        <v>11</v>
      </c>
      <c r="L57" s="16">
        <v>219961</v>
      </c>
      <c r="M57" s="17">
        <v>46127</v>
      </c>
      <c r="N57" s="18">
        <v>34758</v>
      </c>
      <c r="O57" s="14" t="s">
        <v>331</v>
      </c>
      <c r="P57" s="14" t="s">
        <v>332</v>
      </c>
      <c r="Q57" s="14" t="s">
        <v>246</v>
      </c>
      <c r="R57" s="14">
        <v>4.6900000000000004</v>
      </c>
      <c r="S57" s="14">
        <v>91.2</v>
      </c>
      <c r="T57" s="14">
        <v>5</v>
      </c>
      <c r="U57" s="14">
        <v>134843</v>
      </c>
      <c r="V57" s="14">
        <v>5847076</v>
      </c>
      <c r="W57" s="14">
        <v>72</v>
      </c>
      <c r="X57" s="14">
        <v>7</v>
      </c>
      <c r="Y57" s="14" t="s">
        <v>69</v>
      </c>
      <c r="Z57" s="14" t="s">
        <v>70</v>
      </c>
      <c r="AA57" s="14">
        <v>22</v>
      </c>
      <c r="AB57" s="14">
        <v>6</v>
      </c>
      <c r="AC57" s="14">
        <v>1.7</v>
      </c>
      <c r="AD57" s="14" t="s">
        <v>189</v>
      </c>
      <c r="AE57" s="14">
        <v>189</v>
      </c>
      <c r="AF57" s="14">
        <v>148166</v>
      </c>
      <c r="AG57" s="14">
        <v>112930.09</v>
      </c>
      <c r="AH57" s="14">
        <v>35235.910000000003</v>
      </c>
      <c r="AI57" s="14" t="s">
        <v>86</v>
      </c>
      <c r="AJ57" s="14" t="s">
        <v>169</v>
      </c>
      <c r="AK57" s="14" t="s">
        <v>57</v>
      </c>
      <c r="AL57" s="14">
        <v>1.2</v>
      </c>
      <c r="AM57" s="14">
        <v>7.7</v>
      </c>
      <c r="AN57" s="18">
        <v>46018</v>
      </c>
    </row>
    <row r="58" spans="1:40" thickTop="1" thickBot="1" x14ac:dyDescent="0.3">
      <c r="A58" s="13" t="s">
        <v>333</v>
      </c>
      <c r="B58" s="14" t="s">
        <v>60</v>
      </c>
      <c r="C58" s="14" t="s">
        <v>143</v>
      </c>
      <c r="D58" s="14">
        <v>53</v>
      </c>
      <c r="E58" s="14" t="s">
        <v>91</v>
      </c>
      <c r="F58" s="14" t="s">
        <v>228</v>
      </c>
      <c r="G58" s="14" t="s">
        <v>45</v>
      </c>
      <c r="H58" s="14" t="s">
        <v>157</v>
      </c>
      <c r="I58" s="14" t="s">
        <v>95</v>
      </c>
      <c r="J58" s="14" t="s">
        <v>117</v>
      </c>
      <c r="K58" s="15">
        <v>24</v>
      </c>
      <c r="L58" s="16">
        <v>36514</v>
      </c>
      <c r="M58" s="17">
        <v>45861</v>
      </c>
      <c r="N58" s="18">
        <v>37235</v>
      </c>
      <c r="O58" s="14" t="s">
        <v>334</v>
      </c>
      <c r="P58" s="14" t="s">
        <v>335</v>
      </c>
      <c r="Q58" s="14" t="s">
        <v>333</v>
      </c>
      <c r="R58" s="14">
        <v>4.03</v>
      </c>
      <c r="S58" s="14">
        <v>73.2</v>
      </c>
      <c r="T58" s="14">
        <v>20</v>
      </c>
      <c r="U58" s="14">
        <v>194871</v>
      </c>
      <c r="V58" s="14">
        <v>4811921</v>
      </c>
      <c r="W58" s="14">
        <v>49</v>
      </c>
      <c r="X58" s="14">
        <v>3</v>
      </c>
      <c r="Y58" s="14" t="s">
        <v>100</v>
      </c>
      <c r="Z58" s="14" t="s">
        <v>70</v>
      </c>
      <c r="AA58" s="14">
        <v>4</v>
      </c>
      <c r="AB58" s="14">
        <v>2</v>
      </c>
      <c r="AC58" s="14">
        <v>2.5</v>
      </c>
      <c r="AD58" s="14" t="s">
        <v>112</v>
      </c>
      <c r="AE58" s="14">
        <v>122</v>
      </c>
      <c r="AF58" s="14">
        <v>29567</v>
      </c>
      <c r="AG58" s="14">
        <v>22464.14</v>
      </c>
      <c r="AH58" s="14">
        <v>7102.86</v>
      </c>
      <c r="AI58" s="14" t="s">
        <v>162</v>
      </c>
      <c r="AJ58" s="14" t="s">
        <v>122</v>
      </c>
      <c r="AK58" s="14" t="s">
        <v>87</v>
      </c>
      <c r="AL58" s="14">
        <v>3.9</v>
      </c>
      <c r="AM58" s="14">
        <v>5.9</v>
      </c>
      <c r="AN58" s="18">
        <v>45694</v>
      </c>
    </row>
    <row r="59" spans="1:40" thickTop="1" thickBot="1" x14ac:dyDescent="0.3">
      <c r="A59" s="13" t="s">
        <v>174</v>
      </c>
      <c r="B59" s="14" t="s">
        <v>156</v>
      </c>
      <c r="C59" s="14" t="s">
        <v>290</v>
      </c>
      <c r="D59" s="14">
        <v>29</v>
      </c>
      <c r="E59" s="14" t="s">
        <v>43</v>
      </c>
      <c r="F59" s="14" t="s">
        <v>79</v>
      </c>
      <c r="G59" s="14" t="s">
        <v>62</v>
      </c>
      <c r="H59" s="14" t="s">
        <v>107</v>
      </c>
      <c r="I59" s="14" t="s">
        <v>47</v>
      </c>
      <c r="J59" s="14" t="s">
        <v>145</v>
      </c>
      <c r="K59" s="15">
        <v>10</v>
      </c>
      <c r="L59" s="16">
        <v>119558</v>
      </c>
      <c r="M59" s="17">
        <v>45897</v>
      </c>
      <c r="N59" s="18">
        <v>34751</v>
      </c>
      <c r="O59" s="14" t="s">
        <v>336</v>
      </c>
      <c r="P59" s="14" t="s">
        <v>337</v>
      </c>
      <c r="Q59" s="14" t="s">
        <v>120</v>
      </c>
      <c r="R59" s="14">
        <v>1.89</v>
      </c>
      <c r="S59" s="14">
        <v>71.7</v>
      </c>
      <c r="T59" s="14">
        <v>28</v>
      </c>
      <c r="U59" s="14">
        <v>290127</v>
      </c>
      <c r="V59" s="14">
        <v>2927846</v>
      </c>
      <c r="W59" s="14">
        <v>56</v>
      </c>
      <c r="X59" s="14">
        <v>27</v>
      </c>
      <c r="Y59" s="14" t="s">
        <v>52</v>
      </c>
      <c r="Z59" s="14" t="s">
        <v>53</v>
      </c>
      <c r="AA59" s="14">
        <v>24</v>
      </c>
      <c r="AB59" s="14">
        <v>23</v>
      </c>
      <c r="AC59" s="14">
        <v>2.7</v>
      </c>
      <c r="AD59" s="14" t="s">
        <v>155</v>
      </c>
      <c r="AE59" s="14">
        <v>79</v>
      </c>
      <c r="AF59" s="14">
        <v>55782</v>
      </c>
      <c r="AG59" s="14">
        <v>44378.559999999998</v>
      </c>
      <c r="AH59" s="14">
        <v>11403.44</v>
      </c>
      <c r="AI59" s="14" t="s">
        <v>102</v>
      </c>
      <c r="AJ59" s="14" t="s">
        <v>113</v>
      </c>
      <c r="AK59" s="14" t="s">
        <v>103</v>
      </c>
      <c r="AL59" s="14">
        <v>4.4000000000000004</v>
      </c>
      <c r="AM59" s="14">
        <v>10</v>
      </c>
      <c r="AN59" s="18">
        <v>45829</v>
      </c>
    </row>
    <row r="60" spans="1:40" thickTop="1" thickBot="1" x14ac:dyDescent="0.3">
      <c r="A60" s="13" t="s">
        <v>338</v>
      </c>
      <c r="B60" s="14" t="s">
        <v>181</v>
      </c>
      <c r="C60" s="14" t="s">
        <v>125</v>
      </c>
      <c r="D60" s="14">
        <v>30</v>
      </c>
      <c r="E60" s="14" t="s">
        <v>91</v>
      </c>
      <c r="F60" s="14" t="s">
        <v>144</v>
      </c>
      <c r="G60" s="14" t="s">
        <v>126</v>
      </c>
      <c r="H60" s="14" t="s">
        <v>81</v>
      </c>
      <c r="I60" s="14" t="s">
        <v>158</v>
      </c>
      <c r="J60" s="14" t="s">
        <v>48</v>
      </c>
      <c r="K60" s="15">
        <v>8</v>
      </c>
      <c r="L60" s="16">
        <v>232879</v>
      </c>
      <c r="M60" s="17">
        <v>45864</v>
      </c>
      <c r="N60" s="18">
        <v>33428</v>
      </c>
      <c r="O60" s="14" t="s">
        <v>339</v>
      </c>
      <c r="P60" s="14" t="s">
        <v>340</v>
      </c>
      <c r="Q60" s="14" t="s">
        <v>170</v>
      </c>
      <c r="R60" s="14">
        <v>2.56</v>
      </c>
      <c r="S60" s="14">
        <v>82.5</v>
      </c>
      <c r="T60" s="14">
        <v>10</v>
      </c>
      <c r="U60" s="14">
        <v>30137</v>
      </c>
      <c r="V60" s="14">
        <v>14464065</v>
      </c>
      <c r="W60" s="14">
        <v>37</v>
      </c>
      <c r="X60" s="14">
        <v>4</v>
      </c>
      <c r="Y60" s="14" t="s">
        <v>149</v>
      </c>
      <c r="Z60" s="14" t="s">
        <v>70</v>
      </c>
      <c r="AA60" s="14">
        <v>31</v>
      </c>
      <c r="AB60" s="14">
        <v>7</v>
      </c>
      <c r="AC60" s="14">
        <v>4.2</v>
      </c>
      <c r="AD60" s="14" t="s">
        <v>71</v>
      </c>
      <c r="AE60" s="14">
        <v>261</v>
      </c>
      <c r="AF60" s="14">
        <v>72272</v>
      </c>
      <c r="AG60" s="14">
        <v>41027.71</v>
      </c>
      <c r="AH60" s="14">
        <v>31244.29</v>
      </c>
      <c r="AI60" s="14" t="s">
        <v>162</v>
      </c>
      <c r="AJ60" s="14" t="s">
        <v>73</v>
      </c>
      <c r="AK60" s="14" t="s">
        <v>74</v>
      </c>
      <c r="AL60" s="14">
        <v>4.2</v>
      </c>
      <c r="AM60" s="14">
        <v>28.3</v>
      </c>
      <c r="AN60" s="18">
        <v>45951</v>
      </c>
    </row>
    <row r="61" spans="1:40" thickTop="1" thickBot="1" x14ac:dyDescent="0.3">
      <c r="A61" s="13" t="s">
        <v>341</v>
      </c>
      <c r="B61" s="14" t="s">
        <v>156</v>
      </c>
      <c r="C61" s="14" t="s">
        <v>77</v>
      </c>
      <c r="D61" s="14">
        <v>38</v>
      </c>
      <c r="E61" s="14" t="s">
        <v>91</v>
      </c>
      <c r="F61" s="14" t="s">
        <v>237</v>
      </c>
      <c r="G61" s="14" t="s">
        <v>134</v>
      </c>
      <c r="H61" s="14" t="s">
        <v>135</v>
      </c>
      <c r="I61" s="14" t="s">
        <v>95</v>
      </c>
      <c r="J61" s="14" t="s">
        <v>96</v>
      </c>
      <c r="K61" s="15">
        <v>6</v>
      </c>
      <c r="L61" s="16">
        <v>192457</v>
      </c>
      <c r="M61" s="17">
        <v>45739</v>
      </c>
      <c r="N61" s="18">
        <v>30248</v>
      </c>
      <c r="O61" s="14" t="s">
        <v>342</v>
      </c>
      <c r="P61" s="14" t="s">
        <v>343</v>
      </c>
      <c r="Q61" s="14" t="s">
        <v>209</v>
      </c>
      <c r="R61" s="14">
        <v>1.82</v>
      </c>
      <c r="S61" s="14">
        <v>88.4</v>
      </c>
      <c r="T61" s="14">
        <v>12</v>
      </c>
      <c r="U61" s="14">
        <v>161503</v>
      </c>
      <c r="V61" s="14">
        <v>3893877</v>
      </c>
      <c r="W61" s="14">
        <v>1</v>
      </c>
      <c r="X61" s="14">
        <v>2</v>
      </c>
      <c r="Y61" s="14" t="s">
        <v>274</v>
      </c>
      <c r="Z61" s="14" t="s">
        <v>111</v>
      </c>
      <c r="AA61" s="14">
        <v>27</v>
      </c>
      <c r="AB61" s="14">
        <v>6</v>
      </c>
      <c r="AC61" s="14">
        <v>3.1</v>
      </c>
      <c r="AD61" s="14" t="s">
        <v>71</v>
      </c>
      <c r="AE61" s="14">
        <v>171</v>
      </c>
      <c r="AF61" s="14">
        <v>243196</v>
      </c>
      <c r="AG61" s="14">
        <v>113086.8</v>
      </c>
      <c r="AH61" s="14">
        <v>130109.2</v>
      </c>
      <c r="AI61" s="14" t="s">
        <v>55</v>
      </c>
      <c r="AJ61" s="14" t="s">
        <v>73</v>
      </c>
      <c r="AK61" s="14" t="s">
        <v>74</v>
      </c>
      <c r="AL61" s="14">
        <v>1.1000000000000001</v>
      </c>
      <c r="AM61" s="14">
        <v>27.3</v>
      </c>
      <c r="AN61" s="18">
        <v>46146</v>
      </c>
    </row>
    <row r="62" spans="1:40" thickTop="1" thickBot="1" x14ac:dyDescent="0.3">
      <c r="A62" s="13" t="s">
        <v>344</v>
      </c>
      <c r="B62" s="14" t="s">
        <v>142</v>
      </c>
      <c r="C62" s="14" t="s">
        <v>106</v>
      </c>
      <c r="D62" s="14">
        <v>23</v>
      </c>
      <c r="E62" s="14" t="s">
        <v>78</v>
      </c>
      <c r="F62" s="14" t="s">
        <v>133</v>
      </c>
      <c r="G62" s="14" t="s">
        <v>45</v>
      </c>
      <c r="H62" s="14" t="s">
        <v>63</v>
      </c>
      <c r="I62" s="14" t="s">
        <v>64</v>
      </c>
      <c r="J62" s="14" t="s">
        <v>65</v>
      </c>
      <c r="K62" s="15">
        <v>2</v>
      </c>
      <c r="L62" s="16">
        <v>66659</v>
      </c>
      <c r="M62" s="17">
        <v>46023</v>
      </c>
      <c r="N62" s="18">
        <v>37373</v>
      </c>
      <c r="O62" s="14" t="s">
        <v>345</v>
      </c>
      <c r="P62" s="14" t="s">
        <v>346</v>
      </c>
      <c r="Q62" s="14" t="s">
        <v>266</v>
      </c>
      <c r="R62" s="14">
        <v>4.01</v>
      </c>
      <c r="S62" s="14">
        <v>71.8</v>
      </c>
      <c r="T62" s="14">
        <v>6</v>
      </c>
      <c r="U62" s="14">
        <v>259419</v>
      </c>
      <c r="V62" s="14">
        <v>7990001</v>
      </c>
      <c r="W62" s="14">
        <v>65</v>
      </c>
      <c r="X62" s="14">
        <v>0</v>
      </c>
      <c r="Y62" s="14" t="s">
        <v>52</v>
      </c>
      <c r="Z62" s="14" t="s">
        <v>111</v>
      </c>
      <c r="AA62" s="14">
        <v>37</v>
      </c>
      <c r="AB62" s="14">
        <v>23</v>
      </c>
      <c r="AC62" s="14">
        <v>2</v>
      </c>
      <c r="AD62" s="14" t="s">
        <v>179</v>
      </c>
      <c r="AE62" s="14">
        <v>114</v>
      </c>
      <c r="AF62" s="14">
        <v>154596</v>
      </c>
      <c r="AG62" s="14">
        <v>83773.38</v>
      </c>
      <c r="AH62" s="14">
        <v>70822.62</v>
      </c>
      <c r="AI62" s="14" t="s">
        <v>162</v>
      </c>
      <c r="AJ62" s="14" t="s">
        <v>169</v>
      </c>
      <c r="AK62" s="14" t="s">
        <v>74</v>
      </c>
      <c r="AL62" s="14">
        <v>2.2000000000000002</v>
      </c>
      <c r="AM62" s="14">
        <v>16.7</v>
      </c>
      <c r="AN62" s="18">
        <v>45688</v>
      </c>
    </row>
    <row r="63" spans="1:40" thickTop="1" thickBot="1" x14ac:dyDescent="0.3">
      <c r="A63" s="13" t="s">
        <v>303</v>
      </c>
      <c r="B63" s="14" t="s">
        <v>42</v>
      </c>
      <c r="C63" s="14" t="s">
        <v>60</v>
      </c>
      <c r="D63" s="14">
        <v>50</v>
      </c>
      <c r="E63" s="14" t="s">
        <v>91</v>
      </c>
      <c r="F63" s="14" t="s">
        <v>211</v>
      </c>
      <c r="G63" s="14" t="s">
        <v>197</v>
      </c>
      <c r="H63" s="14" t="s">
        <v>157</v>
      </c>
      <c r="I63" s="14" t="s">
        <v>158</v>
      </c>
      <c r="J63" s="14" t="s">
        <v>48</v>
      </c>
      <c r="K63" s="15">
        <v>22</v>
      </c>
      <c r="L63" s="16">
        <v>81916</v>
      </c>
      <c r="M63" s="17">
        <v>45704</v>
      </c>
      <c r="N63" s="18">
        <v>32188</v>
      </c>
      <c r="O63" s="14" t="s">
        <v>347</v>
      </c>
      <c r="P63" s="14" t="s">
        <v>348</v>
      </c>
      <c r="Q63" s="14" t="s">
        <v>349</v>
      </c>
      <c r="R63" s="14">
        <v>4.05</v>
      </c>
      <c r="S63" s="14">
        <v>73.3</v>
      </c>
      <c r="T63" s="14">
        <v>7</v>
      </c>
      <c r="U63" s="14">
        <v>212677</v>
      </c>
      <c r="V63" s="14">
        <v>2797717</v>
      </c>
      <c r="W63" s="14">
        <v>69</v>
      </c>
      <c r="X63" s="14">
        <v>18</v>
      </c>
      <c r="Y63" s="14" t="s">
        <v>121</v>
      </c>
      <c r="Z63" s="14" t="s">
        <v>101</v>
      </c>
      <c r="AA63" s="14">
        <v>17</v>
      </c>
      <c r="AB63" s="14">
        <v>0</v>
      </c>
      <c r="AC63" s="14">
        <v>1.6</v>
      </c>
      <c r="AD63" s="14" t="s">
        <v>232</v>
      </c>
      <c r="AE63" s="14">
        <v>236</v>
      </c>
      <c r="AF63" s="14">
        <v>381460</v>
      </c>
      <c r="AG63" s="14">
        <v>275924.13</v>
      </c>
      <c r="AH63" s="14">
        <v>105535.87</v>
      </c>
      <c r="AI63" s="14" t="s">
        <v>131</v>
      </c>
      <c r="AJ63" s="14" t="s">
        <v>169</v>
      </c>
      <c r="AK63" s="14" t="s">
        <v>74</v>
      </c>
      <c r="AL63" s="14">
        <v>4.8</v>
      </c>
      <c r="AM63" s="14">
        <v>11.7</v>
      </c>
      <c r="AN63" s="18">
        <v>46088</v>
      </c>
    </row>
    <row r="64" spans="1:40" thickTop="1" thickBot="1" x14ac:dyDescent="0.3">
      <c r="A64" s="13" t="s">
        <v>214</v>
      </c>
      <c r="B64" s="14" t="s">
        <v>236</v>
      </c>
      <c r="C64" s="14" t="s">
        <v>217</v>
      </c>
      <c r="D64" s="14">
        <v>42</v>
      </c>
      <c r="E64" s="14" t="s">
        <v>43</v>
      </c>
      <c r="F64" s="14" t="s">
        <v>211</v>
      </c>
      <c r="G64" s="14" t="s">
        <v>93</v>
      </c>
      <c r="H64" s="14" t="s">
        <v>94</v>
      </c>
      <c r="I64" s="14" t="s">
        <v>158</v>
      </c>
      <c r="J64" s="14" t="s">
        <v>145</v>
      </c>
      <c r="K64" s="15">
        <v>27</v>
      </c>
      <c r="L64" s="16">
        <v>182083</v>
      </c>
      <c r="M64" s="17">
        <v>45712</v>
      </c>
      <c r="N64" s="18">
        <v>33121</v>
      </c>
      <c r="O64" s="14" t="s">
        <v>350</v>
      </c>
      <c r="P64" s="14" t="s">
        <v>351</v>
      </c>
      <c r="Q64" s="14" t="s">
        <v>311</v>
      </c>
      <c r="R64" s="14">
        <v>3.65</v>
      </c>
      <c r="S64" s="14">
        <v>70.3</v>
      </c>
      <c r="T64" s="14">
        <v>6</v>
      </c>
      <c r="U64" s="14">
        <v>278291</v>
      </c>
      <c r="V64" s="14">
        <v>3645657</v>
      </c>
      <c r="W64" s="14">
        <v>8</v>
      </c>
      <c r="X64" s="14">
        <v>10</v>
      </c>
      <c r="Y64" s="14" t="s">
        <v>274</v>
      </c>
      <c r="Z64" s="14" t="s">
        <v>101</v>
      </c>
      <c r="AA64" s="14">
        <v>4</v>
      </c>
      <c r="AB64" s="14">
        <v>2</v>
      </c>
      <c r="AC64" s="14">
        <v>3</v>
      </c>
      <c r="AD64" s="14" t="s">
        <v>140</v>
      </c>
      <c r="AE64" s="14">
        <v>115</v>
      </c>
      <c r="AF64" s="14">
        <v>290573</v>
      </c>
      <c r="AG64" s="14">
        <v>134650.57</v>
      </c>
      <c r="AH64" s="14">
        <v>155922.43</v>
      </c>
      <c r="AI64" s="14" t="s">
        <v>162</v>
      </c>
      <c r="AJ64" s="14" t="s">
        <v>73</v>
      </c>
      <c r="AK64" s="14" t="s">
        <v>87</v>
      </c>
      <c r="AL64" s="14">
        <v>4.0999999999999996</v>
      </c>
      <c r="AM64" s="14">
        <v>28.1</v>
      </c>
      <c r="AN64" s="18">
        <v>46306</v>
      </c>
    </row>
    <row r="65" spans="1:40" thickTop="1" thickBot="1" x14ac:dyDescent="0.3">
      <c r="A65" s="13" t="s">
        <v>352</v>
      </c>
      <c r="B65" s="14" t="s">
        <v>60</v>
      </c>
      <c r="C65" s="14" t="s">
        <v>201</v>
      </c>
      <c r="D65" s="14">
        <v>38</v>
      </c>
      <c r="E65" s="14" t="s">
        <v>91</v>
      </c>
      <c r="F65" s="14" t="s">
        <v>61</v>
      </c>
      <c r="G65" s="14" t="s">
        <v>45</v>
      </c>
      <c r="H65" s="14" t="s">
        <v>157</v>
      </c>
      <c r="I65" s="14" t="s">
        <v>158</v>
      </c>
      <c r="J65" s="14" t="s">
        <v>48</v>
      </c>
      <c r="K65" s="15">
        <v>16</v>
      </c>
      <c r="L65" s="16">
        <v>38582</v>
      </c>
      <c r="M65" s="17">
        <v>46102</v>
      </c>
      <c r="N65" s="18">
        <v>31787</v>
      </c>
      <c r="O65" s="14" t="s">
        <v>353</v>
      </c>
      <c r="P65" s="14" t="s">
        <v>354</v>
      </c>
      <c r="Q65" s="14" t="s">
        <v>286</v>
      </c>
      <c r="R65" s="14">
        <v>3.59</v>
      </c>
      <c r="S65" s="14">
        <v>73.599999999999994</v>
      </c>
      <c r="T65" s="14">
        <v>32</v>
      </c>
      <c r="U65" s="14">
        <v>140724</v>
      </c>
      <c r="V65" s="14">
        <v>1917239</v>
      </c>
      <c r="W65" s="14">
        <v>59</v>
      </c>
      <c r="X65" s="14">
        <v>18</v>
      </c>
      <c r="Y65" s="14" t="s">
        <v>52</v>
      </c>
      <c r="Z65" s="14" t="s">
        <v>70</v>
      </c>
      <c r="AA65" s="14">
        <v>40</v>
      </c>
      <c r="AB65" s="14">
        <v>17</v>
      </c>
      <c r="AC65" s="14">
        <v>1.5</v>
      </c>
      <c r="AD65" s="14" t="s">
        <v>189</v>
      </c>
      <c r="AE65" s="14">
        <v>453</v>
      </c>
      <c r="AF65" s="14">
        <v>33021</v>
      </c>
      <c r="AG65" s="14">
        <v>25435.23</v>
      </c>
      <c r="AH65" s="14">
        <v>7585.77</v>
      </c>
      <c r="AI65" s="14" t="s">
        <v>55</v>
      </c>
      <c r="AJ65" s="14" t="s">
        <v>73</v>
      </c>
      <c r="AK65" s="14" t="s">
        <v>103</v>
      </c>
      <c r="AL65" s="14">
        <v>2.2000000000000002</v>
      </c>
      <c r="AM65" s="14">
        <v>7.3</v>
      </c>
      <c r="AN65" s="18">
        <v>45747</v>
      </c>
    </row>
    <row r="66" spans="1:40" thickTop="1" thickBot="1" x14ac:dyDescent="0.3">
      <c r="A66" s="13" t="s">
        <v>349</v>
      </c>
      <c r="B66" s="14" t="s">
        <v>206</v>
      </c>
      <c r="C66" s="14" t="s">
        <v>191</v>
      </c>
      <c r="D66" s="14">
        <v>45</v>
      </c>
      <c r="E66" s="14" t="s">
        <v>78</v>
      </c>
      <c r="F66" s="14" t="s">
        <v>61</v>
      </c>
      <c r="G66" s="14" t="s">
        <v>93</v>
      </c>
      <c r="H66" s="14" t="s">
        <v>81</v>
      </c>
      <c r="I66" s="14" t="s">
        <v>158</v>
      </c>
      <c r="J66" s="14" t="s">
        <v>65</v>
      </c>
      <c r="K66" s="15">
        <v>15</v>
      </c>
      <c r="L66" s="16">
        <v>157936</v>
      </c>
      <c r="M66" s="17">
        <v>45975</v>
      </c>
      <c r="N66" s="18">
        <v>29322</v>
      </c>
      <c r="O66" s="14" t="s">
        <v>355</v>
      </c>
      <c r="P66" s="14" t="s">
        <v>356</v>
      </c>
      <c r="Q66" s="14" t="s">
        <v>357</v>
      </c>
      <c r="R66" s="14">
        <v>3.18</v>
      </c>
      <c r="S66" s="14">
        <v>99.1</v>
      </c>
      <c r="T66" s="14">
        <v>25</v>
      </c>
      <c r="U66" s="14">
        <v>6227</v>
      </c>
      <c r="V66" s="14">
        <v>6416533</v>
      </c>
      <c r="W66" s="14">
        <v>20</v>
      </c>
      <c r="X66" s="14">
        <v>27</v>
      </c>
      <c r="Y66" s="14" t="s">
        <v>121</v>
      </c>
      <c r="Z66" s="14" t="s">
        <v>53</v>
      </c>
      <c r="AA66" s="14">
        <v>37</v>
      </c>
      <c r="AB66" s="14">
        <v>14</v>
      </c>
      <c r="AC66" s="14">
        <v>3.2</v>
      </c>
      <c r="AD66" s="14" t="s">
        <v>112</v>
      </c>
      <c r="AE66" s="14">
        <v>138</v>
      </c>
      <c r="AF66" s="14">
        <v>253100</v>
      </c>
      <c r="AG66" s="14">
        <v>171015.23</v>
      </c>
      <c r="AH66" s="14">
        <v>82084.77</v>
      </c>
      <c r="AI66" s="14" t="s">
        <v>55</v>
      </c>
      <c r="AJ66" s="14" t="s">
        <v>169</v>
      </c>
      <c r="AK66" s="14" t="s">
        <v>123</v>
      </c>
      <c r="AL66" s="14">
        <v>1.2</v>
      </c>
      <c r="AM66" s="14">
        <v>0.7</v>
      </c>
      <c r="AN66" s="18">
        <v>46222</v>
      </c>
    </row>
    <row r="67" spans="1:40" thickTop="1" thickBot="1" x14ac:dyDescent="0.3">
      <c r="A67" s="13" t="s">
        <v>357</v>
      </c>
      <c r="B67" s="14" t="s">
        <v>176</v>
      </c>
      <c r="C67" s="14" t="s">
        <v>217</v>
      </c>
      <c r="D67" s="14">
        <v>45</v>
      </c>
      <c r="E67" s="14" t="s">
        <v>43</v>
      </c>
      <c r="F67" s="14" t="s">
        <v>133</v>
      </c>
      <c r="G67" s="14" t="s">
        <v>185</v>
      </c>
      <c r="H67" s="14" t="s">
        <v>46</v>
      </c>
      <c r="I67" s="14" t="s">
        <v>95</v>
      </c>
      <c r="J67" s="14" t="s">
        <v>145</v>
      </c>
      <c r="K67" s="15">
        <v>10</v>
      </c>
      <c r="L67" s="16">
        <v>210175</v>
      </c>
      <c r="M67" s="17">
        <v>46018</v>
      </c>
      <c r="N67" s="18">
        <v>30993</v>
      </c>
      <c r="O67" s="14" t="s">
        <v>358</v>
      </c>
      <c r="P67" s="14" t="s">
        <v>359</v>
      </c>
      <c r="Q67" s="14" t="s">
        <v>271</v>
      </c>
      <c r="R67" s="14">
        <v>4.28</v>
      </c>
      <c r="S67" s="14">
        <v>85.5</v>
      </c>
      <c r="T67" s="14">
        <v>30</v>
      </c>
      <c r="U67" s="14">
        <v>140867</v>
      </c>
      <c r="V67" s="14">
        <v>13669145</v>
      </c>
      <c r="W67" s="14">
        <v>80</v>
      </c>
      <c r="X67" s="14">
        <v>22</v>
      </c>
      <c r="Y67" s="14" t="s">
        <v>52</v>
      </c>
      <c r="Z67" s="14" t="s">
        <v>70</v>
      </c>
      <c r="AA67" s="14">
        <v>4</v>
      </c>
      <c r="AB67" s="14">
        <v>4</v>
      </c>
      <c r="AC67" s="14">
        <v>4.5</v>
      </c>
      <c r="AD67" s="14" t="s">
        <v>140</v>
      </c>
      <c r="AE67" s="14">
        <v>210</v>
      </c>
      <c r="AF67" s="14">
        <v>197449</v>
      </c>
      <c r="AG67" s="14">
        <v>120995.73</v>
      </c>
      <c r="AH67" s="14">
        <v>76453.27</v>
      </c>
      <c r="AI67" s="14" t="s">
        <v>150</v>
      </c>
      <c r="AJ67" s="14" t="s">
        <v>73</v>
      </c>
      <c r="AK67" s="14" t="s">
        <v>87</v>
      </c>
      <c r="AL67" s="14">
        <v>4.9000000000000004</v>
      </c>
      <c r="AM67" s="14">
        <v>17.2</v>
      </c>
      <c r="AN67" s="18">
        <v>46085</v>
      </c>
    </row>
    <row r="68" spans="1:40" thickTop="1" thickBot="1" x14ac:dyDescent="0.3">
      <c r="A68" s="13" t="s">
        <v>161</v>
      </c>
      <c r="B68" s="14" t="s">
        <v>181</v>
      </c>
      <c r="C68" s="14" t="s">
        <v>217</v>
      </c>
      <c r="D68" s="14">
        <v>50</v>
      </c>
      <c r="E68" s="14" t="s">
        <v>43</v>
      </c>
      <c r="F68" s="14" t="s">
        <v>133</v>
      </c>
      <c r="G68" s="14" t="s">
        <v>80</v>
      </c>
      <c r="H68" s="14" t="s">
        <v>63</v>
      </c>
      <c r="I68" s="14" t="s">
        <v>64</v>
      </c>
      <c r="J68" s="14" t="s">
        <v>65</v>
      </c>
      <c r="K68" s="15">
        <v>17</v>
      </c>
      <c r="L68" s="16">
        <v>191085</v>
      </c>
      <c r="M68" s="17">
        <v>46051</v>
      </c>
      <c r="N68" s="18">
        <v>36678</v>
      </c>
      <c r="O68" s="14" t="s">
        <v>360</v>
      </c>
      <c r="P68" s="14" t="s">
        <v>361</v>
      </c>
      <c r="Q68" s="14" t="s">
        <v>333</v>
      </c>
      <c r="R68" s="14">
        <v>2.2000000000000002</v>
      </c>
      <c r="S68" s="14">
        <v>86.1</v>
      </c>
      <c r="T68" s="14">
        <v>9</v>
      </c>
      <c r="U68" s="14">
        <v>228403</v>
      </c>
      <c r="V68" s="14">
        <v>10154160</v>
      </c>
      <c r="W68" s="14">
        <v>48</v>
      </c>
      <c r="X68" s="14">
        <v>18</v>
      </c>
      <c r="Y68" s="14" t="s">
        <v>121</v>
      </c>
      <c r="Z68" s="14" t="s">
        <v>111</v>
      </c>
      <c r="AA68" s="14">
        <v>29</v>
      </c>
      <c r="AB68" s="14">
        <v>22</v>
      </c>
      <c r="AC68" s="14">
        <v>4.3</v>
      </c>
      <c r="AD68" s="14" t="s">
        <v>71</v>
      </c>
      <c r="AE68" s="14">
        <v>165</v>
      </c>
      <c r="AF68" s="14">
        <v>333417</v>
      </c>
      <c r="AG68" s="14">
        <v>163734.29999999999</v>
      </c>
      <c r="AH68" s="14">
        <v>169682.7</v>
      </c>
      <c r="AI68" s="14" t="s">
        <v>86</v>
      </c>
      <c r="AJ68" s="14" t="s">
        <v>113</v>
      </c>
      <c r="AK68" s="14" t="s">
        <v>57</v>
      </c>
      <c r="AL68" s="14">
        <v>4.9000000000000004</v>
      </c>
      <c r="AM68" s="14">
        <v>26.7</v>
      </c>
      <c r="AN68" s="18">
        <v>45668</v>
      </c>
    </row>
    <row r="69" spans="1:40" thickTop="1" thickBot="1" x14ac:dyDescent="0.3">
      <c r="A69" s="13" t="s">
        <v>226</v>
      </c>
      <c r="B69" s="14" t="s">
        <v>42</v>
      </c>
      <c r="C69" s="14" t="s">
        <v>201</v>
      </c>
      <c r="D69" s="14">
        <v>55</v>
      </c>
      <c r="E69" s="14" t="s">
        <v>43</v>
      </c>
      <c r="F69" s="14" t="s">
        <v>61</v>
      </c>
      <c r="G69" s="14" t="s">
        <v>62</v>
      </c>
      <c r="H69" s="14" t="s">
        <v>94</v>
      </c>
      <c r="I69" s="14" t="s">
        <v>64</v>
      </c>
      <c r="J69" s="14" t="s">
        <v>145</v>
      </c>
      <c r="K69" s="15">
        <v>11</v>
      </c>
      <c r="L69" s="16">
        <v>45672</v>
      </c>
      <c r="M69" s="17">
        <v>46017</v>
      </c>
      <c r="N69" s="18">
        <v>34356</v>
      </c>
      <c r="O69" s="14" t="s">
        <v>362</v>
      </c>
      <c r="P69" s="14" t="s">
        <v>363</v>
      </c>
      <c r="Q69" s="14" t="s">
        <v>247</v>
      </c>
      <c r="R69" s="14">
        <v>1.4</v>
      </c>
      <c r="S69" s="14">
        <v>81.2</v>
      </c>
      <c r="T69" s="14">
        <v>25</v>
      </c>
      <c r="U69" s="14">
        <v>294303</v>
      </c>
      <c r="V69" s="14">
        <v>10131041</v>
      </c>
      <c r="W69" s="14">
        <v>19</v>
      </c>
      <c r="X69" s="14">
        <v>28</v>
      </c>
      <c r="Y69" s="14" t="s">
        <v>121</v>
      </c>
      <c r="Z69" s="14" t="s">
        <v>70</v>
      </c>
      <c r="AA69" s="14">
        <v>32</v>
      </c>
      <c r="AB69" s="14">
        <v>19</v>
      </c>
      <c r="AC69" s="14">
        <v>2.9</v>
      </c>
      <c r="AD69" s="14" t="s">
        <v>112</v>
      </c>
      <c r="AE69" s="14">
        <v>392</v>
      </c>
      <c r="AF69" s="14">
        <v>149505</v>
      </c>
      <c r="AG69" s="14">
        <v>98527.66</v>
      </c>
      <c r="AH69" s="14">
        <v>50977.34</v>
      </c>
      <c r="AI69" s="14" t="s">
        <v>14</v>
      </c>
      <c r="AJ69" s="14" t="s">
        <v>56</v>
      </c>
      <c r="AK69" s="14" t="s">
        <v>74</v>
      </c>
      <c r="AL69" s="14">
        <v>1.7</v>
      </c>
      <c r="AM69" s="14">
        <v>9.5</v>
      </c>
      <c r="AN69" s="18">
        <v>45734</v>
      </c>
    </row>
    <row r="70" spans="1:40" thickTop="1" thickBot="1" x14ac:dyDescent="0.3">
      <c r="A70" s="13" t="s">
        <v>364</v>
      </c>
      <c r="B70" s="14" t="s">
        <v>171</v>
      </c>
      <c r="C70" s="14" t="s">
        <v>143</v>
      </c>
      <c r="D70" s="14">
        <v>53</v>
      </c>
      <c r="E70" s="14" t="s">
        <v>43</v>
      </c>
      <c r="F70" s="14" t="s">
        <v>237</v>
      </c>
      <c r="G70" s="14" t="s">
        <v>80</v>
      </c>
      <c r="H70" s="14" t="s">
        <v>46</v>
      </c>
      <c r="I70" s="14" t="s">
        <v>95</v>
      </c>
      <c r="J70" s="14" t="s">
        <v>145</v>
      </c>
      <c r="K70" s="15">
        <v>5</v>
      </c>
      <c r="L70" s="16">
        <v>50773</v>
      </c>
      <c r="M70" s="17">
        <v>46236</v>
      </c>
      <c r="N70" s="18">
        <v>36203</v>
      </c>
      <c r="O70" s="14" t="s">
        <v>365</v>
      </c>
      <c r="P70" s="14" t="s">
        <v>366</v>
      </c>
      <c r="Q70" s="14" t="s">
        <v>367</v>
      </c>
      <c r="R70" s="14">
        <v>3.89</v>
      </c>
      <c r="S70" s="14">
        <v>90.8</v>
      </c>
      <c r="T70" s="14">
        <v>0</v>
      </c>
      <c r="U70" s="14">
        <v>1457</v>
      </c>
      <c r="V70" s="14">
        <v>5646250</v>
      </c>
      <c r="W70" s="14">
        <v>70</v>
      </c>
      <c r="X70" s="14">
        <v>0</v>
      </c>
      <c r="Y70" s="14" t="s">
        <v>139</v>
      </c>
      <c r="Z70" s="14" t="s">
        <v>70</v>
      </c>
      <c r="AA70" s="14">
        <v>19</v>
      </c>
      <c r="AB70" s="14">
        <v>10</v>
      </c>
      <c r="AC70" s="14">
        <v>4.4000000000000004</v>
      </c>
      <c r="AD70" s="14" t="s">
        <v>232</v>
      </c>
      <c r="AE70" s="14">
        <v>7</v>
      </c>
      <c r="AF70" s="14">
        <v>107057</v>
      </c>
      <c r="AG70" s="14">
        <v>52553.14</v>
      </c>
      <c r="AH70" s="14">
        <v>54503.86</v>
      </c>
      <c r="AI70" s="14" t="s">
        <v>102</v>
      </c>
      <c r="AJ70" s="14" t="s">
        <v>169</v>
      </c>
      <c r="AK70" s="14" t="s">
        <v>57</v>
      </c>
      <c r="AL70" s="14">
        <v>3</v>
      </c>
      <c r="AM70" s="14">
        <v>16.600000000000001</v>
      </c>
      <c r="AN70" s="18">
        <v>45930</v>
      </c>
    </row>
    <row r="71" spans="1:40" thickTop="1" thickBot="1" x14ac:dyDescent="0.3">
      <c r="A71" s="13" t="s">
        <v>368</v>
      </c>
      <c r="B71" s="14" t="s">
        <v>206</v>
      </c>
      <c r="C71" s="14" t="s">
        <v>143</v>
      </c>
      <c r="D71" s="14">
        <v>28</v>
      </c>
      <c r="E71" s="14" t="s">
        <v>78</v>
      </c>
      <c r="F71" s="14" t="s">
        <v>237</v>
      </c>
      <c r="G71" s="14" t="s">
        <v>185</v>
      </c>
      <c r="H71" s="14" t="s">
        <v>107</v>
      </c>
      <c r="I71" s="14" t="s">
        <v>47</v>
      </c>
      <c r="J71" s="14" t="s">
        <v>48</v>
      </c>
      <c r="K71" s="15">
        <v>5</v>
      </c>
      <c r="L71" s="16">
        <v>171968</v>
      </c>
      <c r="M71" s="17">
        <v>46160</v>
      </c>
      <c r="N71" s="18">
        <v>34621</v>
      </c>
      <c r="O71" s="14" t="s">
        <v>369</v>
      </c>
      <c r="P71" s="14" t="s">
        <v>370</v>
      </c>
      <c r="Q71" s="14" t="s">
        <v>58</v>
      </c>
      <c r="R71" s="14">
        <v>3.74</v>
      </c>
      <c r="S71" s="14">
        <v>87.4</v>
      </c>
      <c r="T71" s="14">
        <v>9</v>
      </c>
      <c r="U71" s="14">
        <v>124918</v>
      </c>
      <c r="V71" s="14">
        <v>6436530</v>
      </c>
      <c r="W71" s="14">
        <v>35</v>
      </c>
      <c r="X71" s="14">
        <v>5</v>
      </c>
      <c r="Y71" s="14" t="s">
        <v>149</v>
      </c>
      <c r="Z71" s="14" t="s">
        <v>53</v>
      </c>
      <c r="AA71" s="14">
        <v>27</v>
      </c>
      <c r="AB71" s="14">
        <v>19</v>
      </c>
      <c r="AC71" s="14">
        <v>3.5</v>
      </c>
      <c r="AD71" s="14" t="s">
        <v>232</v>
      </c>
      <c r="AE71" s="14">
        <v>32</v>
      </c>
      <c r="AF71" s="14">
        <v>90349</v>
      </c>
      <c r="AG71" s="14">
        <v>59861.01</v>
      </c>
      <c r="AH71" s="14">
        <v>30487.99</v>
      </c>
      <c r="AI71" s="14" t="s">
        <v>14</v>
      </c>
      <c r="AJ71" s="14" t="s">
        <v>169</v>
      </c>
      <c r="AK71" s="14" t="s">
        <v>87</v>
      </c>
      <c r="AL71" s="14">
        <v>3.5</v>
      </c>
      <c r="AM71" s="14">
        <v>0.6</v>
      </c>
      <c r="AN71" s="18">
        <v>45883</v>
      </c>
    </row>
    <row r="72" spans="1:40" thickTop="1" thickBot="1" x14ac:dyDescent="0.3">
      <c r="A72" s="13" t="s">
        <v>250</v>
      </c>
      <c r="B72" s="14" t="s">
        <v>164</v>
      </c>
      <c r="C72" s="14" t="s">
        <v>217</v>
      </c>
      <c r="D72" s="14">
        <v>36</v>
      </c>
      <c r="E72" s="14" t="s">
        <v>78</v>
      </c>
      <c r="F72" s="14" t="s">
        <v>211</v>
      </c>
      <c r="G72" s="14" t="s">
        <v>45</v>
      </c>
      <c r="H72" s="14" t="s">
        <v>135</v>
      </c>
      <c r="I72" s="14" t="s">
        <v>95</v>
      </c>
      <c r="J72" s="14" t="s">
        <v>117</v>
      </c>
      <c r="K72" s="15">
        <v>0</v>
      </c>
      <c r="L72" s="16">
        <v>248882</v>
      </c>
      <c r="M72" s="17">
        <v>46124</v>
      </c>
      <c r="N72" s="18">
        <v>32709</v>
      </c>
      <c r="O72" s="14" t="s">
        <v>371</v>
      </c>
      <c r="P72" s="14" t="s">
        <v>372</v>
      </c>
      <c r="Q72" s="14" t="s">
        <v>141</v>
      </c>
      <c r="R72" s="14">
        <v>1.97</v>
      </c>
      <c r="S72" s="14">
        <v>81.7</v>
      </c>
      <c r="T72" s="14">
        <v>14</v>
      </c>
      <c r="U72" s="14">
        <v>216790</v>
      </c>
      <c r="V72" s="14">
        <v>5686808</v>
      </c>
      <c r="W72" s="14">
        <v>51</v>
      </c>
      <c r="X72" s="14">
        <v>28</v>
      </c>
      <c r="Y72" s="14" t="s">
        <v>263</v>
      </c>
      <c r="Z72" s="14" t="s">
        <v>111</v>
      </c>
      <c r="AA72" s="14">
        <v>29</v>
      </c>
      <c r="AB72" s="14">
        <v>1</v>
      </c>
      <c r="AC72" s="14">
        <v>4.2</v>
      </c>
      <c r="AD72" s="14" t="s">
        <v>155</v>
      </c>
      <c r="AE72" s="14">
        <v>44</v>
      </c>
      <c r="AF72" s="14">
        <v>415585</v>
      </c>
      <c r="AG72" s="14">
        <v>334569.51</v>
      </c>
      <c r="AH72" s="14">
        <v>81015.490000000005</v>
      </c>
      <c r="AI72" s="14" t="s">
        <v>162</v>
      </c>
      <c r="AJ72" s="14" t="s">
        <v>169</v>
      </c>
      <c r="AK72" s="14" t="s">
        <v>123</v>
      </c>
      <c r="AL72" s="14">
        <v>2.5</v>
      </c>
      <c r="AM72" s="14">
        <v>0.2</v>
      </c>
      <c r="AN72" s="18">
        <v>45955</v>
      </c>
    </row>
    <row r="73" spans="1:40" thickTop="1" thickBot="1" x14ac:dyDescent="0.3">
      <c r="A73" s="13" t="s">
        <v>148</v>
      </c>
      <c r="B73" s="14" t="s">
        <v>164</v>
      </c>
      <c r="C73" s="14" t="s">
        <v>143</v>
      </c>
      <c r="D73" s="14">
        <v>42</v>
      </c>
      <c r="E73" s="14" t="s">
        <v>43</v>
      </c>
      <c r="F73" s="14" t="s">
        <v>79</v>
      </c>
      <c r="G73" s="14" t="s">
        <v>185</v>
      </c>
      <c r="H73" s="14" t="s">
        <v>94</v>
      </c>
      <c r="I73" s="14" t="s">
        <v>158</v>
      </c>
      <c r="J73" s="14" t="s">
        <v>65</v>
      </c>
      <c r="K73" s="15">
        <v>7</v>
      </c>
      <c r="L73" s="16">
        <v>136545</v>
      </c>
      <c r="M73" s="17">
        <v>45853</v>
      </c>
      <c r="N73" s="18">
        <v>34466</v>
      </c>
      <c r="O73" s="14" t="s">
        <v>373</v>
      </c>
      <c r="P73" s="14" t="s">
        <v>374</v>
      </c>
      <c r="Q73" s="14" t="s">
        <v>104</v>
      </c>
      <c r="R73" s="14">
        <v>2.12</v>
      </c>
      <c r="S73" s="14">
        <v>70.8</v>
      </c>
      <c r="T73" s="14">
        <v>9</v>
      </c>
      <c r="U73" s="14">
        <v>126772</v>
      </c>
      <c r="V73" s="14">
        <v>12342552</v>
      </c>
      <c r="W73" s="14">
        <v>16</v>
      </c>
      <c r="X73" s="14">
        <v>2</v>
      </c>
      <c r="Y73" s="14" t="s">
        <v>121</v>
      </c>
      <c r="Z73" s="14" t="s">
        <v>53</v>
      </c>
      <c r="AA73" s="14">
        <v>35</v>
      </c>
      <c r="AB73" s="14">
        <v>24</v>
      </c>
      <c r="AC73" s="14">
        <v>3.2</v>
      </c>
      <c r="AD73" s="14" t="s">
        <v>189</v>
      </c>
      <c r="AE73" s="14">
        <v>284</v>
      </c>
      <c r="AF73" s="14">
        <v>205283</v>
      </c>
      <c r="AG73" s="14">
        <v>101103.51</v>
      </c>
      <c r="AH73" s="14">
        <v>104179.49</v>
      </c>
      <c r="AI73" s="14" t="s">
        <v>72</v>
      </c>
      <c r="AJ73" s="14" t="s">
        <v>73</v>
      </c>
      <c r="AK73" s="14" t="s">
        <v>57</v>
      </c>
      <c r="AL73" s="14">
        <v>1.6</v>
      </c>
      <c r="AM73" s="14">
        <v>10.6</v>
      </c>
      <c r="AN73" s="18">
        <v>46072</v>
      </c>
    </row>
    <row r="74" spans="1:40" thickTop="1" thickBot="1" x14ac:dyDescent="0.3">
      <c r="A74" s="13" t="s">
        <v>51</v>
      </c>
      <c r="B74" s="14" t="s">
        <v>164</v>
      </c>
      <c r="C74" s="14" t="s">
        <v>106</v>
      </c>
      <c r="D74" s="14">
        <v>35</v>
      </c>
      <c r="E74" s="14" t="s">
        <v>43</v>
      </c>
      <c r="F74" s="14" t="s">
        <v>237</v>
      </c>
      <c r="G74" s="14" t="s">
        <v>80</v>
      </c>
      <c r="H74" s="14" t="s">
        <v>81</v>
      </c>
      <c r="I74" s="14" t="s">
        <v>158</v>
      </c>
      <c r="J74" s="14" t="s">
        <v>65</v>
      </c>
      <c r="K74" s="15">
        <v>7</v>
      </c>
      <c r="L74" s="16">
        <v>140945</v>
      </c>
      <c r="M74" s="17">
        <v>46180</v>
      </c>
      <c r="N74" s="18">
        <v>31499</v>
      </c>
      <c r="O74" s="14" t="s">
        <v>375</v>
      </c>
      <c r="P74" s="14" t="s">
        <v>376</v>
      </c>
      <c r="Q74" s="14" t="s">
        <v>163</v>
      </c>
      <c r="R74" s="14">
        <v>3.17</v>
      </c>
      <c r="S74" s="14">
        <v>78.099999999999994</v>
      </c>
      <c r="T74" s="14">
        <v>24</v>
      </c>
      <c r="U74" s="14">
        <v>15055</v>
      </c>
      <c r="V74" s="14">
        <v>11531379</v>
      </c>
      <c r="W74" s="14">
        <v>72</v>
      </c>
      <c r="X74" s="14">
        <v>4</v>
      </c>
      <c r="Y74" s="14" t="s">
        <v>139</v>
      </c>
      <c r="Z74" s="14" t="s">
        <v>111</v>
      </c>
      <c r="AA74" s="14">
        <v>31</v>
      </c>
      <c r="AB74" s="14">
        <v>13</v>
      </c>
      <c r="AC74" s="14">
        <v>2.6</v>
      </c>
      <c r="AD74" s="14" t="s">
        <v>179</v>
      </c>
      <c r="AE74" s="14">
        <v>355</v>
      </c>
      <c r="AF74" s="14">
        <v>319476</v>
      </c>
      <c r="AG74" s="14">
        <v>168358.04</v>
      </c>
      <c r="AH74" s="14">
        <v>151117.96</v>
      </c>
      <c r="AI74" s="14" t="s">
        <v>162</v>
      </c>
      <c r="AJ74" s="14" t="s">
        <v>169</v>
      </c>
      <c r="AK74" s="14" t="s">
        <v>123</v>
      </c>
      <c r="AL74" s="14">
        <v>1.8</v>
      </c>
      <c r="AM74" s="14">
        <v>26.7</v>
      </c>
      <c r="AN74" s="18">
        <v>45727</v>
      </c>
    </row>
    <row r="75" spans="1:40" thickTop="1" thickBot="1" x14ac:dyDescent="0.3">
      <c r="A75" s="13" t="s">
        <v>266</v>
      </c>
      <c r="B75" s="14" t="s">
        <v>206</v>
      </c>
      <c r="C75" s="14" t="s">
        <v>77</v>
      </c>
      <c r="D75" s="14">
        <v>25</v>
      </c>
      <c r="E75" s="14" t="s">
        <v>91</v>
      </c>
      <c r="F75" s="14" t="s">
        <v>165</v>
      </c>
      <c r="G75" s="14" t="s">
        <v>185</v>
      </c>
      <c r="H75" s="14" t="s">
        <v>46</v>
      </c>
      <c r="I75" s="14" t="s">
        <v>158</v>
      </c>
      <c r="J75" s="14" t="s">
        <v>96</v>
      </c>
      <c r="K75" s="15">
        <v>26</v>
      </c>
      <c r="L75" s="16">
        <v>222876</v>
      </c>
      <c r="M75" s="17">
        <v>46066</v>
      </c>
      <c r="N75" s="18">
        <v>32672</v>
      </c>
      <c r="O75" s="14" t="s">
        <v>377</v>
      </c>
      <c r="P75" s="14" t="s">
        <v>378</v>
      </c>
      <c r="Q75" s="14" t="s">
        <v>379</v>
      </c>
      <c r="R75" s="14">
        <v>4.45</v>
      </c>
      <c r="S75" s="14">
        <v>74</v>
      </c>
      <c r="T75" s="14">
        <v>17</v>
      </c>
      <c r="U75" s="14">
        <v>92480</v>
      </c>
      <c r="V75" s="14">
        <v>996170</v>
      </c>
      <c r="W75" s="14">
        <v>46</v>
      </c>
      <c r="X75" s="14">
        <v>21</v>
      </c>
      <c r="Y75" s="14" t="s">
        <v>100</v>
      </c>
      <c r="Z75" s="14" t="s">
        <v>70</v>
      </c>
      <c r="AA75" s="14">
        <v>20</v>
      </c>
      <c r="AB75" s="14">
        <v>6</v>
      </c>
      <c r="AC75" s="14">
        <v>1.1000000000000001</v>
      </c>
      <c r="AD75" s="14" t="s">
        <v>112</v>
      </c>
      <c r="AE75" s="14">
        <v>127</v>
      </c>
      <c r="AF75" s="14">
        <v>437146</v>
      </c>
      <c r="AG75" s="14">
        <v>277646.84000000003</v>
      </c>
      <c r="AH75" s="14">
        <v>159499.16</v>
      </c>
      <c r="AI75" s="14" t="s">
        <v>131</v>
      </c>
      <c r="AJ75" s="14" t="s">
        <v>113</v>
      </c>
      <c r="AK75" s="14" t="s">
        <v>74</v>
      </c>
      <c r="AL75" s="14">
        <v>1.7</v>
      </c>
      <c r="AM75" s="14">
        <v>3.5</v>
      </c>
      <c r="AN75" s="18">
        <v>46281</v>
      </c>
    </row>
    <row r="76" spans="1:40" thickTop="1" thickBot="1" x14ac:dyDescent="0.3">
      <c r="A76" s="13" t="s">
        <v>380</v>
      </c>
      <c r="B76" s="14" t="s">
        <v>216</v>
      </c>
      <c r="C76" s="14" t="s">
        <v>115</v>
      </c>
      <c r="D76" s="14">
        <v>48</v>
      </c>
      <c r="E76" s="14" t="s">
        <v>78</v>
      </c>
      <c r="F76" s="14" t="s">
        <v>165</v>
      </c>
      <c r="G76" s="14" t="s">
        <v>134</v>
      </c>
      <c r="H76" s="14" t="s">
        <v>94</v>
      </c>
      <c r="I76" s="14" t="s">
        <v>47</v>
      </c>
      <c r="J76" s="14" t="s">
        <v>65</v>
      </c>
      <c r="K76" s="15">
        <v>9</v>
      </c>
      <c r="L76" s="16">
        <v>200008</v>
      </c>
      <c r="M76" s="17">
        <v>45841</v>
      </c>
      <c r="N76" s="18">
        <v>35904</v>
      </c>
      <c r="O76" s="14" t="s">
        <v>381</v>
      </c>
      <c r="P76" s="14" t="s">
        <v>382</v>
      </c>
      <c r="Q76" s="14" t="s">
        <v>258</v>
      </c>
      <c r="R76" s="14">
        <v>4.7</v>
      </c>
      <c r="S76" s="14">
        <v>90.1</v>
      </c>
      <c r="T76" s="14">
        <v>22</v>
      </c>
      <c r="U76" s="14">
        <v>509</v>
      </c>
      <c r="V76" s="14">
        <v>2376902</v>
      </c>
      <c r="W76" s="14">
        <v>36</v>
      </c>
      <c r="X76" s="14">
        <v>28</v>
      </c>
      <c r="Y76" s="14" t="s">
        <v>149</v>
      </c>
      <c r="Z76" s="14" t="s">
        <v>111</v>
      </c>
      <c r="AA76" s="14">
        <v>3</v>
      </c>
      <c r="AB76" s="14">
        <v>1</v>
      </c>
      <c r="AC76" s="14">
        <v>4.9000000000000004</v>
      </c>
      <c r="AD76" s="14" t="s">
        <v>179</v>
      </c>
      <c r="AE76" s="14">
        <v>19</v>
      </c>
      <c r="AF76" s="14">
        <v>370162</v>
      </c>
      <c r="AG76" s="14">
        <v>172113.18</v>
      </c>
      <c r="AH76" s="14">
        <v>198048.82</v>
      </c>
      <c r="AI76" s="14" t="s">
        <v>14</v>
      </c>
      <c r="AJ76" s="14" t="s">
        <v>169</v>
      </c>
      <c r="AK76" s="14" t="s">
        <v>123</v>
      </c>
      <c r="AL76" s="14">
        <v>4</v>
      </c>
      <c r="AM76" s="14">
        <v>2.6</v>
      </c>
      <c r="AN76" s="18">
        <v>46061</v>
      </c>
    </row>
    <row r="77" spans="1:40" thickTop="1" thickBot="1" x14ac:dyDescent="0.3">
      <c r="A77" s="13" t="s">
        <v>99</v>
      </c>
      <c r="B77" s="14" t="s">
        <v>236</v>
      </c>
      <c r="C77" s="14" t="s">
        <v>290</v>
      </c>
      <c r="D77" s="14">
        <v>49</v>
      </c>
      <c r="E77" s="14" t="s">
        <v>43</v>
      </c>
      <c r="F77" s="14" t="s">
        <v>61</v>
      </c>
      <c r="G77" s="14" t="s">
        <v>197</v>
      </c>
      <c r="H77" s="14" t="s">
        <v>107</v>
      </c>
      <c r="I77" s="14" t="s">
        <v>95</v>
      </c>
      <c r="J77" s="14" t="s">
        <v>145</v>
      </c>
      <c r="K77" s="15">
        <v>21</v>
      </c>
      <c r="L77" s="16">
        <v>169186</v>
      </c>
      <c r="M77" s="17">
        <v>45788</v>
      </c>
      <c r="N77" s="18">
        <v>34791</v>
      </c>
      <c r="O77" s="14" t="s">
        <v>383</v>
      </c>
      <c r="P77" s="14" t="s">
        <v>384</v>
      </c>
      <c r="Q77" s="14" t="s">
        <v>209</v>
      </c>
      <c r="R77" s="14">
        <v>3.19</v>
      </c>
      <c r="S77" s="14">
        <v>99.1</v>
      </c>
      <c r="T77" s="14">
        <v>15</v>
      </c>
      <c r="U77" s="14">
        <v>285176</v>
      </c>
      <c r="V77" s="14">
        <v>4866720</v>
      </c>
      <c r="W77" s="14">
        <v>31</v>
      </c>
      <c r="X77" s="14">
        <v>30</v>
      </c>
      <c r="Y77" s="14" t="s">
        <v>149</v>
      </c>
      <c r="Z77" s="14" t="s">
        <v>101</v>
      </c>
      <c r="AA77" s="14">
        <v>23</v>
      </c>
      <c r="AB77" s="14">
        <v>13</v>
      </c>
      <c r="AC77" s="14">
        <v>2.4</v>
      </c>
      <c r="AD77" s="14" t="s">
        <v>130</v>
      </c>
      <c r="AE77" s="14">
        <v>47</v>
      </c>
      <c r="AF77" s="14">
        <v>162411</v>
      </c>
      <c r="AG77" s="14">
        <v>104772.98</v>
      </c>
      <c r="AH77" s="14">
        <v>57638.02</v>
      </c>
      <c r="AI77" s="14" t="s">
        <v>86</v>
      </c>
      <c r="AJ77" s="14" t="s">
        <v>113</v>
      </c>
      <c r="AK77" s="14" t="s">
        <v>57</v>
      </c>
      <c r="AL77" s="14">
        <v>1.5</v>
      </c>
      <c r="AM77" s="14">
        <v>21.2</v>
      </c>
      <c r="AN77" s="18">
        <v>46152</v>
      </c>
    </row>
    <row r="78" spans="1:40" thickTop="1" thickBot="1" x14ac:dyDescent="0.3">
      <c r="A78" s="13" t="s">
        <v>385</v>
      </c>
      <c r="B78" s="14" t="s">
        <v>216</v>
      </c>
      <c r="C78" s="14" t="s">
        <v>115</v>
      </c>
      <c r="D78" s="14">
        <v>29</v>
      </c>
      <c r="E78" s="14" t="s">
        <v>91</v>
      </c>
      <c r="F78" s="14" t="s">
        <v>133</v>
      </c>
      <c r="G78" s="14" t="s">
        <v>80</v>
      </c>
      <c r="H78" s="14" t="s">
        <v>135</v>
      </c>
      <c r="I78" s="14" t="s">
        <v>95</v>
      </c>
      <c r="J78" s="14" t="s">
        <v>65</v>
      </c>
      <c r="K78" s="15">
        <v>18</v>
      </c>
      <c r="L78" s="16">
        <v>98116</v>
      </c>
      <c r="M78" s="17">
        <v>45999</v>
      </c>
      <c r="N78" s="18">
        <v>36574</v>
      </c>
      <c r="O78" s="14" t="s">
        <v>386</v>
      </c>
      <c r="P78" s="14" t="s">
        <v>387</v>
      </c>
      <c r="Q78" s="14" t="s">
        <v>388</v>
      </c>
      <c r="R78" s="14">
        <v>3.67</v>
      </c>
      <c r="S78" s="14">
        <v>88</v>
      </c>
      <c r="T78" s="14">
        <v>29</v>
      </c>
      <c r="U78" s="14">
        <v>212912</v>
      </c>
      <c r="V78" s="14">
        <v>14444734</v>
      </c>
      <c r="W78" s="14">
        <v>26</v>
      </c>
      <c r="X78" s="14">
        <v>3</v>
      </c>
      <c r="Y78" s="14" t="s">
        <v>139</v>
      </c>
      <c r="Z78" s="14" t="s">
        <v>111</v>
      </c>
      <c r="AA78" s="14">
        <v>45</v>
      </c>
      <c r="AB78" s="14">
        <v>28</v>
      </c>
      <c r="AC78" s="14">
        <v>2.4</v>
      </c>
      <c r="AD78" s="14" t="s">
        <v>155</v>
      </c>
      <c r="AE78" s="14">
        <v>22</v>
      </c>
      <c r="AF78" s="14">
        <v>141726</v>
      </c>
      <c r="AG78" s="14">
        <v>64085.03</v>
      </c>
      <c r="AH78" s="14">
        <v>77640.97</v>
      </c>
      <c r="AI78" s="14" t="s">
        <v>102</v>
      </c>
      <c r="AJ78" s="14" t="s">
        <v>113</v>
      </c>
      <c r="AK78" s="14" t="s">
        <v>123</v>
      </c>
      <c r="AL78" s="14">
        <v>1.8</v>
      </c>
      <c r="AM78" s="14">
        <v>21</v>
      </c>
      <c r="AN78" s="18">
        <v>46116</v>
      </c>
    </row>
    <row r="79" spans="1:40" thickTop="1" thickBot="1" x14ac:dyDescent="0.3">
      <c r="A79" s="13" t="s">
        <v>389</v>
      </c>
      <c r="B79" s="14" t="s">
        <v>196</v>
      </c>
      <c r="C79" s="14" t="s">
        <v>42</v>
      </c>
      <c r="D79" s="14">
        <v>39</v>
      </c>
      <c r="E79" s="14" t="s">
        <v>78</v>
      </c>
      <c r="F79" s="14" t="s">
        <v>61</v>
      </c>
      <c r="G79" s="14" t="s">
        <v>185</v>
      </c>
      <c r="H79" s="14" t="s">
        <v>107</v>
      </c>
      <c r="I79" s="14" t="s">
        <v>47</v>
      </c>
      <c r="J79" s="14" t="s">
        <v>145</v>
      </c>
      <c r="K79" s="15">
        <v>24</v>
      </c>
      <c r="L79" s="16">
        <v>162277</v>
      </c>
      <c r="M79" s="17">
        <v>45743</v>
      </c>
      <c r="N79" s="18">
        <v>37966</v>
      </c>
      <c r="O79" s="14" t="s">
        <v>390</v>
      </c>
      <c r="P79" s="14" t="s">
        <v>391</v>
      </c>
      <c r="Q79" s="14" t="s">
        <v>175</v>
      </c>
      <c r="R79" s="14">
        <v>3.58</v>
      </c>
      <c r="S79" s="14">
        <v>98.7</v>
      </c>
      <c r="T79" s="14">
        <v>31</v>
      </c>
      <c r="U79" s="14">
        <v>99514</v>
      </c>
      <c r="V79" s="14">
        <v>13651259</v>
      </c>
      <c r="W79" s="14">
        <v>69</v>
      </c>
      <c r="X79" s="14">
        <v>10</v>
      </c>
      <c r="Y79" s="14" t="s">
        <v>149</v>
      </c>
      <c r="Z79" s="14" t="s">
        <v>53</v>
      </c>
      <c r="AA79" s="14">
        <v>37</v>
      </c>
      <c r="AB79" s="14">
        <v>23</v>
      </c>
      <c r="AC79" s="14">
        <v>4.7</v>
      </c>
      <c r="AD79" s="14" t="s">
        <v>85</v>
      </c>
      <c r="AE79" s="14">
        <v>321</v>
      </c>
      <c r="AF79" s="14">
        <v>185116</v>
      </c>
      <c r="AG79" s="14">
        <v>113786.51</v>
      </c>
      <c r="AH79" s="14">
        <v>71329.490000000005</v>
      </c>
      <c r="AI79" s="14" t="s">
        <v>55</v>
      </c>
      <c r="AJ79" s="14" t="s">
        <v>169</v>
      </c>
      <c r="AK79" s="14" t="s">
        <v>74</v>
      </c>
      <c r="AL79" s="14">
        <v>1.6</v>
      </c>
      <c r="AM79" s="14">
        <v>0.8</v>
      </c>
      <c r="AN79" s="18">
        <v>46062</v>
      </c>
    </row>
    <row r="80" spans="1:40" thickTop="1" thickBot="1" x14ac:dyDescent="0.3">
      <c r="A80" s="13" t="s">
        <v>262</v>
      </c>
      <c r="B80" s="14" t="s">
        <v>142</v>
      </c>
      <c r="C80" s="14" t="s">
        <v>191</v>
      </c>
      <c r="D80" s="14">
        <v>31</v>
      </c>
      <c r="E80" s="14" t="s">
        <v>78</v>
      </c>
      <c r="F80" s="14" t="s">
        <v>165</v>
      </c>
      <c r="G80" s="14" t="s">
        <v>93</v>
      </c>
      <c r="H80" s="14" t="s">
        <v>94</v>
      </c>
      <c r="I80" s="14" t="s">
        <v>95</v>
      </c>
      <c r="J80" s="14" t="s">
        <v>117</v>
      </c>
      <c r="K80" s="15">
        <v>10</v>
      </c>
      <c r="L80" s="16">
        <v>95352</v>
      </c>
      <c r="M80" s="17">
        <v>46035</v>
      </c>
      <c r="N80" s="18">
        <v>30937</v>
      </c>
      <c r="O80" s="14" t="s">
        <v>392</v>
      </c>
      <c r="P80" s="14" t="s">
        <v>393</v>
      </c>
      <c r="Q80" s="14" t="s">
        <v>132</v>
      </c>
      <c r="R80" s="14">
        <v>1.17</v>
      </c>
      <c r="S80" s="14">
        <v>87</v>
      </c>
      <c r="T80" s="14">
        <v>25</v>
      </c>
      <c r="U80" s="14">
        <v>26501</v>
      </c>
      <c r="V80" s="14">
        <v>4131292</v>
      </c>
      <c r="W80" s="14">
        <v>63</v>
      </c>
      <c r="X80" s="14">
        <v>13</v>
      </c>
      <c r="Y80" s="14" t="s">
        <v>263</v>
      </c>
      <c r="Z80" s="14" t="s">
        <v>101</v>
      </c>
      <c r="AA80" s="14">
        <v>41</v>
      </c>
      <c r="AB80" s="14">
        <v>33</v>
      </c>
      <c r="AC80" s="14">
        <v>5</v>
      </c>
      <c r="AD80" s="14" t="s">
        <v>232</v>
      </c>
      <c r="AE80" s="14">
        <v>297</v>
      </c>
      <c r="AF80" s="14">
        <v>207879</v>
      </c>
      <c r="AG80" s="14">
        <v>107831.38</v>
      </c>
      <c r="AH80" s="14">
        <v>100047.62</v>
      </c>
      <c r="AI80" s="14" t="s">
        <v>150</v>
      </c>
      <c r="AJ80" s="14" t="s">
        <v>169</v>
      </c>
      <c r="AK80" s="14" t="s">
        <v>57</v>
      </c>
      <c r="AL80" s="14">
        <v>1.7</v>
      </c>
      <c r="AM80" s="14">
        <v>13.3</v>
      </c>
      <c r="AN80" s="18">
        <v>46069</v>
      </c>
    </row>
    <row r="81" spans="1:40" thickTop="1" thickBot="1" x14ac:dyDescent="0.3">
      <c r="A81" s="13" t="s">
        <v>394</v>
      </c>
      <c r="B81" s="14" t="s">
        <v>176</v>
      </c>
      <c r="C81" s="14" t="s">
        <v>201</v>
      </c>
      <c r="D81" s="14">
        <v>44</v>
      </c>
      <c r="E81" s="14" t="s">
        <v>78</v>
      </c>
      <c r="F81" s="14" t="s">
        <v>144</v>
      </c>
      <c r="G81" s="14" t="s">
        <v>62</v>
      </c>
      <c r="H81" s="14" t="s">
        <v>135</v>
      </c>
      <c r="I81" s="14" t="s">
        <v>158</v>
      </c>
      <c r="J81" s="14" t="s">
        <v>48</v>
      </c>
      <c r="K81" s="15">
        <v>21</v>
      </c>
      <c r="L81" s="16">
        <v>49496</v>
      </c>
      <c r="M81" s="17">
        <v>46184</v>
      </c>
      <c r="N81" s="18">
        <v>37448</v>
      </c>
      <c r="O81" s="14" t="s">
        <v>395</v>
      </c>
      <c r="P81" s="14" t="s">
        <v>396</v>
      </c>
      <c r="Q81" s="14" t="s">
        <v>58</v>
      </c>
      <c r="R81" s="14">
        <v>3.66</v>
      </c>
      <c r="S81" s="14">
        <v>94.8</v>
      </c>
      <c r="T81" s="14">
        <v>10</v>
      </c>
      <c r="U81" s="14">
        <v>198612</v>
      </c>
      <c r="V81" s="14">
        <v>5461699</v>
      </c>
      <c r="W81" s="14">
        <v>0</v>
      </c>
      <c r="X81" s="14">
        <v>14</v>
      </c>
      <c r="Y81" s="14" t="s">
        <v>100</v>
      </c>
      <c r="Z81" s="14" t="s">
        <v>101</v>
      </c>
      <c r="AA81" s="14">
        <v>14</v>
      </c>
      <c r="AB81" s="14">
        <v>11</v>
      </c>
      <c r="AC81" s="14">
        <v>2.9</v>
      </c>
      <c r="AD81" s="14" t="s">
        <v>54</v>
      </c>
      <c r="AE81" s="14">
        <v>165</v>
      </c>
      <c r="AF81" s="14">
        <v>245425</v>
      </c>
      <c r="AG81" s="14">
        <v>153974.37</v>
      </c>
      <c r="AH81" s="14">
        <v>91450.63</v>
      </c>
      <c r="AI81" s="14" t="s">
        <v>72</v>
      </c>
      <c r="AJ81" s="14" t="s">
        <v>73</v>
      </c>
      <c r="AK81" s="14" t="s">
        <v>103</v>
      </c>
      <c r="AL81" s="14">
        <v>4.5999999999999996</v>
      </c>
      <c r="AM81" s="14">
        <v>26</v>
      </c>
      <c r="AN81" s="18">
        <v>46068</v>
      </c>
    </row>
    <row r="82" spans="1:40" thickTop="1" thickBot="1" x14ac:dyDescent="0.3">
      <c r="A82" s="13" t="s">
        <v>379</v>
      </c>
      <c r="B82" s="14" t="s">
        <v>236</v>
      </c>
      <c r="C82" s="14" t="s">
        <v>217</v>
      </c>
      <c r="D82" s="14">
        <v>40</v>
      </c>
      <c r="E82" s="14" t="s">
        <v>91</v>
      </c>
      <c r="F82" s="14" t="s">
        <v>44</v>
      </c>
      <c r="G82" s="14" t="s">
        <v>62</v>
      </c>
      <c r="H82" s="14" t="s">
        <v>63</v>
      </c>
      <c r="I82" s="14" t="s">
        <v>64</v>
      </c>
      <c r="J82" s="14" t="s">
        <v>96</v>
      </c>
      <c r="K82" s="15">
        <v>9</v>
      </c>
      <c r="L82" s="16">
        <v>125022</v>
      </c>
      <c r="M82" s="17">
        <v>46201</v>
      </c>
      <c r="N82" s="18">
        <v>36553</v>
      </c>
      <c r="O82" s="14" t="s">
        <v>397</v>
      </c>
      <c r="P82" s="14" t="s">
        <v>398</v>
      </c>
      <c r="Q82" s="14" t="s">
        <v>388</v>
      </c>
      <c r="R82" s="14">
        <v>3.96</v>
      </c>
      <c r="S82" s="14">
        <v>90.7</v>
      </c>
      <c r="T82" s="14">
        <v>9</v>
      </c>
      <c r="U82" s="14">
        <v>195040</v>
      </c>
      <c r="V82" s="14">
        <v>9809295</v>
      </c>
      <c r="W82" s="14">
        <v>74</v>
      </c>
      <c r="X82" s="14">
        <v>30</v>
      </c>
      <c r="Y82" s="14" t="s">
        <v>274</v>
      </c>
      <c r="Z82" s="14" t="s">
        <v>53</v>
      </c>
      <c r="AA82" s="14">
        <v>4</v>
      </c>
      <c r="AB82" s="14">
        <v>2</v>
      </c>
      <c r="AC82" s="14">
        <v>3.1</v>
      </c>
      <c r="AD82" s="14" t="s">
        <v>232</v>
      </c>
      <c r="AE82" s="14">
        <v>225</v>
      </c>
      <c r="AF82" s="14">
        <v>57697</v>
      </c>
      <c r="AG82" s="14">
        <v>43279.95</v>
      </c>
      <c r="AH82" s="14">
        <v>14417.05</v>
      </c>
      <c r="AI82" s="14" t="s">
        <v>131</v>
      </c>
      <c r="AJ82" s="14" t="s">
        <v>113</v>
      </c>
      <c r="AK82" s="14" t="s">
        <v>74</v>
      </c>
      <c r="AL82" s="14">
        <v>1.9</v>
      </c>
      <c r="AM82" s="14">
        <v>29.1</v>
      </c>
      <c r="AN82" s="18">
        <v>45865</v>
      </c>
    </row>
    <row r="83" spans="1:40" thickTop="1" thickBot="1" x14ac:dyDescent="0.3">
      <c r="A83" s="13" t="s">
        <v>367</v>
      </c>
      <c r="B83" s="14" t="s">
        <v>206</v>
      </c>
      <c r="C83" s="14" t="s">
        <v>115</v>
      </c>
      <c r="D83" s="14">
        <v>33</v>
      </c>
      <c r="E83" s="14" t="s">
        <v>91</v>
      </c>
      <c r="F83" s="14" t="s">
        <v>165</v>
      </c>
      <c r="G83" s="14" t="s">
        <v>197</v>
      </c>
      <c r="H83" s="14" t="s">
        <v>46</v>
      </c>
      <c r="I83" s="14" t="s">
        <v>64</v>
      </c>
      <c r="J83" s="14" t="s">
        <v>96</v>
      </c>
      <c r="K83" s="15">
        <v>17</v>
      </c>
      <c r="L83" s="16">
        <v>185131</v>
      </c>
      <c r="M83" s="17">
        <v>45773</v>
      </c>
      <c r="N83" s="18">
        <v>37883</v>
      </c>
      <c r="O83" s="14" t="s">
        <v>399</v>
      </c>
      <c r="P83" s="14" t="s">
        <v>400</v>
      </c>
      <c r="Q83" s="14" t="s">
        <v>270</v>
      </c>
      <c r="R83" s="14">
        <v>3.72</v>
      </c>
      <c r="S83" s="14">
        <v>94</v>
      </c>
      <c r="T83" s="14">
        <v>8</v>
      </c>
      <c r="U83" s="14">
        <v>263785</v>
      </c>
      <c r="V83" s="14">
        <v>9736911</v>
      </c>
      <c r="W83" s="14">
        <v>64</v>
      </c>
      <c r="X83" s="14">
        <v>22</v>
      </c>
      <c r="Y83" s="14" t="s">
        <v>69</v>
      </c>
      <c r="Z83" s="14" t="s">
        <v>111</v>
      </c>
      <c r="AA83" s="14">
        <v>17</v>
      </c>
      <c r="AB83" s="14">
        <v>3</v>
      </c>
      <c r="AC83" s="14">
        <v>2.8</v>
      </c>
      <c r="AD83" s="14" t="s">
        <v>130</v>
      </c>
      <c r="AE83" s="14">
        <v>278</v>
      </c>
      <c r="AF83" s="14">
        <v>73862</v>
      </c>
      <c r="AG83" s="14">
        <v>39284.68</v>
      </c>
      <c r="AH83" s="14">
        <v>34577.32</v>
      </c>
      <c r="AI83" s="14" t="s">
        <v>162</v>
      </c>
      <c r="AJ83" s="14" t="s">
        <v>169</v>
      </c>
      <c r="AK83" s="14" t="s">
        <v>103</v>
      </c>
      <c r="AL83" s="14">
        <v>2.9</v>
      </c>
      <c r="AM83" s="14">
        <v>2.8</v>
      </c>
      <c r="AN83" s="18">
        <v>46040</v>
      </c>
    </row>
    <row r="84" spans="1:40" thickTop="1" thickBot="1" x14ac:dyDescent="0.3">
      <c r="A84" s="13" t="s">
        <v>184</v>
      </c>
      <c r="B84" s="14" t="s">
        <v>236</v>
      </c>
      <c r="C84" s="14" t="s">
        <v>201</v>
      </c>
      <c r="D84" s="14">
        <v>21</v>
      </c>
      <c r="E84" s="14" t="s">
        <v>91</v>
      </c>
      <c r="F84" s="14" t="s">
        <v>44</v>
      </c>
      <c r="G84" s="14" t="s">
        <v>126</v>
      </c>
      <c r="H84" s="14" t="s">
        <v>81</v>
      </c>
      <c r="I84" s="14" t="s">
        <v>158</v>
      </c>
      <c r="J84" s="14" t="s">
        <v>48</v>
      </c>
      <c r="K84" s="15">
        <v>22</v>
      </c>
      <c r="L84" s="16">
        <v>70545</v>
      </c>
      <c r="M84" s="17">
        <v>46094</v>
      </c>
      <c r="N84" s="18">
        <v>30252</v>
      </c>
      <c r="O84" s="14" t="s">
        <v>401</v>
      </c>
      <c r="P84" s="14" t="s">
        <v>402</v>
      </c>
      <c r="Q84" s="14" t="s">
        <v>180</v>
      </c>
      <c r="R84" s="14">
        <v>4.67</v>
      </c>
      <c r="S84" s="14">
        <v>96.1</v>
      </c>
      <c r="T84" s="14">
        <v>10</v>
      </c>
      <c r="U84" s="14">
        <v>192404</v>
      </c>
      <c r="V84" s="14">
        <v>13006309</v>
      </c>
      <c r="W84" s="14">
        <v>43</v>
      </c>
      <c r="X84" s="14">
        <v>25</v>
      </c>
      <c r="Y84" s="14" t="s">
        <v>149</v>
      </c>
      <c r="Z84" s="14" t="s">
        <v>53</v>
      </c>
      <c r="AA84" s="14">
        <v>24</v>
      </c>
      <c r="AB84" s="14">
        <v>1</v>
      </c>
      <c r="AC84" s="14">
        <v>1.5</v>
      </c>
      <c r="AD84" s="14" t="s">
        <v>71</v>
      </c>
      <c r="AE84" s="14">
        <v>262</v>
      </c>
      <c r="AF84" s="14">
        <v>226999</v>
      </c>
      <c r="AG84" s="14">
        <v>122046.88</v>
      </c>
      <c r="AH84" s="14">
        <v>104952.12</v>
      </c>
      <c r="AI84" s="14" t="s">
        <v>14</v>
      </c>
      <c r="AJ84" s="14" t="s">
        <v>73</v>
      </c>
      <c r="AK84" s="14" t="s">
        <v>74</v>
      </c>
      <c r="AL84" s="14">
        <v>4.3</v>
      </c>
      <c r="AM84" s="14">
        <v>10.6</v>
      </c>
      <c r="AN84" s="18">
        <v>46022</v>
      </c>
    </row>
    <row r="85" spans="1:40" thickTop="1" thickBot="1" x14ac:dyDescent="0.3">
      <c r="A85" s="13" t="s">
        <v>403</v>
      </c>
      <c r="B85" s="14" t="s">
        <v>206</v>
      </c>
      <c r="C85" s="14" t="s">
        <v>77</v>
      </c>
      <c r="D85" s="14">
        <v>37</v>
      </c>
      <c r="E85" s="14" t="s">
        <v>43</v>
      </c>
      <c r="F85" s="14" t="s">
        <v>211</v>
      </c>
      <c r="G85" s="14" t="s">
        <v>197</v>
      </c>
      <c r="H85" s="14" t="s">
        <v>107</v>
      </c>
      <c r="I85" s="14" t="s">
        <v>64</v>
      </c>
      <c r="J85" s="14" t="s">
        <v>48</v>
      </c>
      <c r="K85" s="15">
        <v>25</v>
      </c>
      <c r="L85" s="16">
        <v>40493</v>
      </c>
      <c r="M85" s="17">
        <v>46157</v>
      </c>
      <c r="N85" s="18">
        <v>30373</v>
      </c>
      <c r="O85" s="14" t="s">
        <v>404</v>
      </c>
      <c r="P85" s="14" t="s">
        <v>405</v>
      </c>
      <c r="Q85" s="14" t="s">
        <v>205</v>
      </c>
      <c r="R85" s="14">
        <v>3.22</v>
      </c>
      <c r="S85" s="14">
        <v>78.7</v>
      </c>
      <c r="T85" s="14">
        <v>24</v>
      </c>
      <c r="U85" s="14">
        <v>75624</v>
      </c>
      <c r="V85" s="14">
        <v>10370295</v>
      </c>
      <c r="W85" s="14">
        <v>32</v>
      </c>
      <c r="X85" s="14">
        <v>17</v>
      </c>
      <c r="Y85" s="14" t="s">
        <v>139</v>
      </c>
      <c r="Z85" s="14" t="s">
        <v>70</v>
      </c>
      <c r="AA85" s="14">
        <v>3</v>
      </c>
      <c r="AB85" s="14">
        <v>1</v>
      </c>
      <c r="AC85" s="14">
        <v>1.1000000000000001</v>
      </c>
      <c r="AD85" s="14" t="s">
        <v>71</v>
      </c>
      <c r="AE85" s="14">
        <v>77</v>
      </c>
      <c r="AF85" s="14">
        <v>436014</v>
      </c>
      <c r="AG85" s="14">
        <v>293493.78000000003</v>
      </c>
      <c r="AH85" s="14">
        <v>142520.22</v>
      </c>
      <c r="AI85" s="14" t="s">
        <v>72</v>
      </c>
      <c r="AJ85" s="14" t="s">
        <v>56</v>
      </c>
      <c r="AK85" s="14" t="s">
        <v>87</v>
      </c>
      <c r="AL85" s="14">
        <v>4.5</v>
      </c>
      <c r="AM85" s="14">
        <v>24</v>
      </c>
      <c r="AN85" s="18">
        <v>45694</v>
      </c>
    </row>
    <row r="86" spans="1:40" thickTop="1" thickBot="1" x14ac:dyDescent="0.3">
      <c r="A86" s="13" t="s">
        <v>406</v>
      </c>
      <c r="B86" s="14" t="s">
        <v>176</v>
      </c>
      <c r="C86" s="14" t="s">
        <v>42</v>
      </c>
      <c r="D86" s="14">
        <v>46</v>
      </c>
      <c r="E86" s="14" t="s">
        <v>43</v>
      </c>
      <c r="F86" s="14" t="s">
        <v>237</v>
      </c>
      <c r="G86" s="14" t="s">
        <v>197</v>
      </c>
      <c r="H86" s="14" t="s">
        <v>94</v>
      </c>
      <c r="I86" s="14" t="s">
        <v>95</v>
      </c>
      <c r="J86" s="14" t="s">
        <v>65</v>
      </c>
      <c r="K86" s="15">
        <v>16</v>
      </c>
      <c r="L86" s="16">
        <v>54892</v>
      </c>
      <c r="M86" s="17">
        <v>46027</v>
      </c>
      <c r="N86" s="18">
        <v>33123</v>
      </c>
      <c r="O86" s="14" t="s">
        <v>407</v>
      </c>
      <c r="P86" s="14" t="s">
        <v>408</v>
      </c>
      <c r="Q86" s="14" t="s">
        <v>99</v>
      </c>
      <c r="R86" s="14">
        <v>3.5</v>
      </c>
      <c r="S86" s="14">
        <v>76.3</v>
      </c>
      <c r="T86" s="14">
        <v>23</v>
      </c>
      <c r="U86" s="14">
        <v>245240</v>
      </c>
      <c r="V86" s="14">
        <v>6059452</v>
      </c>
      <c r="W86" s="14">
        <v>73</v>
      </c>
      <c r="X86" s="14">
        <v>14</v>
      </c>
      <c r="Y86" s="14" t="s">
        <v>274</v>
      </c>
      <c r="Z86" s="14" t="s">
        <v>53</v>
      </c>
      <c r="AA86" s="14">
        <v>44</v>
      </c>
      <c r="AB86" s="14">
        <v>38</v>
      </c>
      <c r="AC86" s="14">
        <v>2.2999999999999998</v>
      </c>
      <c r="AD86" s="14" t="s">
        <v>71</v>
      </c>
      <c r="AE86" s="14">
        <v>296</v>
      </c>
      <c r="AF86" s="14">
        <v>340279</v>
      </c>
      <c r="AG86" s="14">
        <v>256151.91</v>
      </c>
      <c r="AH86" s="14">
        <v>84127.09</v>
      </c>
      <c r="AI86" s="14" t="s">
        <v>72</v>
      </c>
      <c r="AJ86" s="14" t="s">
        <v>113</v>
      </c>
      <c r="AK86" s="14" t="s">
        <v>57</v>
      </c>
      <c r="AL86" s="14">
        <v>1.1000000000000001</v>
      </c>
      <c r="AM86" s="14">
        <v>13.8</v>
      </c>
      <c r="AN86" s="18">
        <v>46281</v>
      </c>
    </row>
    <row r="87" spans="1:40" thickTop="1" thickBot="1" x14ac:dyDescent="0.3">
      <c r="A87" s="13" t="s">
        <v>307</v>
      </c>
      <c r="B87" s="14" t="s">
        <v>60</v>
      </c>
      <c r="C87" s="14" t="s">
        <v>106</v>
      </c>
      <c r="D87" s="14">
        <v>45</v>
      </c>
      <c r="E87" s="14" t="s">
        <v>43</v>
      </c>
      <c r="F87" s="14" t="s">
        <v>79</v>
      </c>
      <c r="G87" s="14" t="s">
        <v>80</v>
      </c>
      <c r="H87" s="14" t="s">
        <v>63</v>
      </c>
      <c r="I87" s="14" t="s">
        <v>95</v>
      </c>
      <c r="J87" s="14" t="s">
        <v>48</v>
      </c>
      <c r="K87" s="15">
        <v>29</v>
      </c>
      <c r="L87" s="16">
        <v>181965</v>
      </c>
      <c r="M87" s="17">
        <v>45755</v>
      </c>
      <c r="N87" s="18">
        <v>31614</v>
      </c>
      <c r="O87" s="14" t="s">
        <v>409</v>
      </c>
      <c r="P87" s="14" t="s">
        <v>410</v>
      </c>
      <c r="Q87" s="14" t="s">
        <v>170</v>
      </c>
      <c r="R87" s="14">
        <v>2.4500000000000002</v>
      </c>
      <c r="S87" s="14">
        <v>78.400000000000006</v>
      </c>
      <c r="T87" s="14">
        <v>15</v>
      </c>
      <c r="U87" s="14">
        <v>73999</v>
      </c>
      <c r="V87" s="14">
        <v>11930884</v>
      </c>
      <c r="W87" s="14">
        <v>9</v>
      </c>
      <c r="X87" s="14">
        <v>9</v>
      </c>
      <c r="Y87" s="14" t="s">
        <v>100</v>
      </c>
      <c r="Z87" s="14" t="s">
        <v>53</v>
      </c>
      <c r="AA87" s="14">
        <v>10</v>
      </c>
      <c r="AB87" s="14">
        <v>4</v>
      </c>
      <c r="AC87" s="14">
        <v>3</v>
      </c>
      <c r="AD87" s="14" t="s">
        <v>155</v>
      </c>
      <c r="AE87" s="14">
        <v>179</v>
      </c>
      <c r="AF87" s="14">
        <v>91456</v>
      </c>
      <c r="AG87" s="14">
        <v>65754.7</v>
      </c>
      <c r="AH87" s="14">
        <v>25701.3</v>
      </c>
      <c r="AI87" s="14" t="s">
        <v>131</v>
      </c>
      <c r="AJ87" s="14" t="s">
        <v>113</v>
      </c>
      <c r="AK87" s="14" t="s">
        <v>74</v>
      </c>
      <c r="AL87" s="14">
        <v>3.8</v>
      </c>
      <c r="AM87" s="14">
        <v>20.2</v>
      </c>
      <c r="AN87" s="18">
        <v>46151</v>
      </c>
    </row>
    <row r="88" spans="1:40" thickTop="1" thickBot="1" x14ac:dyDescent="0.3">
      <c r="A88" s="13" t="s">
        <v>388</v>
      </c>
      <c r="B88" s="14" t="s">
        <v>259</v>
      </c>
      <c r="C88" s="14" t="s">
        <v>77</v>
      </c>
      <c r="D88" s="14">
        <v>29</v>
      </c>
      <c r="E88" s="14" t="s">
        <v>78</v>
      </c>
      <c r="F88" s="14" t="s">
        <v>144</v>
      </c>
      <c r="G88" s="14" t="s">
        <v>197</v>
      </c>
      <c r="H88" s="14" t="s">
        <v>94</v>
      </c>
      <c r="I88" s="14" t="s">
        <v>64</v>
      </c>
      <c r="J88" s="14" t="s">
        <v>145</v>
      </c>
      <c r="K88" s="15">
        <v>18</v>
      </c>
      <c r="L88" s="16">
        <v>237466</v>
      </c>
      <c r="M88" s="17">
        <v>45967</v>
      </c>
      <c r="N88" s="18">
        <v>31323</v>
      </c>
      <c r="O88" s="14" t="s">
        <v>411</v>
      </c>
      <c r="P88" s="14" t="s">
        <v>412</v>
      </c>
      <c r="Q88" s="14" t="s">
        <v>413</v>
      </c>
      <c r="R88" s="14">
        <v>2.23</v>
      </c>
      <c r="S88" s="14">
        <v>91.8</v>
      </c>
      <c r="T88" s="14">
        <v>35</v>
      </c>
      <c r="U88" s="14">
        <v>178502</v>
      </c>
      <c r="V88" s="14">
        <v>1733134</v>
      </c>
      <c r="W88" s="14">
        <v>24</v>
      </c>
      <c r="X88" s="14">
        <v>18</v>
      </c>
      <c r="Y88" s="14" t="s">
        <v>69</v>
      </c>
      <c r="Z88" s="14" t="s">
        <v>101</v>
      </c>
      <c r="AA88" s="14">
        <v>23</v>
      </c>
      <c r="AB88" s="14">
        <v>4</v>
      </c>
      <c r="AC88" s="14">
        <v>2.2000000000000002</v>
      </c>
      <c r="AD88" s="14" t="s">
        <v>71</v>
      </c>
      <c r="AE88" s="14">
        <v>239</v>
      </c>
      <c r="AF88" s="14">
        <v>142623</v>
      </c>
      <c r="AG88" s="14">
        <v>106883.18</v>
      </c>
      <c r="AH88" s="14">
        <v>35739.82</v>
      </c>
      <c r="AI88" s="14" t="s">
        <v>14</v>
      </c>
      <c r="AJ88" s="14" t="s">
        <v>73</v>
      </c>
      <c r="AK88" s="14" t="s">
        <v>74</v>
      </c>
      <c r="AL88" s="14">
        <v>4.4000000000000004</v>
      </c>
      <c r="AM88" s="14">
        <v>9.6</v>
      </c>
      <c r="AN88" s="18">
        <v>45837</v>
      </c>
    </row>
    <row r="89" spans="1:40" thickTop="1" thickBot="1" x14ac:dyDescent="0.3">
      <c r="A89" s="13" t="s">
        <v>414</v>
      </c>
      <c r="B89" s="14" t="s">
        <v>181</v>
      </c>
      <c r="C89" s="14" t="s">
        <v>191</v>
      </c>
      <c r="D89" s="14">
        <v>38</v>
      </c>
      <c r="E89" s="14" t="s">
        <v>78</v>
      </c>
      <c r="F89" s="14" t="s">
        <v>144</v>
      </c>
      <c r="G89" s="14" t="s">
        <v>126</v>
      </c>
      <c r="H89" s="14" t="s">
        <v>107</v>
      </c>
      <c r="I89" s="14" t="s">
        <v>64</v>
      </c>
      <c r="J89" s="14" t="s">
        <v>145</v>
      </c>
      <c r="K89" s="15">
        <v>6</v>
      </c>
      <c r="L89" s="16">
        <v>193047</v>
      </c>
      <c r="M89" s="17">
        <v>45947</v>
      </c>
      <c r="N89" s="18">
        <v>35373</v>
      </c>
      <c r="O89" s="14" t="s">
        <v>415</v>
      </c>
      <c r="P89" s="14" t="s">
        <v>416</v>
      </c>
      <c r="Q89" s="14" t="s">
        <v>204</v>
      </c>
      <c r="R89" s="14">
        <v>1.23</v>
      </c>
      <c r="S89" s="14">
        <v>73.900000000000006</v>
      </c>
      <c r="T89" s="14">
        <v>3</v>
      </c>
      <c r="U89" s="14">
        <v>41580</v>
      </c>
      <c r="V89" s="14">
        <v>1732198</v>
      </c>
      <c r="W89" s="14">
        <v>73</v>
      </c>
      <c r="X89" s="14">
        <v>10</v>
      </c>
      <c r="Y89" s="14" t="s">
        <v>52</v>
      </c>
      <c r="Z89" s="14" t="s">
        <v>111</v>
      </c>
      <c r="AA89" s="14">
        <v>11</v>
      </c>
      <c r="AB89" s="14">
        <v>10</v>
      </c>
      <c r="AC89" s="14">
        <v>1.8</v>
      </c>
      <c r="AD89" s="14" t="s">
        <v>54</v>
      </c>
      <c r="AE89" s="14">
        <v>328</v>
      </c>
      <c r="AF89" s="14">
        <v>301515</v>
      </c>
      <c r="AG89" s="14">
        <v>138255.67999999999</v>
      </c>
      <c r="AH89" s="14">
        <v>163259.32</v>
      </c>
      <c r="AI89" s="14" t="s">
        <v>102</v>
      </c>
      <c r="AJ89" s="14" t="s">
        <v>113</v>
      </c>
      <c r="AK89" s="14" t="s">
        <v>74</v>
      </c>
      <c r="AL89" s="14">
        <v>1.8</v>
      </c>
      <c r="AM89" s="14">
        <v>9.8000000000000007</v>
      </c>
      <c r="AN89" s="18">
        <v>45685</v>
      </c>
    </row>
    <row r="90" spans="1:40" thickTop="1" thickBot="1" x14ac:dyDescent="0.3">
      <c r="A90" s="13" t="s">
        <v>417</v>
      </c>
      <c r="B90" s="14" t="s">
        <v>105</v>
      </c>
      <c r="C90" s="14" t="s">
        <v>90</v>
      </c>
      <c r="D90" s="14">
        <v>24</v>
      </c>
      <c r="E90" s="14" t="s">
        <v>43</v>
      </c>
      <c r="F90" s="14" t="s">
        <v>144</v>
      </c>
      <c r="G90" s="14" t="s">
        <v>185</v>
      </c>
      <c r="H90" s="14" t="s">
        <v>63</v>
      </c>
      <c r="I90" s="14" t="s">
        <v>64</v>
      </c>
      <c r="J90" s="14" t="s">
        <v>65</v>
      </c>
      <c r="K90" s="15">
        <v>12</v>
      </c>
      <c r="L90" s="16">
        <v>102375</v>
      </c>
      <c r="M90" s="17">
        <v>46132</v>
      </c>
      <c r="N90" s="18">
        <v>29231</v>
      </c>
      <c r="O90" s="14" t="s">
        <v>418</v>
      </c>
      <c r="P90" s="14" t="s">
        <v>419</v>
      </c>
      <c r="Q90" s="14" t="s">
        <v>235</v>
      </c>
      <c r="R90" s="14">
        <v>1.22</v>
      </c>
      <c r="S90" s="14">
        <v>88.4</v>
      </c>
      <c r="T90" s="14">
        <v>21</v>
      </c>
      <c r="U90" s="14">
        <v>82144</v>
      </c>
      <c r="V90" s="14">
        <v>2067809</v>
      </c>
      <c r="W90" s="14">
        <v>2</v>
      </c>
      <c r="X90" s="14">
        <v>4</v>
      </c>
      <c r="Y90" s="14" t="s">
        <v>121</v>
      </c>
      <c r="Z90" s="14" t="s">
        <v>101</v>
      </c>
      <c r="AA90" s="14">
        <v>22</v>
      </c>
      <c r="AB90" s="14">
        <v>5</v>
      </c>
      <c r="AC90" s="14">
        <v>3.1</v>
      </c>
      <c r="AD90" s="14" t="s">
        <v>179</v>
      </c>
      <c r="AE90" s="14">
        <v>183</v>
      </c>
      <c r="AF90" s="14">
        <v>334703</v>
      </c>
      <c r="AG90" s="14">
        <v>234699.28</v>
      </c>
      <c r="AH90" s="14">
        <v>100003.72</v>
      </c>
      <c r="AI90" s="14" t="s">
        <v>14</v>
      </c>
      <c r="AJ90" s="14" t="s">
        <v>73</v>
      </c>
      <c r="AK90" s="14" t="s">
        <v>123</v>
      </c>
      <c r="AL90" s="14">
        <v>3.2</v>
      </c>
      <c r="AM90" s="14">
        <v>17.7</v>
      </c>
      <c r="AN90" s="18">
        <v>46226</v>
      </c>
    </row>
    <row r="91" spans="1:40" thickTop="1" thickBot="1" x14ac:dyDescent="0.3">
      <c r="A91" s="13" t="s">
        <v>420</v>
      </c>
      <c r="B91" s="14" t="s">
        <v>142</v>
      </c>
      <c r="C91" s="14" t="s">
        <v>106</v>
      </c>
      <c r="D91" s="14">
        <v>51</v>
      </c>
      <c r="E91" s="14" t="s">
        <v>78</v>
      </c>
      <c r="F91" s="14" t="s">
        <v>165</v>
      </c>
      <c r="G91" s="14" t="s">
        <v>197</v>
      </c>
      <c r="H91" s="14" t="s">
        <v>116</v>
      </c>
      <c r="I91" s="14" t="s">
        <v>158</v>
      </c>
      <c r="J91" s="14" t="s">
        <v>65</v>
      </c>
      <c r="K91" s="15">
        <v>16</v>
      </c>
      <c r="L91" s="16">
        <v>106808</v>
      </c>
      <c r="M91" s="17">
        <v>45793</v>
      </c>
      <c r="N91" s="18">
        <v>32160</v>
      </c>
      <c r="O91" s="14" t="s">
        <v>421</v>
      </c>
      <c r="P91" s="14" t="s">
        <v>422</v>
      </c>
      <c r="Q91" s="14" t="s">
        <v>403</v>
      </c>
      <c r="R91" s="14">
        <v>4.24</v>
      </c>
      <c r="S91" s="14">
        <v>99.3</v>
      </c>
      <c r="T91" s="14">
        <v>9</v>
      </c>
      <c r="U91" s="14">
        <v>119625</v>
      </c>
      <c r="V91" s="14">
        <v>7225048</v>
      </c>
      <c r="W91" s="14">
        <v>11</v>
      </c>
      <c r="X91" s="14">
        <v>29</v>
      </c>
      <c r="Y91" s="14" t="s">
        <v>149</v>
      </c>
      <c r="Z91" s="14" t="s">
        <v>101</v>
      </c>
      <c r="AA91" s="14">
        <v>15</v>
      </c>
      <c r="AB91" s="14">
        <v>8</v>
      </c>
      <c r="AC91" s="14">
        <v>1.5</v>
      </c>
      <c r="AD91" s="14" t="s">
        <v>54</v>
      </c>
      <c r="AE91" s="14">
        <v>256</v>
      </c>
      <c r="AF91" s="14">
        <v>330395</v>
      </c>
      <c r="AG91" s="14">
        <v>218966.11</v>
      </c>
      <c r="AH91" s="14">
        <v>111428.89</v>
      </c>
      <c r="AI91" s="14" t="s">
        <v>86</v>
      </c>
      <c r="AJ91" s="14" t="s">
        <v>56</v>
      </c>
      <c r="AK91" s="14" t="s">
        <v>57</v>
      </c>
      <c r="AL91" s="14">
        <v>2</v>
      </c>
      <c r="AM91" s="14">
        <v>18.2</v>
      </c>
      <c r="AN91" s="18">
        <v>45810</v>
      </c>
    </row>
    <row r="92" spans="1:40" thickTop="1" thickBot="1" x14ac:dyDescent="0.3">
      <c r="A92" s="13" t="s">
        <v>327</v>
      </c>
      <c r="B92" s="14" t="s">
        <v>156</v>
      </c>
      <c r="C92" s="14" t="s">
        <v>115</v>
      </c>
      <c r="D92" s="14">
        <v>36</v>
      </c>
      <c r="E92" s="14" t="s">
        <v>43</v>
      </c>
      <c r="F92" s="14" t="s">
        <v>228</v>
      </c>
      <c r="G92" s="14" t="s">
        <v>126</v>
      </c>
      <c r="H92" s="14" t="s">
        <v>63</v>
      </c>
      <c r="I92" s="14" t="s">
        <v>64</v>
      </c>
      <c r="J92" s="14" t="s">
        <v>145</v>
      </c>
      <c r="K92" s="15">
        <v>6</v>
      </c>
      <c r="L92" s="16">
        <v>119890</v>
      </c>
      <c r="M92" s="17">
        <v>45685</v>
      </c>
      <c r="N92" s="18">
        <v>30644</v>
      </c>
      <c r="O92" s="14" t="s">
        <v>423</v>
      </c>
      <c r="P92" s="14" t="s">
        <v>424</v>
      </c>
      <c r="Q92" s="14" t="s">
        <v>184</v>
      </c>
      <c r="R92" s="14">
        <v>4.6500000000000004</v>
      </c>
      <c r="S92" s="14">
        <v>90.2</v>
      </c>
      <c r="T92" s="14">
        <v>22</v>
      </c>
      <c r="U92" s="14">
        <v>31449</v>
      </c>
      <c r="V92" s="14">
        <v>4327163</v>
      </c>
      <c r="W92" s="14">
        <v>72</v>
      </c>
      <c r="X92" s="14">
        <v>12</v>
      </c>
      <c r="Y92" s="14" t="s">
        <v>274</v>
      </c>
      <c r="Z92" s="14" t="s">
        <v>70</v>
      </c>
      <c r="AA92" s="14">
        <v>2</v>
      </c>
      <c r="AB92" s="14">
        <v>1</v>
      </c>
      <c r="AC92" s="14">
        <v>4.8</v>
      </c>
      <c r="AD92" s="14" t="s">
        <v>155</v>
      </c>
      <c r="AE92" s="14">
        <v>15</v>
      </c>
      <c r="AF92" s="14">
        <v>423470</v>
      </c>
      <c r="AG92" s="14">
        <v>215956.82</v>
      </c>
      <c r="AH92" s="14">
        <v>207513.18</v>
      </c>
      <c r="AI92" s="14" t="s">
        <v>55</v>
      </c>
      <c r="AJ92" s="14" t="s">
        <v>122</v>
      </c>
      <c r="AK92" s="14" t="s">
        <v>123</v>
      </c>
      <c r="AL92" s="14">
        <v>3.8</v>
      </c>
      <c r="AM92" s="14">
        <v>7.3</v>
      </c>
      <c r="AN92" s="18">
        <v>46020</v>
      </c>
    </row>
    <row r="93" spans="1:40" thickTop="1" thickBot="1" x14ac:dyDescent="0.3">
      <c r="A93" s="13" t="s">
        <v>84</v>
      </c>
      <c r="B93" s="14" t="s">
        <v>152</v>
      </c>
      <c r="C93" s="14" t="s">
        <v>77</v>
      </c>
      <c r="D93" s="14">
        <v>52</v>
      </c>
      <c r="E93" s="14" t="s">
        <v>78</v>
      </c>
      <c r="F93" s="14" t="s">
        <v>44</v>
      </c>
      <c r="G93" s="14" t="s">
        <v>134</v>
      </c>
      <c r="H93" s="14" t="s">
        <v>81</v>
      </c>
      <c r="I93" s="14" t="s">
        <v>158</v>
      </c>
      <c r="J93" s="14" t="s">
        <v>96</v>
      </c>
      <c r="K93" s="15">
        <v>26</v>
      </c>
      <c r="L93" s="16">
        <v>113665</v>
      </c>
      <c r="M93" s="17">
        <v>45947</v>
      </c>
      <c r="N93" s="18">
        <v>30103</v>
      </c>
      <c r="O93" s="14" t="s">
        <v>425</v>
      </c>
      <c r="P93" s="14" t="s">
        <v>426</v>
      </c>
      <c r="Q93" s="14" t="s">
        <v>210</v>
      </c>
      <c r="R93" s="14">
        <v>2.2799999999999998</v>
      </c>
      <c r="S93" s="14">
        <v>88.3</v>
      </c>
      <c r="T93" s="14">
        <v>28</v>
      </c>
      <c r="U93" s="14">
        <v>111184</v>
      </c>
      <c r="V93" s="14">
        <v>10217770</v>
      </c>
      <c r="W93" s="14">
        <v>6</v>
      </c>
      <c r="X93" s="14">
        <v>28</v>
      </c>
      <c r="Y93" s="14" t="s">
        <v>121</v>
      </c>
      <c r="Z93" s="14" t="s">
        <v>53</v>
      </c>
      <c r="AA93" s="14">
        <v>18</v>
      </c>
      <c r="AB93" s="14">
        <v>9</v>
      </c>
      <c r="AC93" s="14">
        <v>1.2</v>
      </c>
      <c r="AD93" s="14" t="s">
        <v>112</v>
      </c>
      <c r="AE93" s="14">
        <v>93</v>
      </c>
      <c r="AF93" s="14">
        <v>413022</v>
      </c>
      <c r="AG93" s="14">
        <v>250900.79</v>
      </c>
      <c r="AH93" s="14">
        <v>162121.21</v>
      </c>
      <c r="AI93" s="14" t="s">
        <v>131</v>
      </c>
      <c r="AJ93" s="14" t="s">
        <v>169</v>
      </c>
      <c r="AK93" s="14" t="s">
        <v>123</v>
      </c>
      <c r="AL93" s="14">
        <v>3.7</v>
      </c>
      <c r="AM93" s="14">
        <v>24.2</v>
      </c>
      <c r="AN93" s="18">
        <v>45813</v>
      </c>
    </row>
    <row r="94" spans="1:40" thickTop="1" thickBot="1" x14ac:dyDescent="0.3">
      <c r="A94" s="13" t="s">
        <v>413</v>
      </c>
      <c r="B94" s="14" t="s">
        <v>42</v>
      </c>
      <c r="C94" s="14" t="s">
        <v>42</v>
      </c>
      <c r="D94" s="14">
        <v>27</v>
      </c>
      <c r="E94" s="14" t="s">
        <v>78</v>
      </c>
      <c r="F94" s="14" t="s">
        <v>228</v>
      </c>
      <c r="G94" s="14" t="s">
        <v>62</v>
      </c>
      <c r="H94" s="14" t="s">
        <v>157</v>
      </c>
      <c r="I94" s="14" t="s">
        <v>64</v>
      </c>
      <c r="J94" s="14" t="s">
        <v>117</v>
      </c>
      <c r="K94" s="15">
        <v>20</v>
      </c>
      <c r="L94" s="16">
        <v>209417</v>
      </c>
      <c r="M94" s="17">
        <v>46064</v>
      </c>
      <c r="N94" s="18">
        <v>32892</v>
      </c>
      <c r="O94" s="14" t="s">
        <v>427</v>
      </c>
      <c r="P94" s="14" t="s">
        <v>428</v>
      </c>
      <c r="Q94" s="14" t="s">
        <v>379</v>
      </c>
      <c r="R94" s="14">
        <v>3.76</v>
      </c>
      <c r="S94" s="14">
        <v>71.099999999999994</v>
      </c>
      <c r="T94" s="14">
        <v>32</v>
      </c>
      <c r="U94" s="14">
        <v>121440</v>
      </c>
      <c r="V94" s="14">
        <v>10144395</v>
      </c>
      <c r="W94" s="14">
        <v>55</v>
      </c>
      <c r="X94" s="14">
        <v>22</v>
      </c>
      <c r="Y94" s="14" t="s">
        <v>69</v>
      </c>
      <c r="Z94" s="14" t="s">
        <v>111</v>
      </c>
      <c r="AA94" s="14">
        <v>48</v>
      </c>
      <c r="AB94" s="14">
        <v>22</v>
      </c>
      <c r="AC94" s="14">
        <v>1.2</v>
      </c>
      <c r="AD94" s="14" t="s">
        <v>71</v>
      </c>
      <c r="AE94" s="14">
        <v>33</v>
      </c>
      <c r="AF94" s="14">
        <v>173706</v>
      </c>
      <c r="AG94" s="14">
        <v>87859.96</v>
      </c>
      <c r="AH94" s="14">
        <v>85846.04</v>
      </c>
      <c r="AI94" s="14" t="s">
        <v>150</v>
      </c>
      <c r="AJ94" s="14" t="s">
        <v>122</v>
      </c>
      <c r="AK94" s="14" t="s">
        <v>87</v>
      </c>
      <c r="AL94" s="14">
        <v>4.9000000000000004</v>
      </c>
      <c r="AM94" s="14">
        <v>15.8</v>
      </c>
      <c r="AN94" s="18">
        <v>45660</v>
      </c>
    </row>
    <row r="95" spans="1:40" thickTop="1" thickBot="1" x14ac:dyDescent="0.3">
      <c r="A95" s="13" t="s">
        <v>204</v>
      </c>
      <c r="B95" s="14" t="s">
        <v>156</v>
      </c>
      <c r="C95" s="14" t="s">
        <v>290</v>
      </c>
      <c r="D95" s="14">
        <v>53</v>
      </c>
      <c r="E95" s="14" t="s">
        <v>78</v>
      </c>
      <c r="F95" s="14" t="s">
        <v>61</v>
      </c>
      <c r="G95" s="14" t="s">
        <v>93</v>
      </c>
      <c r="H95" s="14" t="s">
        <v>81</v>
      </c>
      <c r="I95" s="14" t="s">
        <v>47</v>
      </c>
      <c r="J95" s="14" t="s">
        <v>117</v>
      </c>
      <c r="K95" s="15">
        <v>6</v>
      </c>
      <c r="L95" s="16">
        <v>93709</v>
      </c>
      <c r="M95" s="17">
        <v>45732</v>
      </c>
      <c r="N95" s="18">
        <v>32483</v>
      </c>
      <c r="O95" s="14" t="s">
        <v>429</v>
      </c>
      <c r="P95" s="14" t="s">
        <v>430</v>
      </c>
      <c r="Q95" s="14" t="s">
        <v>240</v>
      </c>
      <c r="R95" s="14">
        <v>1.28</v>
      </c>
      <c r="S95" s="14">
        <v>71.3</v>
      </c>
      <c r="T95" s="14">
        <v>32</v>
      </c>
      <c r="U95" s="14">
        <v>25090</v>
      </c>
      <c r="V95" s="14">
        <v>7347157</v>
      </c>
      <c r="W95" s="14">
        <v>71</v>
      </c>
      <c r="X95" s="14">
        <v>30</v>
      </c>
      <c r="Y95" s="14" t="s">
        <v>100</v>
      </c>
      <c r="Z95" s="14" t="s">
        <v>53</v>
      </c>
      <c r="AA95" s="14">
        <v>41</v>
      </c>
      <c r="AB95" s="14">
        <v>34</v>
      </c>
      <c r="AC95" s="14">
        <v>1</v>
      </c>
      <c r="AD95" s="14" t="s">
        <v>140</v>
      </c>
      <c r="AE95" s="14">
        <v>334</v>
      </c>
      <c r="AF95" s="14">
        <v>374342</v>
      </c>
      <c r="AG95" s="14">
        <v>243308.18</v>
      </c>
      <c r="AH95" s="14">
        <v>131033.82</v>
      </c>
      <c r="AI95" s="14" t="s">
        <v>72</v>
      </c>
      <c r="AJ95" s="14" t="s">
        <v>56</v>
      </c>
      <c r="AK95" s="14" t="s">
        <v>123</v>
      </c>
      <c r="AL95" s="14">
        <v>3.2</v>
      </c>
      <c r="AM95" s="14">
        <v>20.7</v>
      </c>
      <c r="AN95" s="18">
        <v>45933</v>
      </c>
    </row>
    <row r="96" spans="1:40" thickTop="1" thickBot="1" x14ac:dyDescent="0.3">
      <c r="A96" s="13" t="s">
        <v>188</v>
      </c>
      <c r="B96" s="14" t="s">
        <v>164</v>
      </c>
      <c r="C96" s="14" t="s">
        <v>90</v>
      </c>
      <c r="D96" s="14">
        <v>45</v>
      </c>
      <c r="E96" s="14" t="s">
        <v>43</v>
      </c>
      <c r="F96" s="14" t="s">
        <v>92</v>
      </c>
      <c r="G96" s="14" t="s">
        <v>134</v>
      </c>
      <c r="H96" s="14" t="s">
        <v>107</v>
      </c>
      <c r="I96" s="14" t="s">
        <v>95</v>
      </c>
      <c r="J96" s="14" t="s">
        <v>65</v>
      </c>
      <c r="K96" s="15">
        <v>16</v>
      </c>
      <c r="L96" s="16">
        <v>101758</v>
      </c>
      <c r="M96" s="17">
        <v>46044</v>
      </c>
      <c r="N96" s="18">
        <v>31889</v>
      </c>
      <c r="O96" s="14" t="s">
        <v>431</v>
      </c>
      <c r="P96" s="14" t="s">
        <v>432</v>
      </c>
      <c r="Q96" s="14" t="s">
        <v>394</v>
      </c>
      <c r="R96" s="14">
        <v>4.1399999999999997</v>
      </c>
      <c r="S96" s="14">
        <v>97.3</v>
      </c>
      <c r="T96" s="14">
        <v>3</v>
      </c>
      <c r="U96" s="14">
        <v>212766</v>
      </c>
      <c r="V96" s="14">
        <v>12146564</v>
      </c>
      <c r="W96" s="14">
        <v>71</v>
      </c>
      <c r="X96" s="14">
        <v>10</v>
      </c>
      <c r="Y96" s="14" t="s">
        <v>263</v>
      </c>
      <c r="Z96" s="14" t="s">
        <v>53</v>
      </c>
      <c r="AA96" s="14">
        <v>25</v>
      </c>
      <c r="AB96" s="14">
        <v>4</v>
      </c>
      <c r="AC96" s="14">
        <v>2.8</v>
      </c>
      <c r="AD96" s="14" t="s">
        <v>232</v>
      </c>
      <c r="AE96" s="14">
        <v>0</v>
      </c>
      <c r="AF96" s="14">
        <v>181862</v>
      </c>
      <c r="AG96" s="14">
        <v>118173.71</v>
      </c>
      <c r="AH96" s="14">
        <v>63688.29</v>
      </c>
      <c r="AI96" s="14" t="s">
        <v>72</v>
      </c>
      <c r="AJ96" s="14" t="s">
        <v>73</v>
      </c>
      <c r="AK96" s="14" t="s">
        <v>103</v>
      </c>
      <c r="AL96" s="14">
        <v>2.4</v>
      </c>
      <c r="AM96" s="14">
        <v>16.399999999999999</v>
      </c>
      <c r="AN96" s="18">
        <v>46047</v>
      </c>
    </row>
    <row r="97" spans="1:40" thickTop="1" thickBot="1" x14ac:dyDescent="0.3">
      <c r="A97" s="13" t="s">
        <v>433</v>
      </c>
      <c r="B97" s="14" t="s">
        <v>216</v>
      </c>
      <c r="C97" s="14" t="s">
        <v>106</v>
      </c>
      <c r="D97" s="14">
        <v>25</v>
      </c>
      <c r="E97" s="14" t="s">
        <v>43</v>
      </c>
      <c r="F97" s="14" t="s">
        <v>61</v>
      </c>
      <c r="G97" s="14" t="s">
        <v>80</v>
      </c>
      <c r="H97" s="14" t="s">
        <v>63</v>
      </c>
      <c r="I97" s="14" t="s">
        <v>47</v>
      </c>
      <c r="J97" s="14" t="s">
        <v>65</v>
      </c>
      <c r="K97" s="15">
        <v>21</v>
      </c>
      <c r="L97" s="16">
        <v>93527</v>
      </c>
      <c r="M97" s="17">
        <v>45929</v>
      </c>
      <c r="N97" s="18">
        <v>32383</v>
      </c>
      <c r="O97" s="14" t="s">
        <v>434</v>
      </c>
      <c r="P97" s="14" t="s">
        <v>435</v>
      </c>
      <c r="Q97" s="14" t="s">
        <v>99</v>
      </c>
      <c r="R97" s="14">
        <v>2.91</v>
      </c>
      <c r="S97" s="14">
        <v>76.599999999999994</v>
      </c>
      <c r="T97" s="14">
        <v>9</v>
      </c>
      <c r="U97" s="14">
        <v>34524</v>
      </c>
      <c r="V97" s="14">
        <v>13204657</v>
      </c>
      <c r="W97" s="14">
        <v>67</v>
      </c>
      <c r="X97" s="14">
        <v>11</v>
      </c>
      <c r="Y97" s="14" t="s">
        <v>121</v>
      </c>
      <c r="Z97" s="14" t="s">
        <v>101</v>
      </c>
      <c r="AA97" s="14">
        <v>25</v>
      </c>
      <c r="AB97" s="14">
        <v>11</v>
      </c>
      <c r="AC97" s="14">
        <v>4.3</v>
      </c>
      <c r="AD97" s="14" t="s">
        <v>155</v>
      </c>
      <c r="AE97" s="14">
        <v>344</v>
      </c>
      <c r="AF97" s="14">
        <v>429905</v>
      </c>
      <c r="AG97" s="14">
        <v>311691.07</v>
      </c>
      <c r="AH97" s="14">
        <v>118213.93</v>
      </c>
      <c r="AI97" s="14" t="s">
        <v>162</v>
      </c>
      <c r="AJ97" s="14" t="s">
        <v>169</v>
      </c>
      <c r="AK97" s="14" t="s">
        <v>87</v>
      </c>
      <c r="AL97" s="14">
        <v>1.7</v>
      </c>
      <c r="AM97" s="14">
        <v>28.4</v>
      </c>
      <c r="AN97" s="18">
        <v>45702</v>
      </c>
    </row>
    <row r="98" spans="1:40" thickTop="1" thickBot="1" x14ac:dyDescent="0.3">
      <c r="A98" s="13" t="s">
        <v>436</v>
      </c>
      <c r="B98" s="14" t="s">
        <v>41</v>
      </c>
      <c r="C98" s="14" t="s">
        <v>90</v>
      </c>
      <c r="D98" s="14">
        <v>47</v>
      </c>
      <c r="E98" s="14" t="s">
        <v>78</v>
      </c>
      <c r="F98" s="14" t="s">
        <v>165</v>
      </c>
      <c r="G98" s="14" t="s">
        <v>62</v>
      </c>
      <c r="H98" s="14" t="s">
        <v>157</v>
      </c>
      <c r="I98" s="14" t="s">
        <v>158</v>
      </c>
      <c r="J98" s="14" t="s">
        <v>117</v>
      </c>
      <c r="K98" s="15">
        <v>21</v>
      </c>
      <c r="L98" s="16">
        <v>245557</v>
      </c>
      <c r="M98" s="17">
        <v>46193</v>
      </c>
      <c r="N98" s="18">
        <v>35200</v>
      </c>
      <c r="O98" s="14" t="s">
        <v>437</v>
      </c>
      <c r="P98" s="14" t="s">
        <v>438</v>
      </c>
      <c r="Q98" s="14" t="s">
        <v>246</v>
      </c>
      <c r="R98" s="14">
        <v>2.16</v>
      </c>
      <c r="S98" s="14">
        <v>83.4</v>
      </c>
      <c r="T98" s="14">
        <v>7</v>
      </c>
      <c r="U98" s="14">
        <v>235570</v>
      </c>
      <c r="V98" s="14">
        <v>11147415</v>
      </c>
      <c r="W98" s="14">
        <v>61</v>
      </c>
      <c r="X98" s="14">
        <v>23</v>
      </c>
      <c r="Y98" s="14" t="s">
        <v>52</v>
      </c>
      <c r="Z98" s="14" t="s">
        <v>101</v>
      </c>
      <c r="AA98" s="14">
        <v>28</v>
      </c>
      <c r="AB98" s="14">
        <v>3</v>
      </c>
      <c r="AC98" s="14">
        <v>1</v>
      </c>
      <c r="AD98" s="14" t="s">
        <v>189</v>
      </c>
      <c r="AE98" s="14">
        <v>187</v>
      </c>
      <c r="AF98" s="14">
        <v>204667</v>
      </c>
      <c r="AG98" s="14">
        <v>155113.99</v>
      </c>
      <c r="AH98" s="14">
        <v>49553.01</v>
      </c>
      <c r="AI98" s="14" t="s">
        <v>72</v>
      </c>
      <c r="AJ98" s="14" t="s">
        <v>56</v>
      </c>
      <c r="AK98" s="14" t="s">
        <v>57</v>
      </c>
      <c r="AL98" s="14">
        <v>3.5</v>
      </c>
      <c r="AM98" s="14">
        <v>15.7</v>
      </c>
      <c r="AN98" s="18">
        <v>46048</v>
      </c>
    </row>
    <row r="99" spans="1:40" thickTop="1" thickBot="1" x14ac:dyDescent="0.3">
      <c r="A99" s="13" t="s">
        <v>317</v>
      </c>
      <c r="B99" s="14" t="s">
        <v>181</v>
      </c>
      <c r="C99" s="14" t="s">
        <v>201</v>
      </c>
      <c r="D99" s="14">
        <v>24</v>
      </c>
      <c r="E99" s="14" t="s">
        <v>91</v>
      </c>
      <c r="F99" s="14" t="s">
        <v>237</v>
      </c>
      <c r="G99" s="14" t="s">
        <v>80</v>
      </c>
      <c r="H99" s="14" t="s">
        <v>116</v>
      </c>
      <c r="I99" s="14" t="s">
        <v>158</v>
      </c>
      <c r="J99" s="14" t="s">
        <v>117</v>
      </c>
      <c r="K99" s="15">
        <v>7</v>
      </c>
      <c r="L99" s="16">
        <v>104574</v>
      </c>
      <c r="M99" s="17">
        <v>46106</v>
      </c>
      <c r="N99" s="18">
        <v>30215</v>
      </c>
      <c r="O99" s="14" t="s">
        <v>439</v>
      </c>
      <c r="P99" s="14" t="s">
        <v>440</v>
      </c>
      <c r="Q99" s="14" t="s">
        <v>222</v>
      </c>
      <c r="R99" s="14">
        <v>1.51</v>
      </c>
      <c r="S99" s="14">
        <v>98.8</v>
      </c>
      <c r="T99" s="14">
        <v>18</v>
      </c>
      <c r="U99" s="14">
        <v>194835</v>
      </c>
      <c r="V99" s="14">
        <v>1236522</v>
      </c>
      <c r="W99" s="14">
        <v>56</v>
      </c>
      <c r="X99" s="14">
        <v>12</v>
      </c>
      <c r="Y99" s="14" t="s">
        <v>100</v>
      </c>
      <c r="Z99" s="14" t="s">
        <v>111</v>
      </c>
      <c r="AA99" s="14">
        <v>37</v>
      </c>
      <c r="AB99" s="14">
        <v>16</v>
      </c>
      <c r="AC99" s="14">
        <v>3.9</v>
      </c>
      <c r="AD99" s="14" t="s">
        <v>85</v>
      </c>
      <c r="AE99" s="14">
        <v>496</v>
      </c>
      <c r="AF99" s="14">
        <v>306609</v>
      </c>
      <c r="AG99" s="14">
        <v>160759.87</v>
      </c>
      <c r="AH99" s="14">
        <v>145849.13</v>
      </c>
      <c r="AI99" s="14" t="s">
        <v>131</v>
      </c>
      <c r="AJ99" s="14" t="s">
        <v>73</v>
      </c>
      <c r="AK99" s="14" t="s">
        <v>103</v>
      </c>
      <c r="AL99" s="14">
        <v>4.2</v>
      </c>
      <c r="AM99" s="14">
        <v>10.6</v>
      </c>
      <c r="AN99" s="18">
        <v>46052</v>
      </c>
    </row>
    <row r="100" spans="1:40" thickTop="1" thickBot="1" x14ac:dyDescent="0.3">
      <c r="A100" s="13" t="s">
        <v>441</v>
      </c>
      <c r="B100" s="14" t="s">
        <v>76</v>
      </c>
      <c r="C100" s="14" t="s">
        <v>42</v>
      </c>
      <c r="D100" s="14">
        <v>44</v>
      </c>
      <c r="E100" s="14" t="s">
        <v>78</v>
      </c>
      <c r="F100" s="14" t="s">
        <v>211</v>
      </c>
      <c r="G100" s="14" t="s">
        <v>93</v>
      </c>
      <c r="H100" s="14" t="s">
        <v>157</v>
      </c>
      <c r="I100" s="14" t="s">
        <v>47</v>
      </c>
      <c r="J100" s="14" t="s">
        <v>145</v>
      </c>
      <c r="K100" s="15">
        <v>12</v>
      </c>
      <c r="L100" s="16">
        <v>138090</v>
      </c>
      <c r="M100" s="17">
        <v>46196</v>
      </c>
      <c r="N100" s="18">
        <v>34202</v>
      </c>
      <c r="O100" s="14" t="s">
        <v>442</v>
      </c>
      <c r="P100" s="14" t="s">
        <v>443</v>
      </c>
      <c r="Q100" s="14" t="s">
        <v>99</v>
      </c>
      <c r="R100" s="14">
        <v>3.25</v>
      </c>
      <c r="S100" s="14">
        <v>98.1</v>
      </c>
      <c r="T100" s="14">
        <v>27</v>
      </c>
      <c r="U100" s="14">
        <v>217523</v>
      </c>
      <c r="V100" s="14">
        <v>8445730</v>
      </c>
      <c r="W100" s="14">
        <v>22</v>
      </c>
      <c r="X100" s="14">
        <v>28</v>
      </c>
      <c r="Y100" s="14" t="s">
        <v>69</v>
      </c>
      <c r="Z100" s="14" t="s">
        <v>70</v>
      </c>
      <c r="AA100" s="14">
        <v>46</v>
      </c>
      <c r="AB100" s="14">
        <v>37</v>
      </c>
      <c r="AC100" s="14">
        <v>2.6</v>
      </c>
      <c r="AD100" s="14" t="s">
        <v>189</v>
      </c>
      <c r="AE100" s="14">
        <v>262</v>
      </c>
      <c r="AF100" s="14">
        <v>339301</v>
      </c>
      <c r="AG100" s="14">
        <v>176740.42</v>
      </c>
      <c r="AH100" s="14">
        <v>162560.57999999999</v>
      </c>
      <c r="AI100" s="14" t="s">
        <v>102</v>
      </c>
      <c r="AJ100" s="14" t="s">
        <v>169</v>
      </c>
      <c r="AK100" s="14" t="s">
        <v>57</v>
      </c>
      <c r="AL100" s="14">
        <v>2.6</v>
      </c>
      <c r="AM100" s="14">
        <v>1.2</v>
      </c>
      <c r="AN100" s="18">
        <v>45959</v>
      </c>
    </row>
    <row r="101" spans="1:40" thickTop="1" thickBot="1" x14ac:dyDescent="0.3">
      <c r="A101" s="13" t="s">
        <v>444</v>
      </c>
      <c r="B101" s="14" t="s">
        <v>206</v>
      </c>
      <c r="C101" s="14" t="s">
        <v>77</v>
      </c>
      <c r="D101" s="14">
        <v>26</v>
      </c>
      <c r="E101" s="14" t="s">
        <v>78</v>
      </c>
      <c r="F101" s="14" t="s">
        <v>79</v>
      </c>
      <c r="G101" s="14" t="s">
        <v>45</v>
      </c>
      <c r="H101" s="14" t="s">
        <v>157</v>
      </c>
      <c r="I101" s="14" t="s">
        <v>64</v>
      </c>
      <c r="J101" s="14" t="s">
        <v>48</v>
      </c>
      <c r="K101" s="15">
        <v>27</v>
      </c>
      <c r="L101" s="16">
        <v>232476</v>
      </c>
      <c r="M101" s="17">
        <v>45878</v>
      </c>
      <c r="N101" s="18">
        <v>36009</v>
      </c>
      <c r="O101" s="14" t="s">
        <v>445</v>
      </c>
      <c r="P101" s="14" t="s">
        <v>446</v>
      </c>
      <c r="Q101" s="14" t="s">
        <v>303</v>
      </c>
      <c r="R101" s="14">
        <v>4.45</v>
      </c>
      <c r="S101" s="14">
        <v>86.5</v>
      </c>
      <c r="T101" s="14">
        <v>26</v>
      </c>
      <c r="U101" s="14">
        <v>73515</v>
      </c>
      <c r="V101" s="14">
        <v>7327482</v>
      </c>
      <c r="W101" s="14">
        <v>6</v>
      </c>
      <c r="X101" s="14">
        <v>27</v>
      </c>
      <c r="Y101" s="14" t="s">
        <v>52</v>
      </c>
      <c r="Z101" s="14" t="s">
        <v>53</v>
      </c>
      <c r="AA101" s="14">
        <v>30</v>
      </c>
      <c r="AB101" s="14">
        <v>3</v>
      </c>
      <c r="AC101" s="14">
        <v>2.2999999999999998</v>
      </c>
      <c r="AD101" s="14" t="s">
        <v>54</v>
      </c>
      <c r="AE101" s="14">
        <v>3</v>
      </c>
      <c r="AF101" s="14">
        <v>418297</v>
      </c>
      <c r="AG101" s="14">
        <v>248205.42</v>
      </c>
      <c r="AH101" s="14">
        <v>170091.58</v>
      </c>
      <c r="AI101" s="14" t="s">
        <v>162</v>
      </c>
      <c r="AJ101" s="14" t="s">
        <v>56</v>
      </c>
      <c r="AK101" s="14" t="s">
        <v>123</v>
      </c>
      <c r="AL101" s="14">
        <v>3.1</v>
      </c>
      <c r="AM101" s="14">
        <v>2.6</v>
      </c>
      <c r="AN101" s="18">
        <v>46050</v>
      </c>
    </row>
    <row r="102" spans="1:40" ht="15" x14ac:dyDescent="0.25"/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B3C3-248D-45A3-AA24-450B5755F8CE}">
  <dimension ref="A1:N43"/>
  <sheetViews>
    <sheetView tabSelected="1" topLeftCell="G1" zoomScale="85" zoomScaleNormal="85" workbookViewId="0">
      <selection activeCell="N28" sqref="N28"/>
    </sheetView>
  </sheetViews>
  <sheetFormatPr defaultRowHeight="22.5" thickTop="1" thickBottom="1" x14ac:dyDescent="0.4"/>
  <cols>
    <col min="1" max="1" width="26.28515625" style="5" bestFit="1" customWidth="1"/>
    <col min="2" max="2" width="26.28515625" style="6" bestFit="1" customWidth="1"/>
    <col min="3" max="3" width="25.5703125" style="6" bestFit="1" customWidth="1"/>
    <col min="4" max="4" width="40.42578125" style="6" bestFit="1" customWidth="1"/>
    <col min="5" max="5" width="36.140625" style="6" bestFit="1" customWidth="1"/>
    <col min="6" max="6" width="45.140625" style="6" bestFit="1" customWidth="1"/>
    <col min="7" max="7" width="45.85546875" style="6" bestFit="1" customWidth="1"/>
    <col min="8" max="8" width="28.85546875" style="6" bestFit="1" customWidth="1"/>
    <col min="9" max="9" width="31.85546875" style="6" bestFit="1" customWidth="1"/>
    <col min="10" max="10" width="40.85546875" style="6" bestFit="1" customWidth="1"/>
    <col min="11" max="11" width="24.5703125" style="6" bestFit="1" customWidth="1"/>
    <col min="12" max="12" width="40.5703125" style="6" bestFit="1" customWidth="1"/>
    <col min="13" max="13" width="34.42578125" style="6" bestFit="1" customWidth="1"/>
    <col min="14" max="14" width="33" style="6" bestFit="1" customWidth="1"/>
    <col min="15" max="16384" width="9.140625" style="6"/>
  </cols>
  <sheetData>
    <row r="1" spans="1:14" s="2" customFormat="1" ht="21" customHeight="1" thickTop="1" thickBot="1" x14ac:dyDescent="0.35">
      <c r="A1" s="1" t="s">
        <v>447</v>
      </c>
      <c r="B1" s="2" t="s">
        <v>448</v>
      </c>
      <c r="C1" s="2" t="s">
        <v>449</v>
      </c>
      <c r="D1" s="2" t="s">
        <v>450</v>
      </c>
      <c r="E1" s="2" t="s">
        <v>451</v>
      </c>
      <c r="F1" s="2" t="s">
        <v>452</v>
      </c>
      <c r="G1" s="2" t="s">
        <v>453</v>
      </c>
      <c r="H1" s="2" t="s">
        <v>454</v>
      </c>
      <c r="I1" s="2" t="s">
        <v>455</v>
      </c>
      <c r="J1" s="2" t="s">
        <v>456</v>
      </c>
      <c r="K1" s="2" t="s">
        <v>457</v>
      </c>
      <c r="L1" s="2" t="s">
        <v>458</v>
      </c>
      <c r="M1" s="2" t="s">
        <v>459</v>
      </c>
      <c r="N1" s="2" t="s">
        <v>460</v>
      </c>
    </row>
    <row r="2" spans="1:14" s="4" customFormat="1" thickTop="1" thickBot="1" x14ac:dyDescent="0.4">
      <c r="A2" s="3"/>
    </row>
    <row r="3" spans="1:14" thickTop="1" thickBot="1" x14ac:dyDescent="0.4">
      <c r="A3" s="3">
        <f>A2+5</f>
        <v>5</v>
      </c>
      <c r="B3" s="6">
        <f>B2+5</f>
        <v>5</v>
      </c>
      <c r="C3" s="6">
        <f>A3+B3</f>
        <v>10</v>
      </c>
      <c r="D3" s="6">
        <f>SUM(A3,B3,C3)</f>
        <v>20</v>
      </c>
      <c r="E3" s="6">
        <f>SUM(A3:D3)</f>
        <v>40</v>
      </c>
      <c r="F3" s="6">
        <f>SUM(D3+E3)</f>
        <v>60</v>
      </c>
      <c r="G3" s="6">
        <f>SUM(D3,E3)</f>
        <v>60</v>
      </c>
      <c r="H3" s="6">
        <f>E3-D3</f>
        <v>20</v>
      </c>
      <c r="I3" s="6">
        <f>G3*H3</f>
        <v>1200</v>
      </c>
      <c r="J3" s="6">
        <f>PRODUCT(G3:H3)</f>
        <v>1200</v>
      </c>
      <c r="K3" s="6">
        <f>H3/G3</f>
        <v>0.33333333333333331</v>
      </c>
      <c r="L3" s="6">
        <f>AVERAGE(G3:H3)</f>
        <v>40</v>
      </c>
      <c r="M3" s="6">
        <f>MAX(A3:K3)</f>
        <v>1200</v>
      </c>
      <c r="N3" s="6">
        <f>MIN(A3:M3)</f>
        <v>0.33333333333333331</v>
      </c>
    </row>
    <row r="4" spans="1:14" thickTop="1" thickBot="1" x14ac:dyDescent="0.4">
      <c r="A4" s="5">
        <f t="shared" ref="A4:A42" si="0">A3+5</f>
        <v>10</v>
      </c>
      <c r="B4" s="6">
        <f t="shared" ref="B4:B42" si="1">B3+5</f>
        <v>10</v>
      </c>
      <c r="C4" s="6">
        <f t="shared" ref="C4:C42" si="2">A4+B4</f>
        <v>20</v>
      </c>
      <c r="D4" s="6">
        <f t="shared" ref="D4:D42" si="3">SUM(A4,B4,C4)</f>
        <v>40</v>
      </c>
      <c r="E4" s="6">
        <f t="shared" ref="E4:E42" si="4">SUM(A4:D4)</f>
        <v>80</v>
      </c>
      <c r="F4" s="6">
        <f t="shared" ref="F4:F42" si="5">SUM(D4+E4)</f>
        <v>120</v>
      </c>
      <c r="G4" s="6">
        <f t="shared" ref="G4:G42" si="6">SUM(D4,E4)</f>
        <v>120</v>
      </c>
      <c r="H4" s="6">
        <f t="shared" ref="H4:H42" si="7">E4-D4</f>
        <v>40</v>
      </c>
      <c r="I4" s="6">
        <f t="shared" ref="I4:I42" si="8">G4*H4</f>
        <v>4800</v>
      </c>
      <c r="J4" s="6">
        <f t="shared" ref="J4:J42" si="9">PRODUCT(G4:H4)</f>
        <v>4800</v>
      </c>
      <c r="K4" s="6">
        <f t="shared" ref="K4:K42" si="10">H4/G4</f>
        <v>0.33333333333333331</v>
      </c>
      <c r="L4" s="6">
        <f t="shared" ref="L4:L42" si="11">AVERAGE(G4:H4)</f>
        <v>80</v>
      </c>
      <c r="M4" s="6">
        <f t="shared" ref="M4:M42" si="12">MAX(A4:K4)</f>
        <v>4800</v>
      </c>
      <c r="N4" s="6">
        <f t="shared" ref="N4:N42" si="13">MIN(A4:M4)</f>
        <v>0.33333333333333331</v>
      </c>
    </row>
    <row r="5" spans="1:14" thickTop="1" thickBot="1" x14ac:dyDescent="0.4">
      <c r="A5" s="5">
        <f t="shared" si="0"/>
        <v>15</v>
      </c>
      <c r="B5" s="6">
        <f t="shared" si="1"/>
        <v>15</v>
      </c>
      <c r="C5" s="6">
        <f t="shared" si="2"/>
        <v>30</v>
      </c>
      <c r="D5" s="6">
        <f t="shared" si="3"/>
        <v>60</v>
      </c>
      <c r="E5" s="6">
        <f t="shared" si="4"/>
        <v>120</v>
      </c>
      <c r="F5" s="6">
        <f t="shared" si="5"/>
        <v>180</v>
      </c>
      <c r="G5" s="6">
        <f t="shared" si="6"/>
        <v>180</v>
      </c>
      <c r="H5" s="6">
        <f t="shared" si="7"/>
        <v>60</v>
      </c>
      <c r="I5" s="6">
        <f t="shared" si="8"/>
        <v>10800</v>
      </c>
      <c r="J5" s="6">
        <f t="shared" si="9"/>
        <v>10800</v>
      </c>
      <c r="K5" s="6">
        <f t="shared" si="10"/>
        <v>0.33333333333333331</v>
      </c>
      <c r="L5" s="6">
        <f t="shared" si="11"/>
        <v>120</v>
      </c>
      <c r="M5" s="6">
        <f t="shared" si="12"/>
        <v>10800</v>
      </c>
      <c r="N5" s="6">
        <f t="shared" si="13"/>
        <v>0.33333333333333331</v>
      </c>
    </row>
    <row r="6" spans="1:14" thickTop="1" thickBot="1" x14ac:dyDescent="0.4">
      <c r="A6" s="5">
        <f t="shared" si="0"/>
        <v>20</v>
      </c>
      <c r="B6" s="6">
        <f t="shared" si="1"/>
        <v>20</v>
      </c>
      <c r="C6" s="6">
        <f t="shared" si="2"/>
        <v>40</v>
      </c>
      <c r="D6" s="6">
        <f t="shared" si="3"/>
        <v>80</v>
      </c>
      <c r="E6" s="6">
        <f t="shared" si="4"/>
        <v>160</v>
      </c>
      <c r="F6" s="6">
        <f t="shared" si="5"/>
        <v>240</v>
      </c>
      <c r="G6" s="6">
        <f t="shared" si="6"/>
        <v>240</v>
      </c>
      <c r="H6" s="6">
        <f t="shared" si="7"/>
        <v>80</v>
      </c>
      <c r="I6" s="6">
        <f t="shared" si="8"/>
        <v>19200</v>
      </c>
      <c r="J6" s="6">
        <f t="shared" si="9"/>
        <v>19200</v>
      </c>
      <c r="K6" s="6">
        <f t="shared" si="10"/>
        <v>0.33333333333333331</v>
      </c>
      <c r="L6" s="6">
        <f t="shared" si="11"/>
        <v>160</v>
      </c>
      <c r="M6" s="6">
        <f t="shared" si="12"/>
        <v>19200</v>
      </c>
      <c r="N6" s="6">
        <f t="shared" si="13"/>
        <v>0.33333333333333331</v>
      </c>
    </row>
    <row r="7" spans="1:14" thickTop="1" thickBot="1" x14ac:dyDescent="0.4">
      <c r="A7" s="5">
        <f t="shared" si="0"/>
        <v>25</v>
      </c>
      <c r="B7" s="6">
        <f t="shared" si="1"/>
        <v>25</v>
      </c>
      <c r="C7" s="6">
        <f t="shared" si="2"/>
        <v>50</v>
      </c>
      <c r="D7" s="6">
        <f t="shared" si="3"/>
        <v>100</v>
      </c>
      <c r="E7" s="6">
        <f t="shared" si="4"/>
        <v>200</v>
      </c>
      <c r="F7" s="6">
        <f t="shared" si="5"/>
        <v>300</v>
      </c>
      <c r="G7" s="6">
        <f t="shared" si="6"/>
        <v>300</v>
      </c>
      <c r="H7" s="6">
        <f t="shared" si="7"/>
        <v>100</v>
      </c>
      <c r="I7" s="6">
        <f t="shared" si="8"/>
        <v>30000</v>
      </c>
      <c r="J7" s="6">
        <f t="shared" si="9"/>
        <v>30000</v>
      </c>
      <c r="K7" s="6">
        <f t="shared" si="10"/>
        <v>0.33333333333333331</v>
      </c>
      <c r="L7" s="6">
        <f t="shared" si="11"/>
        <v>200</v>
      </c>
      <c r="M7" s="6">
        <f t="shared" si="12"/>
        <v>30000</v>
      </c>
      <c r="N7" s="6">
        <f t="shared" si="13"/>
        <v>0.33333333333333331</v>
      </c>
    </row>
    <row r="8" spans="1:14" thickTop="1" thickBot="1" x14ac:dyDescent="0.4">
      <c r="A8" s="5">
        <f t="shared" si="0"/>
        <v>30</v>
      </c>
      <c r="B8" s="6">
        <f t="shared" si="1"/>
        <v>30</v>
      </c>
      <c r="C8" s="6">
        <f t="shared" si="2"/>
        <v>60</v>
      </c>
      <c r="D8" s="6">
        <f t="shared" si="3"/>
        <v>120</v>
      </c>
      <c r="E8" s="6">
        <f t="shared" si="4"/>
        <v>240</v>
      </c>
      <c r="F8" s="6">
        <f t="shared" si="5"/>
        <v>360</v>
      </c>
      <c r="G8" s="6">
        <f t="shared" si="6"/>
        <v>360</v>
      </c>
      <c r="H8" s="6">
        <f t="shared" si="7"/>
        <v>120</v>
      </c>
      <c r="I8" s="6">
        <f t="shared" si="8"/>
        <v>43200</v>
      </c>
      <c r="J8" s="6">
        <f t="shared" si="9"/>
        <v>43200</v>
      </c>
      <c r="K8" s="6">
        <f t="shared" si="10"/>
        <v>0.33333333333333331</v>
      </c>
      <c r="L8" s="6">
        <f t="shared" si="11"/>
        <v>240</v>
      </c>
      <c r="M8" s="6">
        <f t="shared" si="12"/>
        <v>43200</v>
      </c>
      <c r="N8" s="6">
        <f t="shared" si="13"/>
        <v>0.33333333333333331</v>
      </c>
    </row>
    <row r="9" spans="1:14" thickTop="1" thickBot="1" x14ac:dyDescent="0.4">
      <c r="A9" s="5">
        <f t="shared" si="0"/>
        <v>35</v>
      </c>
      <c r="B9" s="6">
        <f t="shared" si="1"/>
        <v>35</v>
      </c>
      <c r="C9" s="6">
        <f t="shared" si="2"/>
        <v>70</v>
      </c>
      <c r="D9" s="6">
        <f t="shared" si="3"/>
        <v>140</v>
      </c>
      <c r="E9" s="6">
        <f t="shared" si="4"/>
        <v>280</v>
      </c>
      <c r="F9" s="6">
        <f t="shared" si="5"/>
        <v>420</v>
      </c>
      <c r="G9" s="6">
        <f t="shared" si="6"/>
        <v>420</v>
      </c>
      <c r="H9" s="6">
        <f t="shared" si="7"/>
        <v>140</v>
      </c>
      <c r="I9" s="6">
        <f t="shared" si="8"/>
        <v>58800</v>
      </c>
      <c r="J9" s="6">
        <f t="shared" si="9"/>
        <v>58800</v>
      </c>
      <c r="K9" s="6">
        <f t="shared" si="10"/>
        <v>0.33333333333333331</v>
      </c>
      <c r="L9" s="6">
        <f t="shared" si="11"/>
        <v>280</v>
      </c>
      <c r="M9" s="6">
        <f t="shared" si="12"/>
        <v>58800</v>
      </c>
      <c r="N9" s="6">
        <f t="shared" si="13"/>
        <v>0.33333333333333331</v>
      </c>
    </row>
    <row r="10" spans="1:14" thickTop="1" thickBot="1" x14ac:dyDescent="0.4">
      <c r="A10" s="5">
        <f t="shared" si="0"/>
        <v>40</v>
      </c>
      <c r="B10" s="6">
        <f t="shared" si="1"/>
        <v>40</v>
      </c>
      <c r="C10" s="6">
        <f t="shared" si="2"/>
        <v>80</v>
      </c>
      <c r="D10" s="6">
        <f t="shared" si="3"/>
        <v>160</v>
      </c>
      <c r="E10" s="6">
        <f t="shared" si="4"/>
        <v>320</v>
      </c>
      <c r="F10" s="6">
        <f t="shared" si="5"/>
        <v>480</v>
      </c>
      <c r="G10" s="6">
        <f t="shared" si="6"/>
        <v>480</v>
      </c>
      <c r="H10" s="6">
        <f t="shared" si="7"/>
        <v>160</v>
      </c>
      <c r="I10" s="6">
        <f t="shared" si="8"/>
        <v>76800</v>
      </c>
      <c r="J10" s="6">
        <f t="shared" si="9"/>
        <v>76800</v>
      </c>
      <c r="K10" s="6">
        <f t="shared" si="10"/>
        <v>0.33333333333333331</v>
      </c>
      <c r="L10" s="6">
        <f t="shared" si="11"/>
        <v>320</v>
      </c>
      <c r="M10" s="6">
        <f t="shared" si="12"/>
        <v>76800</v>
      </c>
      <c r="N10" s="6">
        <f t="shared" si="13"/>
        <v>0.33333333333333331</v>
      </c>
    </row>
    <row r="11" spans="1:14" thickTop="1" thickBot="1" x14ac:dyDescent="0.4">
      <c r="A11" s="5">
        <f t="shared" si="0"/>
        <v>45</v>
      </c>
      <c r="B11" s="6">
        <f t="shared" si="1"/>
        <v>45</v>
      </c>
      <c r="C11" s="6">
        <f t="shared" si="2"/>
        <v>90</v>
      </c>
      <c r="D11" s="6">
        <f t="shared" si="3"/>
        <v>180</v>
      </c>
      <c r="E11" s="6">
        <f t="shared" si="4"/>
        <v>360</v>
      </c>
      <c r="F11" s="6">
        <f t="shared" si="5"/>
        <v>540</v>
      </c>
      <c r="G11" s="6">
        <f t="shared" si="6"/>
        <v>540</v>
      </c>
      <c r="H11" s="6">
        <f t="shared" si="7"/>
        <v>180</v>
      </c>
      <c r="I11" s="6">
        <f t="shared" si="8"/>
        <v>97200</v>
      </c>
      <c r="J11" s="6">
        <f t="shared" si="9"/>
        <v>97200</v>
      </c>
      <c r="K11" s="6">
        <f t="shared" si="10"/>
        <v>0.33333333333333331</v>
      </c>
      <c r="L11" s="6">
        <f t="shared" si="11"/>
        <v>360</v>
      </c>
      <c r="M11" s="6">
        <f t="shared" si="12"/>
        <v>97200</v>
      </c>
      <c r="N11" s="6">
        <f t="shared" si="13"/>
        <v>0.33333333333333331</v>
      </c>
    </row>
    <row r="12" spans="1:14" thickTop="1" thickBot="1" x14ac:dyDescent="0.4">
      <c r="A12" s="5">
        <f t="shared" si="0"/>
        <v>50</v>
      </c>
      <c r="B12" s="6">
        <f t="shared" si="1"/>
        <v>50</v>
      </c>
      <c r="C12" s="6">
        <f t="shared" si="2"/>
        <v>100</v>
      </c>
      <c r="D12" s="6">
        <f t="shared" si="3"/>
        <v>200</v>
      </c>
      <c r="E12" s="6">
        <f t="shared" si="4"/>
        <v>400</v>
      </c>
      <c r="F12" s="6">
        <f t="shared" si="5"/>
        <v>600</v>
      </c>
      <c r="G12" s="6">
        <f t="shared" si="6"/>
        <v>600</v>
      </c>
      <c r="H12" s="6">
        <f t="shared" si="7"/>
        <v>200</v>
      </c>
      <c r="I12" s="6">
        <f t="shared" si="8"/>
        <v>120000</v>
      </c>
      <c r="J12" s="6">
        <f t="shared" si="9"/>
        <v>120000</v>
      </c>
      <c r="K12" s="6">
        <f t="shared" si="10"/>
        <v>0.33333333333333331</v>
      </c>
      <c r="L12" s="6">
        <f t="shared" si="11"/>
        <v>400</v>
      </c>
      <c r="M12" s="6">
        <f t="shared" si="12"/>
        <v>120000</v>
      </c>
      <c r="N12" s="6">
        <f t="shared" si="13"/>
        <v>0.33333333333333331</v>
      </c>
    </row>
    <row r="13" spans="1:14" thickTop="1" thickBot="1" x14ac:dyDescent="0.4">
      <c r="A13" s="5">
        <f t="shared" si="0"/>
        <v>55</v>
      </c>
      <c r="B13" s="6">
        <f t="shared" si="1"/>
        <v>55</v>
      </c>
      <c r="C13" s="6">
        <f t="shared" si="2"/>
        <v>110</v>
      </c>
      <c r="D13" s="6">
        <f t="shared" si="3"/>
        <v>220</v>
      </c>
      <c r="E13" s="6">
        <f t="shared" si="4"/>
        <v>440</v>
      </c>
      <c r="F13" s="6">
        <f t="shared" si="5"/>
        <v>660</v>
      </c>
      <c r="G13" s="6">
        <f t="shared" si="6"/>
        <v>660</v>
      </c>
      <c r="H13" s="6">
        <f t="shared" si="7"/>
        <v>220</v>
      </c>
      <c r="I13" s="6">
        <f t="shared" si="8"/>
        <v>145200</v>
      </c>
      <c r="J13" s="6">
        <f t="shared" si="9"/>
        <v>145200</v>
      </c>
      <c r="K13" s="6">
        <f t="shared" si="10"/>
        <v>0.33333333333333331</v>
      </c>
      <c r="L13" s="6">
        <f t="shared" si="11"/>
        <v>440</v>
      </c>
      <c r="M13" s="6">
        <f t="shared" si="12"/>
        <v>145200</v>
      </c>
      <c r="N13" s="6">
        <f t="shared" si="13"/>
        <v>0.33333333333333331</v>
      </c>
    </row>
    <row r="14" spans="1:14" thickTop="1" thickBot="1" x14ac:dyDescent="0.4">
      <c r="A14" s="5">
        <f t="shared" si="0"/>
        <v>60</v>
      </c>
      <c r="B14" s="6">
        <f t="shared" si="1"/>
        <v>60</v>
      </c>
      <c r="C14" s="6">
        <f t="shared" si="2"/>
        <v>120</v>
      </c>
      <c r="D14" s="6">
        <f t="shared" si="3"/>
        <v>240</v>
      </c>
      <c r="E14" s="6">
        <f t="shared" si="4"/>
        <v>480</v>
      </c>
      <c r="F14" s="6">
        <f t="shared" si="5"/>
        <v>720</v>
      </c>
      <c r="G14" s="6">
        <f t="shared" si="6"/>
        <v>720</v>
      </c>
      <c r="H14" s="6">
        <f t="shared" si="7"/>
        <v>240</v>
      </c>
      <c r="I14" s="6">
        <f t="shared" si="8"/>
        <v>172800</v>
      </c>
      <c r="J14" s="6">
        <f t="shared" si="9"/>
        <v>172800</v>
      </c>
      <c r="K14" s="6">
        <f t="shared" si="10"/>
        <v>0.33333333333333331</v>
      </c>
      <c r="L14" s="6">
        <f t="shared" si="11"/>
        <v>480</v>
      </c>
      <c r="M14" s="6">
        <f t="shared" si="12"/>
        <v>172800</v>
      </c>
      <c r="N14" s="6">
        <f t="shared" si="13"/>
        <v>0.33333333333333331</v>
      </c>
    </row>
    <row r="15" spans="1:14" thickTop="1" thickBot="1" x14ac:dyDescent="0.4">
      <c r="A15" s="5">
        <f t="shared" si="0"/>
        <v>65</v>
      </c>
      <c r="B15" s="6">
        <f t="shared" si="1"/>
        <v>65</v>
      </c>
      <c r="C15" s="6">
        <f t="shared" si="2"/>
        <v>130</v>
      </c>
      <c r="D15" s="6">
        <f t="shared" si="3"/>
        <v>260</v>
      </c>
      <c r="E15" s="6">
        <f t="shared" si="4"/>
        <v>520</v>
      </c>
      <c r="F15" s="6">
        <f t="shared" si="5"/>
        <v>780</v>
      </c>
      <c r="G15" s="6">
        <f t="shared" si="6"/>
        <v>780</v>
      </c>
      <c r="H15" s="6">
        <f t="shared" si="7"/>
        <v>260</v>
      </c>
      <c r="I15" s="6">
        <f t="shared" si="8"/>
        <v>202800</v>
      </c>
      <c r="J15" s="6">
        <f t="shared" si="9"/>
        <v>202800</v>
      </c>
      <c r="K15" s="6">
        <f t="shared" si="10"/>
        <v>0.33333333333333331</v>
      </c>
      <c r="L15" s="6">
        <f t="shared" si="11"/>
        <v>520</v>
      </c>
      <c r="M15" s="6">
        <f t="shared" si="12"/>
        <v>202800</v>
      </c>
      <c r="N15" s="6">
        <f t="shared" si="13"/>
        <v>0.33333333333333331</v>
      </c>
    </row>
    <row r="16" spans="1:14" thickTop="1" thickBot="1" x14ac:dyDescent="0.4">
      <c r="A16" s="5">
        <f t="shared" si="0"/>
        <v>70</v>
      </c>
      <c r="B16" s="6">
        <f t="shared" si="1"/>
        <v>70</v>
      </c>
      <c r="C16" s="6">
        <f t="shared" si="2"/>
        <v>140</v>
      </c>
      <c r="D16" s="6">
        <f t="shared" si="3"/>
        <v>280</v>
      </c>
      <c r="E16" s="6">
        <f t="shared" si="4"/>
        <v>560</v>
      </c>
      <c r="F16" s="6">
        <f t="shared" si="5"/>
        <v>840</v>
      </c>
      <c r="G16" s="6">
        <f t="shared" si="6"/>
        <v>840</v>
      </c>
      <c r="H16" s="6">
        <f t="shared" si="7"/>
        <v>280</v>
      </c>
      <c r="I16" s="6">
        <f t="shared" si="8"/>
        <v>235200</v>
      </c>
      <c r="J16" s="6">
        <f t="shared" si="9"/>
        <v>235200</v>
      </c>
      <c r="K16" s="6">
        <f t="shared" si="10"/>
        <v>0.33333333333333331</v>
      </c>
      <c r="L16" s="6">
        <f t="shared" si="11"/>
        <v>560</v>
      </c>
      <c r="M16" s="6">
        <f t="shared" si="12"/>
        <v>235200</v>
      </c>
      <c r="N16" s="6">
        <f t="shared" si="13"/>
        <v>0.33333333333333331</v>
      </c>
    </row>
    <row r="17" spans="1:14" thickTop="1" thickBot="1" x14ac:dyDescent="0.4">
      <c r="A17" s="5">
        <f t="shared" si="0"/>
        <v>75</v>
      </c>
      <c r="B17" s="6">
        <f t="shared" si="1"/>
        <v>75</v>
      </c>
      <c r="C17" s="6">
        <f t="shared" si="2"/>
        <v>150</v>
      </c>
      <c r="D17" s="6">
        <f t="shared" si="3"/>
        <v>300</v>
      </c>
      <c r="E17" s="6">
        <f t="shared" si="4"/>
        <v>600</v>
      </c>
      <c r="F17" s="6">
        <f t="shared" si="5"/>
        <v>900</v>
      </c>
      <c r="G17" s="6">
        <f t="shared" si="6"/>
        <v>900</v>
      </c>
      <c r="H17" s="6">
        <f t="shared" si="7"/>
        <v>300</v>
      </c>
      <c r="I17" s="6">
        <f t="shared" si="8"/>
        <v>270000</v>
      </c>
      <c r="J17" s="6">
        <f t="shared" si="9"/>
        <v>270000</v>
      </c>
      <c r="K17" s="6">
        <f t="shared" si="10"/>
        <v>0.33333333333333331</v>
      </c>
      <c r="L17" s="6">
        <f t="shared" si="11"/>
        <v>600</v>
      </c>
      <c r="M17" s="6">
        <f t="shared" si="12"/>
        <v>270000</v>
      </c>
      <c r="N17" s="6">
        <f t="shared" si="13"/>
        <v>0.33333333333333331</v>
      </c>
    </row>
    <row r="18" spans="1:14" thickTop="1" thickBot="1" x14ac:dyDescent="0.4">
      <c r="A18" s="5">
        <f t="shared" si="0"/>
        <v>80</v>
      </c>
      <c r="B18" s="6">
        <f t="shared" si="1"/>
        <v>80</v>
      </c>
      <c r="C18" s="6">
        <f t="shared" si="2"/>
        <v>160</v>
      </c>
      <c r="D18" s="6">
        <f t="shared" si="3"/>
        <v>320</v>
      </c>
      <c r="E18" s="6">
        <f t="shared" si="4"/>
        <v>640</v>
      </c>
      <c r="F18" s="6">
        <f t="shared" si="5"/>
        <v>960</v>
      </c>
      <c r="G18" s="6">
        <f t="shared" si="6"/>
        <v>960</v>
      </c>
      <c r="H18" s="6">
        <f t="shared" si="7"/>
        <v>320</v>
      </c>
      <c r="I18" s="6">
        <f t="shared" si="8"/>
        <v>307200</v>
      </c>
      <c r="J18" s="6">
        <f t="shared" si="9"/>
        <v>307200</v>
      </c>
      <c r="K18" s="6">
        <f t="shared" si="10"/>
        <v>0.33333333333333331</v>
      </c>
      <c r="L18" s="6">
        <f t="shared" si="11"/>
        <v>640</v>
      </c>
      <c r="M18" s="6">
        <f t="shared" si="12"/>
        <v>307200</v>
      </c>
      <c r="N18" s="6">
        <f t="shared" si="13"/>
        <v>0.33333333333333331</v>
      </c>
    </row>
    <row r="19" spans="1:14" thickTop="1" thickBot="1" x14ac:dyDescent="0.4">
      <c r="A19" s="5">
        <f t="shared" si="0"/>
        <v>85</v>
      </c>
      <c r="B19" s="6">
        <f t="shared" si="1"/>
        <v>85</v>
      </c>
      <c r="C19" s="6">
        <f t="shared" si="2"/>
        <v>170</v>
      </c>
      <c r="D19" s="6">
        <f t="shared" si="3"/>
        <v>340</v>
      </c>
      <c r="E19" s="6">
        <f t="shared" si="4"/>
        <v>680</v>
      </c>
      <c r="F19" s="6">
        <f t="shared" si="5"/>
        <v>1020</v>
      </c>
      <c r="G19" s="6">
        <f t="shared" si="6"/>
        <v>1020</v>
      </c>
      <c r="H19" s="6">
        <f t="shared" si="7"/>
        <v>340</v>
      </c>
      <c r="I19" s="6">
        <f t="shared" si="8"/>
        <v>346800</v>
      </c>
      <c r="J19" s="6">
        <f t="shared" si="9"/>
        <v>346800</v>
      </c>
      <c r="K19" s="6">
        <f t="shared" si="10"/>
        <v>0.33333333333333331</v>
      </c>
      <c r="L19" s="6">
        <f t="shared" si="11"/>
        <v>680</v>
      </c>
      <c r="M19" s="6">
        <f t="shared" si="12"/>
        <v>346800</v>
      </c>
      <c r="N19" s="6">
        <f t="shared" si="13"/>
        <v>0.33333333333333331</v>
      </c>
    </row>
    <row r="20" spans="1:14" thickTop="1" thickBot="1" x14ac:dyDescent="0.4">
      <c r="A20" s="5">
        <f t="shared" si="0"/>
        <v>90</v>
      </c>
      <c r="B20" s="6">
        <f t="shared" si="1"/>
        <v>90</v>
      </c>
      <c r="C20" s="6">
        <f t="shared" si="2"/>
        <v>180</v>
      </c>
      <c r="D20" s="6">
        <f t="shared" si="3"/>
        <v>360</v>
      </c>
      <c r="E20" s="6">
        <f t="shared" si="4"/>
        <v>720</v>
      </c>
      <c r="F20" s="6">
        <f t="shared" si="5"/>
        <v>1080</v>
      </c>
      <c r="G20" s="6">
        <f t="shared" si="6"/>
        <v>1080</v>
      </c>
      <c r="H20" s="6">
        <f t="shared" si="7"/>
        <v>360</v>
      </c>
      <c r="I20" s="6">
        <f t="shared" si="8"/>
        <v>388800</v>
      </c>
      <c r="J20" s="6">
        <f t="shared" si="9"/>
        <v>388800</v>
      </c>
      <c r="K20" s="6">
        <f t="shared" si="10"/>
        <v>0.33333333333333331</v>
      </c>
      <c r="L20" s="6">
        <f t="shared" si="11"/>
        <v>720</v>
      </c>
      <c r="M20" s="6">
        <f t="shared" si="12"/>
        <v>388800</v>
      </c>
      <c r="N20" s="6">
        <f t="shared" si="13"/>
        <v>0.33333333333333331</v>
      </c>
    </row>
    <row r="21" spans="1:14" thickTop="1" thickBot="1" x14ac:dyDescent="0.4">
      <c r="A21" s="5">
        <f t="shared" si="0"/>
        <v>95</v>
      </c>
      <c r="B21" s="6">
        <f t="shared" si="1"/>
        <v>95</v>
      </c>
      <c r="C21" s="6">
        <f t="shared" si="2"/>
        <v>190</v>
      </c>
      <c r="D21" s="6">
        <f t="shared" si="3"/>
        <v>380</v>
      </c>
      <c r="E21" s="6">
        <f t="shared" si="4"/>
        <v>760</v>
      </c>
      <c r="F21" s="6">
        <f t="shared" si="5"/>
        <v>1140</v>
      </c>
      <c r="G21" s="6">
        <f t="shared" si="6"/>
        <v>1140</v>
      </c>
      <c r="H21" s="6">
        <f t="shared" si="7"/>
        <v>380</v>
      </c>
      <c r="I21" s="6">
        <f t="shared" si="8"/>
        <v>433200</v>
      </c>
      <c r="J21" s="6">
        <f t="shared" si="9"/>
        <v>433200</v>
      </c>
      <c r="K21" s="6">
        <f t="shared" si="10"/>
        <v>0.33333333333333331</v>
      </c>
      <c r="L21" s="6">
        <f t="shared" si="11"/>
        <v>760</v>
      </c>
      <c r="M21" s="6">
        <f t="shared" si="12"/>
        <v>433200</v>
      </c>
      <c r="N21" s="6">
        <f t="shared" si="13"/>
        <v>0.33333333333333331</v>
      </c>
    </row>
    <row r="22" spans="1:14" thickTop="1" thickBot="1" x14ac:dyDescent="0.4">
      <c r="A22" s="5">
        <f t="shared" si="0"/>
        <v>100</v>
      </c>
      <c r="B22" s="6">
        <f t="shared" si="1"/>
        <v>100</v>
      </c>
      <c r="C22" s="6">
        <f t="shared" si="2"/>
        <v>200</v>
      </c>
      <c r="D22" s="6">
        <f t="shared" si="3"/>
        <v>400</v>
      </c>
      <c r="E22" s="6">
        <f t="shared" si="4"/>
        <v>800</v>
      </c>
      <c r="F22" s="6">
        <f t="shared" si="5"/>
        <v>1200</v>
      </c>
      <c r="G22" s="6">
        <f t="shared" si="6"/>
        <v>1200</v>
      </c>
      <c r="H22" s="6">
        <f t="shared" si="7"/>
        <v>400</v>
      </c>
      <c r="I22" s="6">
        <f t="shared" si="8"/>
        <v>480000</v>
      </c>
      <c r="J22" s="6">
        <f t="shared" si="9"/>
        <v>480000</v>
      </c>
      <c r="K22" s="6">
        <f t="shared" si="10"/>
        <v>0.33333333333333331</v>
      </c>
      <c r="L22" s="6">
        <f t="shared" si="11"/>
        <v>800</v>
      </c>
      <c r="M22" s="6">
        <f t="shared" si="12"/>
        <v>480000</v>
      </c>
      <c r="N22" s="6">
        <f t="shared" si="13"/>
        <v>0.33333333333333331</v>
      </c>
    </row>
    <row r="23" spans="1:14" thickTop="1" thickBot="1" x14ac:dyDescent="0.4">
      <c r="A23" s="5">
        <f t="shared" si="0"/>
        <v>105</v>
      </c>
      <c r="B23" s="6">
        <f t="shared" si="1"/>
        <v>105</v>
      </c>
      <c r="C23" s="6">
        <f t="shared" si="2"/>
        <v>210</v>
      </c>
      <c r="D23" s="6">
        <f t="shared" si="3"/>
        <v>420</v>
      </c>
      <c r="E23" s="6">
        <f t="shared" si="4"/>
        <v>840</v>
      </c>
      <c r="F23" s="6">
        <f t="shared" si="5"/>
        <v>1260</v>
      </c>
      <c r="G23" s="6">
        <f t="shared" si="6"/>
        <v>1260</v>
      </c>
      <c r="H23" s="6">
        <f t="shared" si="7"/>
        <v>420</v>
      </c>
      <c r="I23" s="6">
        <f t="shared" si="8"/>
        <v>529200</v>
      </c>
      <c r="J23" s="6">
        <f t="shared" si="9"/>
        <v>529200</v>
      </c>
      <c r="K23" s="6">
        <f t="shared" si="10"/>
        <v>0.33333333333333331</v>
      </c>
      <c r="L23" s="6">
        <f t="shared" si="11"/>
        <v>840</v>
      </c>
      <c r="M23" s="6">
        <f t="shared" si="12"/>
        <v>529200</v>
      </c>
      <c r="N23" s="6">
        <f t="shared" si="13"/>
        <v>0.33333333333333331</v>
      </c>
    </row>
    <row r="24" spans="1:14" thickTop="1" thickBot="1" x14ac:dyDescent="0.4">
      <c r="A24" s="5">
        <f t="shared" si="0"/>
        <v>110</v>
      </c>
      <c r="B24" s="6">
        <f t="shared" si="1"/>
        <v>110</v>
      </c>
      <c r="C24" s="6">
        <f t="shared" si="2"/>
        <v>220</v>
      </c>
      <c r="D24" s="6">
        <f t="shared" si="3"/>
        <v>440</v>
      </c>
      <c r="E24" s="6">
        <f t="shared" si="4"/>
        <v>880</v>
      </c>
      <c r="F24" s="6">
        <f t="shared" si="5"/>
        <v>1320</v>
      </c>
      <c r="G24" s="6">
        <f t="shared" si="6"/>
        <v>1320</v>
      </c>
      <c r="H24" s="6">
        <f t="shared" si="7"/>
        <v>440</v>
      </c>
      <c r="I24" s="6">
        <f t="shared" si="8"/>
        <v>580800</v>
      </c>
      <c r="J24" s="6">
        <f t="shared" si="9"/>
        <v>580800</v>
      </c>
      <c r="K24" s="6">
        <f t="shared" si="10"/>
        <v>0.33333333333333331</v>
      </c>
      <c r="L24" s="6">
        <f t="shared" si="11"/>
        <v>880</v>
      </c>
      <c r="M24" s="6">
        <f t="shared" si="12"/>
        <v>580800</v>
      </c>
      <c r="N24" s="6">
        <f t="shared" si="13"/>
        <v>0.33333333333333331</v>
      </c>
    </row>
    <row r="25" spans="1:14" thickTop="1" thickBot="1" x14ac:dyDescent="0.4">
      <c r="A25" s="5">
        <f t="shared" si="0"/>
        <v>115</v>
      </c>
      <c r="B25" s="6">
        <f t="shared" si="1"/>
        <v>115</v>
      </c>
      <c r="C25" s="6">
        <f t="shared" si="2"/>
        <v>230</v>
      </c>
      <c r="D25" s="6">
        <f t="shared" si="3"/>
        <v>460</v>
      </c>
      <c r="E25" s="6">
        <f t="shared" si="4"/>
        <v>920</v>
      </c>
      <c r="F25" s="6">
        <f t="shared" si="5"/>
        <v>1380</v>
      </c>
      <c r="G25" s="6">
        <f t="shared" si="6"/>
        <v>1380</v>
      </c>
      <c r="H25" s="6">
        <f t="shared" si="7"/>
        <v>460</v>
      </c>
      <c r="I25" s="6">
        <f t="shared" si="8"/>
        <v>634800</v>
      </c>
      <c r="J25" s="6">
        <f t="shared" si="9"/>
        <v>634800</v>
      </c>
      <c r="K25" s="6">
        <f t="shared" si="10"/>
        <v>0.33333333333333331</v>
      </c>
      <c r="L25" s="6">
        <f t="shared" si="11"/>
        <v>920</v>
      </c>
      <c r="M25" s="6">
        <f t="shared" si="12"/>
        <v>634800</v>
      </c>
      <c r="N25" s="6">
        <f t="shared" si="13"/>
        <v>0.33333333333333331</v>
      </c>
    </row>
    <row r="26" spans="1:14" thickTop="1" thickBot="1" x14ac:dyDescent="0.4">
      <c r="A26" s="5">
        <f t="shared" si="0"/>
        <v>120</v>
      </c>
      <c r="B26" s="6">
        <f t="shared" si="1"/>
        <v>120</v>
      </c>
      <c r="C26" s="6">
        <f t="shared" si="2"/>
        <v>240</v>
      </c>
      <c r="D26" s="6">
        <f t="shared" si="3"/>
        <v>480</v>
      </c>
      <c r="E26" s="6">
        <f t="shared" si="4"/>
        <v>960</v>
      </c>
      <c r="F26" s="6">
        <f t="shared" si="5"/>
        <v>1440</v>
      </c>
      <c r="G26" s="6">
        <f t="shared" si="6"/>
        <v>1440</v>
      </c>
      <c r="H26" s="6">
        <f t="shared" si="7"/>
        <v>480</v>
      </c>
      <c r="I26" s="6">
        <f t="shared" si="8"/>
        <v>691200</v>
      </c>
      <c r="J26" s="6">
        <f t="shared" si="9"/>
        <v>691200</v>
      </c>
      <c r="K26" s="6">
        <f t="shared" si="10"/>
        <v>0.33333333333333331</v>
      </c>
      <c r="L26" s="6">
        <f t="shared" si="11"/>
        <v>960</v>
      </c>
      <c r="M26" s="6">
        <f t="shared" si="12"/>
        <v>691200</v>
      </c>
      <c r="N26" s="6">
        <f t="shared" si="13"/>
        <v>0.33333333333333331</v>
      </c>
    </row>
    <row r="27" spans="1:14" thickTop="1" thickBot="1" x14ac:dyDescent="0.4">
      <c r="A27" s="5">
        <f t="shared" si="0"/>
        <v>125</v>
      </c>
      <c r="B27" s="6">
        <f t="shared" si="1"/>
        <v>125</v>
      </c>
      <c r="C27" s="6">
        <f t="shared" si="2"/>
        <v>250</v>
      </c>
      <c r="D27" s="6">
        <f t="shared" si="3"/>
        <v>500</v>
      </c>
      <c r="E27" s="6">
        <f t="shared" si="4"/>
        <v>1000</v>
      </c>
      <c r="F27" s="6">
        <f t="shared" si="5"/>
        <v>1500</v>
      </c>
      <c r="G27" s="6">
        <f t="shared" si="6"/>
        <v>1500</v>
      </c>
      <c r="H27" s="6">
        <f t="shared" si="7"/>
        <v>500</v>
      </c>
      <c r="I27" s="6">
        <f t="shared" si="8"/>
        <v>750000</v>
      </c>
      <c r="J27" s="6">
        <f t="shared" si="9"/>
        <v>750000</v>
      </c>
      <c r="K27" s="6">
        <f t="shared" si="10"/>
        <v>0.33333333333333331</v>
      </c>
      <c r="L27" s="6">
        <f t="shared" si="11"/>
        <v>1000</v>
      </c>
      <c r="M27" s="6">
        <f t="shared" si="12"/>
        <v>750000</v>
      </c>
      <c r="N27" s="6">
        <f t="shared" si="13"/>
        <v>0.33333333333333331</v>
      </c>
    </row>
    <row r="28" spans="1:14" thickTop="1" thickBot="1" x14ac:dyDescent="0.4">
      <c r="A28" s="5">
        <f t="shared" si="0"/>
        <v>130</v>
      </c>
      <c r="B28" s="6">
        <f t="shared" si="1"/>
        <v>130</v>
      </c>
      <c r="C28" s="6">
        <f t="shared" si="2"/>
        <v>260</v>
      </c>
      <c r="D28" s="6">
        <f t="shared" si="3"/>
        <v>520</v>
      </c>
      <c r="E28" s="6">
        <f t="shared" si="4"/>
        <v>1040</v>
      </c>
      <c r="F28" s="6">
        <f t="shared" si="5"/>
        <v>1560</v>
      </c>
      <c r="G28" s="6">
        <f t="shared" si="6"/>
        <v>1560</v>
      </c>
      <c r="H28" s="6">
        <f t="shared" si="7"/>
        <v>520</v>
      </c>
      <c r="I28" s="6">
        <f t="shared" si="8"/>
        <v>811200</v>
      </c>
      <c r="J28" s="6">
        <f t="shared" si="9"/>
        <v>811200</v>
      </c>
      <c r="K28" s="6">
        <f t="shared" si="10"/>
        <v>0.33333333333333331</v>
      </c>
      <c r="L28" s="6">
        <f t="shared" si="11"/>
        <v>1040</v>
      </c>
      <c r="M28" s="6">
        <f t="shared" si="12"/>
        <v>811200</v>
      </c>
      <c r="N28" s="6">
        <f t="shared" si="13"/>
        <v>0.33333333333333331</v>
      </c>
    </row>
    <row r="29" spans="1:14" thickTop="1" thickBot="1" x14ac:dyDescent="0.4">
      <c r="A29" s="5">
        <f t="shared" si="0"/>
        <v>135</v>
      </c>
      <c r="B29" s="6">
        <f t="shared" si="1"/>
        <v>135</v>
      </c>
      <c r="C29" s="6">
        <f t="shared" si="2"/>
        <v>270</v>
      </c>
      <c r="D29" s="6">
        <f t="shared" si="3"/>
        <v>540</v>
      </c>
      <c r="E29" s="6">
        <f t="shared" si="4"/>
        <v>1080</v>
      </c>
      <c r="F29" s="6">
        <f t="shared" si="5"/>
        <v>1620</v>
      </c>
      <c r="G29" s="6">
        <f t="shared" si="6"/>
        <v>1620</v>
      </c>
      <c r="H29" s="6">
        <f t="shared" si="7"/>
        <v>540</v>
      </c>
      <c r="I29" s="6">
        <f t="shared" si="8"/>
        <v>874800</v>
      </c>
      <c r="J29" s="6">
        <f t="shared" si="9"/>
        <v>874800</v>
      </c>
      <c r="K29" s="6">
        <f t="shared" si="10"/>
        <v>0.33333333333333331</v>
      </c>
      <c r="L29" s="6">
        <f t="shared" si="11"/>
        <v>1080</v>
      </c>
      <c r="M29" s="6">
        <f t="shared" si="12"/>
        <v>874800</v>
      </c>
      <c r="N29" s="6">
        <f t="shared" si="13"/>
        <v>0.33333333333333331</v>
      </c>
    </row>
    <row r="30" spans="1:14" thickTop="1" thickBot="1" x14ac:dyDescent="0.4">
      <c r="A30" s="5">
        <f t="shared" si="0"/>
        <v>140</v>
      </c>
      <c r="B30" s="6">
        <f t="shared" si="1"/>
        <v>140</v>
      </c>
      <c r="C30" s="6">
        <f t="shared" si="2"/>
        <v>280</v>
      </c>
      <c r="D30" s="6">
        <f t="shared" si="3"/>
        <v>560</v>
      </c>
      <c r="E30" s="6">
        <f t="shared" si="4"/>
        <v>1120</v>
      </c>
      <c r="F30" s="6">
        <f t="shared" si="5"/>
        <v>1680</v>
      </c>
      <c r="G30" s="6">
        <f t="shared" si="6"/>
        <v>1680</v>
      </c>
      <c r="H30" s="6">
        <f t="shared" si="7"/>
        <v>560</v>
      </c>
      <c r="I30" s="6">
        <f t="shared" si="8"/>
        <v>940800</v>
      </c>
      <c r="J30" s="6">
        <f t="shared" si="9"/>
        <v>940800</v>
      </c>
      <c r="K30" s="6">
        <f t="shared" si="10"/>
        <v>0.33333333333333331</v>
      </c>
      <c r="L30" s="6">
        <f t="shared" si="11"/>
        <v>1120</v>
      </c>
      <c r="M30" s="6">
        <f t="shared" si="12"/>
        <v>940800</v>
      </c>
      <c r="N30" s="6">
        <f t="shared" si="13"/>
        <v>0.33333333333333331</v>
      </c>
    </row>
    <row r="31" spans="1:14" thickTop="1" thickBot="1" x14ac:dyDescent="0.4">
      <c r="A31" s="5">
        <f t="shared" si="0"/>
        <v>145</v>
      </c>
      <c r="B31" s="6">
        <f t="shared" si="1"/>
        <v>145</v>
      </c>
      <c r="C31" s="6">
        <f t="shared" si="2"/>
        <v>290</v>
      </c>
      <c r="D31" s="6">
        <f t="shared" si="3"/>
        <v>580</v>
      </c>
      <c r="E31" s="6">
        <f t="shared" si="4"/>
        <v>1160</v>
      </c>
      <c r="F31" s="6">
        <f t="shared" si="5"/>
        <v>1740</v>
      </c>
      <c r="G31" s="6">
        <f t="shared" si="6"/>
        <v>1740</v>
      </c>
      <c r="H31" s="6">
        <f t="shared" si="7"/>
        <v>580</v>
      </c>
      <c r="I31" s="6">
        <f t="shared" si="8"/>
        <v>1009200</v>
      </c>
      <c r="J31" s="6">
        <f t="shared" si="9"/>
        <v>1009200</v>
      </c>
      <c r="K31" s="6">
        <f t="shared" si="10"/>
        <v>0.33333333333333331</v>
      </c>
      <c r="L31" s="6">
        <f t="shared" si="11"/>
        <v>1160</v>
      </c>
      <c r="M31" s="6">
        <f t="shared" si="12"/>
        <v>1009200</v>
      </c>
      <c r="N31" s="6">
        <f t="shared" si="13"/>
        <v>0.33333333333333331</v>
      </c>
    </row>
    <row r="32" spans="1:14" thickTop="1" thickBot="1" x14ac:dyDescent="0.4">
      <c r="A32" s="5">
        <f t="shared" si="0"/>
        <v>150</v>
      </c>
      <c r="B32" s="6">
        <f t="shared" si="1"/>
        <v>150</v>
      </c>
      <c r="C32" s="6">
        <f t="shared" si="2"/>
        <v>300</v>
      </c>
      <c r="D32" s="6">
        <f t="shared" si="3"/>
        <v>600</v>
      </c>
      <c r="E32" s="6">
        <f t="shared" si="4"/>
        <v>1200</v>
      </c>
      <c r="F32" s="6">
        <f t="shared" si="5"/>
        <v>1800</v>
      </c>
      <c r="G32" s="6">
        <f t="shared" si="6"/>
        <v>1800</v>
      </c>
      <c r="H32" s="6">
        <f t="shared" si="7"/>
        <v>600</v>
      </c>
      <c r="I32" s="6">
        <f t="shared" si="8"/>
        <v>1080000</v>
      </c>
      <c r="J32" s="6">
        <f t="shared" si="9"/>
        <v>1080000</v>
      </c>
      <c r="K32" s="6">
        <f t="shared" si="10"/>
        <v>0.33333333333333331</v>
      </c>
      <c r="L32" s="6">
        <f t="shared" si="11"/>
        <v>1200</v>
      </c>
      <c r="M32" s="6">
        <f t="shared" si="12"/>
        <v>1080000</v>
      </c>
      <c r="N32" s="6">
        <f t="shared" si="13"/>
        <v>0.33333333333333331</v>
      </c>
    </row>
    <row r="33" spans="1:14" thickTop="1" thickBot="1" x14ac:dyDescent="0.4">
      <c r="A33" s="5">
        <f t="shared" si="0"/>
        <v>155</v>
      </c>
      <c r="B33" s="6">
        <f t="shared" si="1"/>
        <v>155</v>
      </c>
      <c r="C33" s="6">
        <f t="shared" si="2"/>
        <v>310</v>
      </c>
      <c r="D33" s="6">
        <f t="shared" si="3"/>
        <v>620</v>
      </c>
      <c r="E33" s="6">
        <f t="shared" si="4"/>
        <v>1240</v>
      </c>
      <c r="F33" s="6">
        <f t="shared" si="5"/>
        <v>1860</v>
      </c>
      <c r="G33" s="6">
        <f t="shared" si="6"/>
        <v>1860</v>
      </c>
      <c r="H33" s="6">
        <f t="shared" si="7"/>
        <v>620</v>
      </c>
      <c r="I33" s="6">
        <f t="shared" si="8"/>
        <v>1153200</v>
      </c>
      <c r="J33" s="6">
        <f t="shared" si="9"/>
        <v>1153200</v>
      </c>
      <c r="K33" s="6">
        <f t="shared" si="10"/>
        <v>0.33333333333333331</v>
      </c>
      <c r="L33" s="6">
        <f t="shared" si="11"/>
        <v>1240</v>
      </c>
      <c r="M33" s="6">
        <f t="shared" si="12"/>
        <v>1153200</v>
      </c>
      <c r="N33" s="6">
        <f t="shared" si="13"/>
        <v>0.33333333333333331</v>
      </c>
    </row>
    <row r="34" spans="1:14" thickTop="1" thickBot="1" x14ac:dyDescent="0.4">
      <c r="A34" s="5">
        <f t="shared" si="0"/>
        <v>160</v>
      </c>
      <c r="B34" s="6">
        <f t="shared" si="1"/>
        <v>160</v>
      </c>
      <c r="C34" s="6">
        <f t="shared" si="2"/>
        <v>320</v>
      </c>
      <c r="D34" s="6">
        <f t="shared" si="3"/>
        <v>640</v>
      </c>
      <c r="E34" s="6">
        <f t="shared" si="4"/>
        <v>1280</v>
      </c>
      <c r="F34" s="6">
        <f t="shared" si="5"/>
        <v>1920</v>
      </c>
      <c r="G34" s="6">
        <f t="shared" si="6"/>
        <v>1920</v>
      </c>
      <c r="H34" s="6">
        <f t="shared" si="7"/>
        <v>640</v>
      </c>
      <c r="I34" s="6">
        <f t="shared" si="8"/>
        <v>1228800</v>
      </c>
      <c r="J34" s="6">
        <f t="shared" si="9"/>
        <v>1228800</v>
      </c>
      <c r="K34" s="6">
        <f t="shared" si="10"/>
        <v>0.33333333333333331</v>
      </c>
      <c r="L34" s="6">
        <f t="shared" si="11"/>
        <v>1280</v>
      </c>
      <c r="M34" s="6">
        <f t="shared" si="12"/>
        <v>1228800</v>
      </c>
      <c r="N34" s="6">
        <f t="shared" si="13"/>
        <v>0.33333333333333331</v>
      </c>
    </row>
    <row r="35" spans="1:14" thickTop="1" thickBot="1" x14ac:dyDescent="0.4">
      <c r="A35" s="5">
        <f t="shared" si="0"/>
        <v>165</v>
      </c>
      <c r="B35" s="6">
        <f t="shared" si="1"/>
        <v>165</v>
      </c>
      <c r="C35" s="6">
        <f t="shared" si="2"/>
        <v>330</v>
      </c>
      <c r="D35" s="6">
        <f t="shared" si="3"/>
        <v>660</v>
      </c>
      <c r="E35" s="6">
        <f t="shared" si="4"/>
        <v>1320</v>
      </c>
      <c r="F35" s="6">
        <f t="shared" si="5"/>
        <v>1980</v>
      </c>
      <c r="G35" s="6">
        <f t="shared" si="6"/>
        <v>1980</v>
      </c>
      <c r="H35" s="6">
        <f t="shared" si="7"/>
        <v>660</v>
      </c>
      <c r="I35" s="6">
        <f t="shared" si="8"/>
        <v>1306800</v>
      </c>
      <c r="J35" s="6">
        <f t="shared" si="9"/>
        <v>1306800</v>
      </c>
      <c r="K35" s="6">
        <f t="shared" si="10"/>
        <v>0.33333333333333331</v>
      </c>
      <c r="L35" s="6">
        <f t="shared" si="11"/>
        <v>1320</v>
      </c>
      <c r="M35" s="6">
        <f t="shared" si="12"/>
        <v>1306800</v>
      </c>
      <c r="N35" s="6">
        <f t="shared" si="13"/>
        <v>0.33333333333333331</v>
      </c>
    </row>
    <row r="36" spans="1:14" thickTop="1" thickBot="1" x14ac:dyDescent="0.4">
      <c r="A36" s="5">
        <f t="shared" si="0"/>
        <v>170</v>
      </c>
      <c r="B36" s="6">
        <f t="shared" si="1"/>
        <v>170</v>
      </c>
      <c r="C36" s="6">
        <f t="shared" si="2"/>
        <v>340</v>
      </c>
      <c r="D36" s="6">
        <f t="shared" si="3"/>
        <v>680</v>
      </c>
      <c r="E36" s="6">
        <f t="shared" si="4"/>
        <v>1360</v>
      </c>
      <c r="F36" s="6">
        <f t="shared" si="5"/>
        <v>2040</v>
      </c>
      <c r="G36" s="6">
        <f t="shared" si="6"/>
        <v>2040</v>
      </c>
      <c r="H36" s="6">
        <f t="shared" si="7"/>
        <v>680</v>
      </c>
      <c r="I36" s="6">
        <f t="shared" si="8"/>
        <v>1387200</v>
      </c>
      <c r="J36" s="6">
        <f t="shared" si="9"/>
        <v>1387200</v>
      </c>
      <c r="K36" s="6">
        <f t="shared" si="10"/>
        <v>0.33333333333333331</v>
      </c>
      <c r="L36" s="6">
        <f t="shared" si="11"/>
        <v>1360</v>
      </c>
      <c r="M36" s="6">
        <f t="shared" si="12"/>
        <v>1387200</v>
      </c>
      <c r="N36" s="6">
        <f t="shared" si="13"/>
        <v>0.33333333333333331</v>
      </c>
    </row>
    <row r="37" spans="1:14" thickTop="1" thickBot="1" x14ac:dyDescent="0.4">
      <c r="A37" s="5">
        <f t="shared" si="0"/>
        <v>175</v>
      </c>
      <c r="B37" s="6">
        <f t="shared" si="1"/>
        <v>175</v>
      </c>
      <c r="C37" s="6">
        <f t="shared" si="2"/>
        <v>350</v>
      </c>
      <c r="D37" s="6">
        <f t="shared" si="3"/>
        <v>700</v>
      </c>
      <c r="E37" s="6">
        <f t="shared" si="4"/>
        <v>1400</v>
      </c>
      <c r="F37" s="6">
        <f t="shared" si="5"/>
        <v>2100</v>
      </c>
      <c r="G37" s="6">
        <f t="shared" si="6"/>
        <v>2100</v>
      </c>
      <c r="H37" s="6">
        <f t="shared" si="7"/>
        <v>700</v>
      </c>
      <c r="I37" s="6">
        <f t="shared" si="8"/>
        <v>1470000</v>
      </c>
      <c r="J37" s="6">
        <f t="shared" si="9"/>
        <v>1470000</v>
      </c>
      <c r="K37" s="6">
        <f t="shared" si="10"/>
        <v>0.33333333333333331</v>
      </c>
      <c r="L37" s="6">
        <f t="shared" si="11"/>
        <v>1400</v>
      </c>
      <c r="M37" s="6">
        <f t="shared" si="12"/>
        <v>1470000</v>
      </c>
      <c r="N37" s="6">
        <f t="shared" si="13"/>
        <v>0.33333333333333331</v>
      </c>
    </row>
    <row r="38" spans="1:14" thickTop="1" thickBot="1" x14ac:dyDescent="0.4">
      <c r="A38" s="5">
        <f t="shared" si="0"/>
        <v>180</v>
      </c>
      <c r="B38" s="6">
        <f t="shared" si="1"/>
        <v>180</v>
      </c>
      <c r="C38" s="6">
        <f t="shared" si="2"/>
        <v>360</v>
      </c>
      <c r="D38" s="6">
        <f t="shared" si="3"/>
        <v>720</v>
      </c>
      <c r="E38" s="6">
        <f t="shared" si="4"/>
        <v>1440</v>
      </c>
      <c r="F38" s="6">
        <f t="shared" si="5"/>
        <v>2160</v>
      </c>
      <c r="G38" s="6">
        <f t="shared" si="6"/>
        <v>2160</v>
      </c>
      <c r="H38" s="6">
        <f t="shared" si="7"/>
        <v>720</v>
      </c>
      <c r="I38" s="6">
        <f t="shared" si="8"/>
        <v>1555200</v>
      </c>
      <c r="J38" s="6">
        <f t="shared" si="9"/>
        <v>1555200</v>
      </c>
      <c r="K38" s="6">
        <f t="shared" si="10"/>
        <v>0.33333333333333331</v>
      </c>
      <c r="L38" s="6">
        <f t="shared" si="11"/>
        <v>1440</v>
      </c>
      <c r="M38" s="6">
        <f t="shared" si="12"/>
        <v>1555200</v>
      </c>
      <c r="N38" s="6">
        <f t="shared" si="13"/>
        <v>0.33333333333333331</v>
      </c>
    </row>
    <row r="39" spans="1:14" thickTop="1" thickBot="1" x14ac:dyDescent="0.4">
      <c r="A39" s="5">
        <f t="shared" si="0"/>
        <v>185</v>
      </c>
      <c r="B39" s="6">
        <f t="shared" si="1"/>
        <v>185</v>
      </c>
      <c r="C39" s="6">
        <f t="shared" si="2"/>
        <v>370</v>
      </c>
      <c r="D39" s="6">
        <f t="shared" si="3"/>
        <v>740</v>
      </c>
      <c r="E39" s="6">
        <f t="shared" si="4"/>
        <v>1480</v>
      </c>
      <c r="F39" s="6">
        <f t="shared" si="5"/>
        <v>2220</v>
      </c>
      <c r="G39" s="6">
        <f t="shared" si="6"/>
        <v>2220</v>
      </c>
      <c r="H39" s="6">
        <f t="shared" si="7"/>
        <v>740</v>
      </c>
      <c r="I39" s="6">
        <f t="shared" si="8"/>
        <v>1642800</v>
      </c>
      <c r="J39" s="6">
        <f t="shared" si="9"/>
        <v>1642800</v>
      </c>
      <c r="K39" s="6">
        <f t="shared" si="10"/>
        <v>0.33333333333333331</v>
      </c>
      <c r="L39" s="6">
        <f t="shared" si="11"/>
        <v>1480</v>
      </c>
      <c r="M39" s="6">
        <f t="shared" si="12"/>
        <v>1642800</v>
      </c>
      <c r="N39" s="6">
        <f t="shared" si="13"/>
        <v>0.33333333333333331</v>
      </c>
    </row>
    <row r="40" spans="1:14" thickTop="1" thickBot="1" x14ac:dyDescent="0.4">
      <c r="A40" s="5">
        <f t="shared" si="0"/>
        <v>190</v>
      </c>
      <c r="B40" s="6">
        <f t="shared" si="1"/>
        <v>190</v>
      </c>
      <c r="C40" s="6">
        <f t="shared" si="2"/>
        <v>380</v>
      </c>
      <c r="D40" s="6">
        <f t="shared" si="3"/>
        <v>760</v>
      </c>
      <c r="E40" s="6">
        <f t="shared" si="4"/>
        <v>1520</v>
      </c>
      <c r="F40" s="6">
        <f t="shared" si="5"/>
        <v>2280</v>
      </c>
      <c r="G40" s="6">
        <f t="shared" si="6"/>
        <v>2280</v>
      </c>
      <c r="H40" s="6">
        <f t="shared" si="7"/>
        <v>760</v>
      </c>
      <c r="I40" s="6">
        <f t="shared" si="8"/>
        <v>1732800</v>
      </c>
      <c r="J40" s="6">
        <f t="shared" si="9"/>
        <v>1732800</v>
      </c>
      <c r="K40" s="6">
        <f t="shared" si="10"/>
        <v>0.33333333333333331</v>
      </c>
      <c r="L40" s="6">
        <f t="shared" si="11"/>
        <v>1520</v>
      </c>
      <c r="M40" s="6">
        <f t="shared" si="12"/>
        <v>1732800</v>
      </c>
      <c r="N40" s="6">
        <f t="shared" si="13"/>
        <v>0.33333333333333331</v>
      </c>
    </row>
    <row r="41" spans="1:14" thickTop="1" thickBot="1" x14ac:dyDescent="0.4">
      <c r="A41" s="5">
        <f t="shared" si="0"/>
        <v>195</v>
      </c>
      <c r="B41" s="6">
        <f t="shared" si="1"/>
        <v>195</v>
      </c>
      <c r="C41" s="6">
        <f t="shared" si="2"/>
        <v>390</v>
      </c>
      <c r="D41" s="6">
        <f t="shared" si="3"/>
        <v>780</v>
      </c>
      <c r="E41" s="6">
        <f t="shared" si="4"/>
        <v>1560</v>
      </c>
      <c r="F41" s="6">
        <f t="shared" si="5"/>
        <v>2340</v>
      </c>
      <c r="G41" s="6">
        <f t="shared" si="6"/>
        <v>2340</v>
      </c>
      <c r="H41" s="6">
        <f t="shared" si="7"/>
        <v>780</v>
      </c>
      <c r="I41" s="6">
        <f t="shared" si="8"/>
        <v>1825200</v>
      </c>
      <c r="J41" s="6">
        <f t="shared" si="9"/>
        <v>1825200</v>
      </c>
      <c r="K41" s="6">
        <f t="shared" si="10"/>
        <v>0.33333333333333331</v>
      </c>
      <c r="L41" s="6">
        <f t="shared" si="11"/>
        <v>1560</v>
      </c>
      <c r="M41" s="6">
        <f t="shared" si="12"/>
        <v>1825200</v>
      </c>
      <c r="N41" s="6">
        <f t="shared" si="13"/>
        <v>0.33333333333333331</v>
      </c>
    </row>
    <row r="42" spans="1:14" thickTop="1" thickBot="1" x14ac:dyDescent="0.4">
      <c r="A42" s="5">
        <f t="shared" si="0"/>
        <v>200</v>
      </c>
      <c r="B42" s="6">
        <f t="shared" si="1"/>
        <v>200</v>
      </c>
      <c r="C42" s="6">
        <f t="shared" si="2"/>
        <v>400</v>
      </c>
      <c r="D42" s="6">
        <f t="shared" si="3"/>
        <v>800</v>
      </c>
      <c r="E42" s="6">
        <f t="shared" si="4"/>
        <v>1600</v>
      </c>
      <c r="F42" s="6">
        <f t="shared" si="5"/>
        <v>2400</v>
      </c>
      <c r="G42" s="6">
        <f t="shared" si="6"/>
        <v>2400</v>
      </c>
      <c r="H42" s="6">
        <f t="shared" si="7"/>
        <v>800</v>
      </c>
      <c r="I42" s="6">
        <f t="shared" si="8"/>
        <v>1920000</v>
      </c>
      <c r="J42" s="6">
        <f t="shared" si="9"/>
        <v>1920000</v>
      </c>
      <c r="K42" s="6">
        <f t="shared" si="10"/>
        <v>0.33333333333333331</v>
      </c>
      <c r="L42" s="6">
        <f t="shared" si="11"/>
        <v>1600</v>
      </c>
      <c r="M42" s="6">
        <f t="shared" si="12"/>
        <v>1920000</v>
      </c>
      <c r="N42" s="6">
        <f t="shared" si="13"/>
        <v>0.33333333333333331</v>
      </c>
    </row>
    <row r="43" spans="1:14" thickTop="1" thickBot="1" x14ac:dyDescent="0.4">
      <c r="F43" s="6">
        <f>SUM(F3:F42)</f>
        <v>49200</v>
      </c>
      <c r="G43" s="6">
        <f>SUM(G3:G42)</f>
        <v>49200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BE4C-0BFA-4642-89B1-6613C81D96E9}">
  <dimension ref="B1:I97"/>
  <sheetViews>
    <sheetView topLeftCell="A7" zoomScale="70" zoomScaleNormal="70" workbookViewId="0">
      <selection activeCell="G19" sqref="G19"/>
    </sheetView>
  </sheetViews>
  <sheetFormatPr defaultRowHeight="15" x14ac:dyDescent="0.25"/>
  <cols>
    <col min="2" max="2" width="31.28515625" customWidth="1"/>
    <col min="3" max="4" width="19.140625" customWidth="1"/>
    <col min="5" max="5" width="14" customWidth="1"/>
    <col min="6" max="6" width="14.140625" customWidth="1"/>
    <col min="7" max="7" width="19.7109375" customWidth="1"/>
    <col min="8" max="8" width="19" customWidth="1"/>
    <col min="9" max="9" width="21.28515625" bestFit="1" customWidth="1"/>
  </cols>
  <sheetData>
    <row r="1" spans="2:9" ht="28.5" thickTop="1" thickBot="1" x14ac:dyDescent="0.4">
      <c r="B1" s="20" t="s">
        <v>1</v>
      </c>
      <c r="C1" s="22" t="s">
        <v>461</v>
      </c>
      <c r="D1" s="22" t="s">
        <v>462</v>
      </c>
      <c r="E1" s="22" t="s">
        <v>463</v>
      </c>
      <c r="F1" s="22" t="s">
        <v>464</v>
      </c>
      <c r="G1" s="22" t="s">
        <v>465</v>
      </c>
      <c r="H1" s="22" t="s">
        <v>466</v>
      </c>
      <c r="I1" s="23" t="s">
        <v>467</v>
      </c>
    </row>
    <row r="2" spans="2:9" ht="33" thickTop="1" thickBot="1" x14ac:dyDescent="0.55000000000000004">
      <c r="B2" s="24" t="s">
        <v>41</v>
      </c>
      <c r="C2" s="25" t="s">
        <v>468</v>
      </c>
      <c r="D2" s="25">
        <f t="shared" ref="C2:F15" ca="1" si="0">RANDBETWEEN(0,100)</f>
        <v>85</v>
      </c>
      <c r="E2" s="25">
        <f t="shared" ca="1" si="0"/>
        <v>86</v>
      </c>
      <c r="F2" s="25"/>
      <c r="G2" s="28">
        <f ca="1">COUNT(C2:F2)</f>
        <v>2</v>
      </c>
      <c r="H2" s="28">
        <f ca="1">COUNTA(C2:F2)</f>
        <v>3</v>
      </c>
      <c r="I2" s="29">
        <f ca="1">COUNTBLANK(C2:F2)</f>
        <v>1</v>
      </c>
    </row>
    <row r="3" spans="2:9" ht="33" thickTop="1" thickBot="1" x14ac:dyDescent="0.55000000000000004">
      <c r="B3" s="24" t="s">
        <v>89</v>
      </c>
      <c r="C3" s="25">
        <f t="shared" ca="1" si="0"/>
        <v>28</v>
      </c>
      <c r="D3" s="25">
        <f t="shared" ca="1" si="0"/>
        <v>42</v>
      </c>
      <c r="E3" s="25"/>
      <c r="F3" s="25">
        <f t="shared" ca="1" si="0"/>
        <v>8</v>
      </c>
      <c r="G3" s="28">
        <f t="shared" ref="G3:G15" ca="1" si="1">COUNT(C3:F3)</f>
        <v>3</v>
      </c>
      <c r="H3" s="28">
        <f t="shared" ref="H3:H15" ca="1" si="2">COUNTA(C3:F3)</f>
        <v>3</v>
      </c>
      <c r="I3" s="29">
        <f t="shared" ref="I3:I15" ca="1" si="3">COUNTBLANK(C3:F3)</f>
        <v>1</v>
      </c>
    </row>
    <row r="4" spans="2:9" ht="33" thickTop="1" thickBot="1" x14ac:dyDescent="0.55000000000000004">
      <c r="B4" s="24" t="s">
        <v>105</v>
      </c>
      <c r="C4" s="25"/>
      <c r="D4" s="25">
        <f t="shared" ca="1" si="0"/>
        <v>60</v>
      </c>
      <c r="E4" s="25">
        <f t="shared" ca="1" si="0"/>
        <v>95</v>
      </c>
      <c r="F4" s="25"/>
      <c r="G4" s="28">
        <f t="shared" ca="1" si="1"/>
        <v>2</v>
      </c>
      <c r="H4" s="28">
        <f t="shared" ca="1" si="2"/>
        <v>2</v>
      </c>
      <c r="I4" s="29">
        <f t="shared" ca="1" si="3"/>
        <v>2</v>
      </c>
    </row>
    <row r="5" spans="2:9" ht="33" thickTop="1" thickBot="1" x14ac:dyDescent="0.55000000000000004">
      <c r="B5" s="24" t="s">
        <v>59</v>
      </c>
      <c r="C5" s="25">
        <f t="shared" ca="1" si="0"/>
        <v>82</v>
      </c>
      <c r="D5" s="25">
        <f t="shared" ca="1" si="0"/>
        <v>24</v>
      </c>
      <c r="E5" s="25"/>
      <c r="F5" s="25">
        <f t="shared" ca="1" si="0"/>
        <v>93</v>
      </c>
      <c r="G5" s="28">
        <f t="shared" ca="1" si="1"/>
        <v>3</v>
      </c>
      <c r="H5" s="28">
        <f t="shared" ca="1" si="2"/>
        <v>3</v>
      </c>
      <c r="I5" s="29">
        <f t="shared" ca="1" si="3"/>
        <v>1</v>
      </c>
    </row>
    <row r="6" spans="2:9" ht="33" thickTop="1" thickBot="1" x14ac:dyDescent="0.55000000000000004">
      <c r="B6" s="24" t="s">
        <v>76</v>
      </c>
      <c r="C6" s="25">
        <f t="shared" ca="1" si="0"/>
        <v>70</v>
      </c>
      <c r="D6" s="25">
        <f t="shared" ca="1" si="0"/>
        <v>93</v>
      </c>
      <c r="E6" s="25"/>
      <c r="F6" s="25">
        <f t="shared" ca="1" si="0"/>
        <v>100</v>
      </c>
      <c r="G6" s="28">
        <f t="shared" ca="1" si="1"/>
        <v>3</v>
      </c>
      <c r="H6" s="28">
        <f t="shared" ca="1" si="2"/>
        <v>3</v>
      </c>
      <c r="I6" s="29">
        <f t="shared" ca="1" si="3"/>
        <v>1</v>
      </c>
    </row>
    <row r="7" spans="2:9" ht="33" thickTop="1" thickBot="1" x14ac:dyDescent="0.55000000000000004">
      <c r="B7" s="24" t="s">
        <v>142</v>
      </c>
      <c r="C7" s="25"/>
      <c r="D7" s="25">
        <f t="shared" ca="1" si="0"/>
        <v>80</v>
      </c>
      <c r="E7" s="25">
        <f t="shared" ca="1" si="0"/>
        <v>13</v>
      </c>
      <c r="F7" s="25">
        <f t="shared" ca="1" si="0"/>
        <v>87</v>
      </c>
      <c r="G7" s="28">
        <f t="shared" ca="1" si="1"/>
        <v>3</v>
      </c>
      <c r="H7" s="28">
        <f t="shared" ca="1" si="2"/>
        <v>3</v>
      </c>
      <c r="I7" s="29">
        <f t="shared" ca="1" si="3"/>
        <v>1</v>
      </c>
    </row>
    <row r="8" spans="2:9" ht="33" thickTop="1" thickBot="1" x14ac:dyDescent="0.55000000000000004">
      <c r="B8" s="24" t="s">
        <v>152</v>
      </c>
      <c r="C8" s="25">
        <f t="shared" ca="1" si="0"/>
        <v>51</v>
      </c>
      <c r="D8" s="25" t="s">
        <v>468</v>
      </c>
      <c r="E8" s="25" t="s">
        <v>468</v>
      </c>
      <c r="F8" s="25">
        <f t="shared" ca="1" si="0"/>
        <v>80</v>
      </c>
      <c r="G8" s="28">
        <f t="shared" ca="1" si="1"/>
        <v>2</v>
      </c>
      <c r="H8" s="28">
        <f t="shared" ca="1" si="2"/>
        <v>4</v>
      </c>
      <c r="I8" s="29">
        <f t="shared" ca="1" si="3"/>
        <v>0</v>
      </c>
    </row>
    <row r="9" spans="2:9" ht="33" thickTop="1" thickBot="1" x14ac:dyDescent="0.55000000000000004">
      <c r="B9" s="24" t="s">
        <v>156</v>
      </c>
      <c r="C9" s="25">
        <f t="shared" ca="1" si="0"/>
        <v>65</v>
      </c>
      <c r="D9" s="25">
        <f t="shared" ca="1" si="0"/>
        <v>56</v>
      </c>
      <c r="E9" s="25">
        <f t="shared" ca="1" si="0"/>
        <v>61</v>
      </c>
      <c r="F9" s="25">
        <f t="shared" ca="1" si="0"/>
        <v>84</v>
      </c>
      <c r="G9" s="28">
        <f t="shared" ca="1" si="1"/>
        <v>4</v>
      </c>
      <c r="H9" s="28">
        <f t="shared" ca="1" si="2"/>
        <v>4</v>
      </c>
      <c r="I9" s="29">
        <f t="shared" ca="1" si="3"/>
        <v>0</v>
      </c>
    </row>
    <row r="10" spans="2:9" ht="33" thickTop="1" thickBot="1" x14ac:dyDescent="0.55000000000000004">
      <c r="B10" s="24" t="s">
        <v>164</v>
      </c>
      <c r="C10" s="25">
        <f t="shared" ca="1" si="0"/>
        <v>75</v>
      </c>
      <c r="D10" s="25"/>
      <c r="E10" s="25">
        <f t="shared" ca="1" si="0"/>
        <v>37</v>
      </c>
      <c r="F10" s="25"/>
      <c r="G10" s="28">
        <f t="shared" ca="1" si="1"/>
        <v>2</v>
      </c>
      <c r="H10" s="28">
        <f t="shared" ca="1" si="2"/>
        <v>2</v>
      </c>
      <c r="I10" s="29">
        <f t="shared" ca="1" si="3"/>
        <v>2</v>
      </c>
    </row>
    <row r="11" spans="2:9" ht="33" thickTop="1" thickBot="1" x14ac:dyDescent="0.55000000000000004">
      <c r="B11" s="24" t="s">
        <v>171</v>
      </c>
      <c r="C11" s="25">
        <f t="shared" ca="1" si="0"/>
        <v>2</v>
      </c>
      <c r="D11" s="25">
        <f t="shared" ca="1" si="0"/>
        <v>85</v>
      </c>
      <c r="E11" s="25">
        <f t="shared" ca="1" si="0"/>
        <v>24</v>
      </c>
      <c r="F11" s="25">
        <f t="shared" ca="1" si="0"/>
        <v>24</v>
      </c>
      <c r="G11" s="28">
        <f t="shared" ca="1" si="1"/>
        <v>4</v>
      </c>
      <c r="H11" s="28">
        <f t="shared" ca="1" si="2"/>
        <v>4</v>
      </c>
      <c r="I11" s="29">
        <f t="shared" ca="1" si="3"/>
        <v>0</v>
      </c>
    </row>
    <row r="12" spans="2:9" ht="33" thickTop="1" thickBot="1" x14ac:dyDescent="0.55000000000000004">
      <c r="B12" s="24" t="s">
        <v>176</v>
      </c>
      <c r="C12" s="25">
        <f t="shared" ca="1" si="0"/>
        <v>11</v>
      </c>
      <c r="D12" s="25">
        <f t="shared" ca="1" si="0"/>
        <v>29</v>
      </c>
      <c r="E12" s="25">
        <f t="shared" ca="1" si="0"/>
        <v>93</v>
      </c>
      <c r="F12" s="25"/>
      <c r="G12" s="28">
        <f t="shared" ca="1" si="1"/>
        <v>3</v>
      </c>
      <c r="H12" s="28">
        <f t="shared" ca="1" si="2"/>
        <v>3</v>
      </c>
      <c r="I12" s="29">
        <f t="shared" ca="1" si="3"/>
        <v>1</v>
      </c>
    </row>
    <row r="13" spans="2:9" ht="33" thickTop="1" thickBot="1" x14ac:dyDescent="0.55000000000000004">
      <c r="B13" s="24" t="s">
        <v>181</v>
      </c>
      <c r="C13" s="25">
        <f t="shared" ca="1" si="0"/>
        <v>21</v>
      </c>
      <c r="D13" s="25">
        <f t="shared" ca="1" si="0"/>
        <v>33</v>
      </c>
      <c r="E13" s="25"/>
      <c r="F13" s="25">
        <f t="shared" ca="1" si="0"/>
        <v>10</v>
      </c>
      <c r="G13" s="28">
        <f t="shared" ca="1" si="1"/>
        <v>3</v>
      </c>
      <c r="H13" s="28">
        <f t="shared" ca="1" si="2"/>
        <v>3</v>
      </c>
      <c r="I13" s="29">
        <f t="shared" ca="1" si="3"/>
        <v>1</v>
      </c>
    </row>
    <row r="14" spans="2:9" ht="33" thickTop="1" thickBot="1" x14ac:dyDescent="0.55000000000000004">
      <c r="B14" s="24" t="s">
        <v>42</v>
      </c>
      <c r="C14" s="25">
        <f t="shared" ca="1" si="0"/>
        <v>46</v>
      </c>
      <c r="D14" s="25">
        <f t="shared" ca="1" si="0"/>
        <v>35</v>
      </c>
      <c r="E14" s="25" t="s">
        <v>468</v>
      </c>
      <c r="F14" s="25">
        <f t="shared" ca="1" si="0"/>
        <v>35</v>
      </c>
      <c r="G14" s="28">
        <f t="shared" ca="1" si="1"/>
        <v>3</v>
      </c>
      <c r="H14" s="28">
        <f t="shared" ca="1" si="2"/>
        <v>4</v>
      </c>
      <c r="I14" s="29">
        <f t="shared" ca="1" si="3"/>
        <v>0</v>
      </c>
    </row>
    <row r="15" spans="2:9" ht="33" thickTop="1" thickBot="1" x14ac:dyDescent="0.55000000000000004">
      <c r="B15" s="26" t="s">
        <v>196</v>
      </c>
      <c r="C15" s="27" t="s">
        <v>468</v>
      </c>
      <c r="D15" s="27"/>
      <c r="E15" s="27">
        <f t="shared" ca="1" si="0"/>
        <v>80</v>
      </c>
      <c r="F15" s="27" t="s">
        <v>468</v>
      </c>
      <c r="G15" s="28">
        <f t="shared" ca="1" si="1"/>
        <v>1</v>
      </c>
      <c r="H15" s="28">
        <f t="shared" ca="1" si="2"/>
        <v>3</v>
      </c>
      <c r="I15" s="29">
        <f t="shared" ca="1" si="3"/>
        <v>1</v>
      </c>
    </row>
    <row r="16" spans="2:9" ht="29.25" thickTop="1" x14ac:dyDescent="0.45">
      <c r="B16" s="21"/>
      <c r="C16" s="21"/>
      <c r="D16" s="21"/>
      <c r="E16" s="21"/>
      <c r="F16" s="21"/>
    </row>
    <row r="17" spans="2:6" ht="28.5" x14ac:dyDescent="0.45">
      <c r="B17" s="21"/>
      <c r="C17" s="21"/>
      <c r="D17" s="21"/>
      <c r="E17" s="21"/>
      <c r="F17" s="21"/>
    </row>
    <row r="18" spans="2:6" ht="28.5" x14ac:dyDescent="0.45">
      <c r="B18" s="21"/>
      <c r="C18" s="21"/>
      <c r="D18" s="21"/>
      <c r="E18" s="21"/>
      <c r="F18" s="21"/>
    </row>
    <row r="19" spans="2:6" ht="28.5" x14ac:dyDescent="0.45">
      <c r="B19" s="21"/>
      <c r="C19" s="21"/>
      <c r="D19" s="21"/>
      <c r="E19" s="21"/>
      <c r="F19" s="21"/>
    </row>
    <row r="20" spans="2:6" ht="28.5" x14ac:dyDescent="0.45">
      <c r="B20" s="21"/>
      <c r="C20" s="21"/>
      <c r="D20" s="21"/>
      <c r="E20" s="21"/>
      <c r="F20" s="21"/>
    </row>
    <row r="21" spans="2:6" ht="28.5" x14ac:dyDescent="0.45">
      <c r="B21" s="21"/>
      <c r="C21" s="21"/>
      <c r="D21" s="21"/>
      <c r="E21" s="21"/>
      <c r="F21" s="21"/>
    </row>
    <row r="22" spans="2:6" ht="28.5" x14ac:dyDescent="0.45">
      <c r="B22" s="21"/>
      <c r="C22" s="21"/>
      <c r="D22" s="21"/>
      <c r="E22" s="21"/>
      <c r="F22" s="21"/>
    </row>
    <row r="23" spans="2:6" ht="28.5" x14ac:dyDescent="0.45">
      <c r="B23" s="21"/>
      <c r="C23" s="21"/>
      <c r="D23" s="21"/>
      <c r="E23" s="21"/>
      <c r="F23" s="21"/>
    </row>
    <row r="24" spans="2:6" ht="28.5" x14ac:dyDescent="0.45">
      <c r="B24" s="21"/>
      <c r="C24" s="21"/>
      <c r="D24" s="21"/>
      <c r="E24" s="21"/>
      <c r="F24" s="21"/>
    </row>
    <row r="25" spans="2:6" ht="28.5" x14ac:dyDescent="0.45">
      <c r="B25" s="21"/>
      <c r="C25" s="21"/>
      <c r="D25" s="21"/>
      <c r="E25" s="21"/>
      <c r="F25" s="21"/>
    </row>
    <row r="26" spans="2:6" ht="28.5" x14ac:dyDescent="0.45">
      <c r="B26" s="21"/>
      <c r="C26" s="21"/>
      <c r="D26" s="21"/>
      <c r="E26" s="21"/>
      <c r="F26" s="21"/>
    </row>
    <row r="27" spans="2:6" ht="28.5" x14ac:dyDescent="0.45">
      <c r="B27" s="21"/>
      <c r="C27" s="21"/>
      <c r="D27" s="21"/>
      <c r="E27" s="21"/>
      <c r="F27" s="21"/>
    </row>
    <row r="28" spans="2:6" ht="28.5" x14ac:dyDescent="0.45">
      <c r="B28" s="21"/>
      <c r="C28" s="21"/>
      <c r="D28" s="21"/>
      <c r="E28" s="21"/>
      <c r="F28" s="21"/>
    </row>
    <row r="29" spans="2:6" ht="28.5" x14ac:dyDescent="0.45">
      <c r="B29" s="21"/>
      <c r="C29" s="21"/>
      <c r="D29" s="21"/>
      <c r="E29" s="21"/>
      <c r="F29" s="21"/>
    </row>
    <row r="30" spans="2:6" ht="28.5" x14ac:dyDescent="0.45">
      <c r="B30" s="21"/>
      <c r="C30" s="21"/>
      <c r="D30" s="21"/>
      <c r="E30" s="21"/>
      <c r="F30" s="21"/>
    </row>
    <row r="31" spans="2:6" ht="28.5" x14ac:dyDescent="0.45">
      <c r="B31" s="21"/>
      <c r="C31" s="21"/>
      <c r="D31" s="21"/>
      <c r="E31" s="21"/>
      <c r="F31" s="21"/>
    </row>
    <row r="32" spans="2:6" ht="28.5" x14ac:dyDescent="0.45">
      <c r="B32" s="21"/>
      <c r="C32" s="21"/>
      <c r="D32" s="21"/>
      <c r="E32" s="21"/>
      <c r="F32" s="21"/>
    </row>
    <row r="33" spans="2:6" ht="28.5" x14ac:dyDescent="0.45">
      <c r="B33" s="21"/>
      <c r="C33" s="21"/>
      <c r="D33" s="21"/>
      <c r="E33" s="21"/>
      <c r="F33" s="21"/>
    </row>
    <row r="34" spans="2:6" ht="28.5" x14ac:dyDescent="0.45">
      <c r="B34" s="21"/>
      <c r="C34" s="21"/>
      <c r="D34" s="21"/>
      <c r="E34" s="21"/>
      <c r="F34" s="21"/>
    </row>
    <row r="35" spans="2:6" ht="28.5" x14ac:dyDescent="0.45">
      <c r="B35" s="21"/>
      <c r="C35" s="21"/>
      <c r="D35" s="21"/>
      <c r="E35" s="21"/>
      <c r="F35" s="21"/>
    </row>
    <row r="36" spans="2:6" ht="28.5" x14ac:dyDescent="0.45">
      <c r="B36" s="21"/>
      <c r="C36" s="21"/>
      <c r="D36" s="21"/>
      <c r="E36" s="21"/>
      <c r="F36" s="21"/>
    </row>
    <row r="37" spans="2:6" ht="28.5" x14ac:dyDescent="0.45">
      <c r="B37" s="21"/>
      <c r="C37" s="21"/>
      <c r="D37" s="21"/>
      <c r="E37" s="21"/>
      <c r="F37" s="21"/>
    </row>
    <row r="38" spans="2:6" ht="28.5" x14ac:dyDescent="0.45">
      <c r="B38" s="21"/>
      <c r="C38" s="21"/>
      <c r="D38" s="21"/>
      <c r="E38" s="21"/>
      <c r="F38" s="21"/>
    </row>
    <row r="39" spans="2:6" ht="28.5" x14ac:dyDescent="0.45">
      <c r="B39" s="21"/>
      <c r="C39" s="21"/>
      <c r="D39" s="21"/>
      <c r="E39" s="21"/>
      <c r="F39" s="21"/>
    </row>
    <row r="40" spans="2:6" ht="28.5" x14ac:dyDescent="0.45">
      <c r="B40" s="21"/>
      <c r="C40" s="21"/>
      <c r="D40" s="21"/>
      <c r="E40" s="21"/>
      <c r="F40" s="21"/>
    </row>
    <row r="41" spans="2:6" ht="28.5" x14ac:dyDescent="0.45">
      <c r="B41" s="21"/>
      <c r="C41" s="21"/>
      <c r="D41" s="21"/>
      <c r="E41" s="21"/>
      <c r="F41" s="21"/>
    </row>
    <row r="42" spans="2:6" ht="28.5" x14ac:dyDescent="0.45">
      <c r="B42" s="21"/>
      <c r="C42" s="21"/>
      <c r="D42" s="21"/>
      <c r="E42" s="21"/>
      <c r="F42" s="21"/>
    </row>
    <row r="43" spans="2:6" ht="28.5" x14ac:dyDescent="0.45">
      <c r="B43" s="21"/>
      <c r="C43" s="21"/>
      <c r="D43" s="21"/>
      <c r="E43" s="21"/>
      <c r="F43" s="21"/>
    </row>
    <row r="44" spans="2:6" ht="28.5" x14ac:dyDescent="0.45">
      <c r="B44" s="21"/>
      <c r="C44" s="21"/>
      <c r="D44" s="21"/>
      <c r="E44" s="21"/>
      <c r="F44" s="21"/>
    </row>
    <row r="45" spans="2:6" ht="28.5" x14ac:dyDescent="0.45">
      <c r="B45" s="21"/>
      <c r="C45" s="21"/>
      <c r="D45" s="21"/>
      <c r="E45" s="21"/>
      <c r="F45" s="21"/>
    </row>
    <row r="46" spans="2:6" ht="28.5" x14ac:dyDescent="0.45">
      <c r="B46" s="21"/>
      <c r="C46" s="21"/>
      <c r="D46" s="21"/>
      <c r="E46" s="21"/>
      <c r="F46" s="21"/>
    </row>
    <row r="47" spans="2:6" ht="28.5" x14ac:dyDescent="0.45">
      <c r="B47" s="21"/>
      <c r="C47" s="21"/>
      <c r="D47" s="21"/>
      <c r="E47" s="21"/>
      <c r="F47" s="21"/>
    </row>
    <row r="48" spans="2:6" ht="28.5" x14ac:dyDescent="0.45">
      <c r="B48" s="21"/>
      <c r="C48" s="21"/>
      <c r="D48" s="21"/>
      <c r="E48" s="21"/>
      <c r="F48" s="21"/>
    </row>
    <row r="49" spans="2:6" ht="28.5" x14ac:dyDescent="0.45">
      <c r="B49" s="21"/>
      <c r="C49" s="21"/>
      <c r="D49" s="21"/>
      <c r="E49" s="21"/>
      <c r="F49" s="21"/>
    </row>
    <row r="50" spans="2:6" ht="28.5" x14ac:dyDescent="0.45">
      <c r="B50" s="21"/>
      <c r="C50" s="21"/>
      <c r="D50" s="21"/>
      <c r="E50" s="21"/>
      <c r="F50" s="21"/>
    </row>
    <row r="51" spans="2:6" ht="28.5" x14ac:dyDescent="0.45">
      <c r="B51" s="21"/>
      <c r="C51" s="21"/>
      <c r="D51" s="21"/>
      <c r="E51" s="21"/>
      <c r="F51" s="21"/>
    </row>
    <row r="52" spans="2:6" ht="28.5" x14ac:dyDescent="0.45">
      <c r="B52" s="21"/>
      <c r="C52" s="21"/>
      <c r="D52" s="21"/>
      <c r="E52" s="21"/>
      <c r="F52" s="21"/>
    </row>
    <row r="53" spans="2:6" ht="28.5" x14ac:dyDescent="0.45">
      <c r="B53" s="21"/>
      <c r="C53" s="21"/>
      <c r="D53" s="21"/>
      <c r="E53" s="21"/>
      <c r="F53" s="21"/>
    </row>
    <row r="54" spans="2:6" ht="28.5" x14ac:dyDescent="0.45">
      <c r="B54" s="21"/>
      <c r="C54" s="21"/>
      <c r="D54" s="21"/>
      <c r="E54" s="21"/>
      <c r="F54" s="21"/>
    </row>
    <row r="55" spans="2:6" ht="28.5" x14ac:dyDescent="0.45">
      <c r="B55" s="21"/>
      <c r="C55" s="21"/>
      <c r="D55" s="21"/>
      <c r="E55" s="21"/>
      <c r="F55" s="21"/>
    </row>
    <row r="56" spans="2:6" ht="28.5" x14ac:dyDescent="0.45">
      <c r="B56" s="21"/>
      <c r="C56" s="21"/>
      <c r="D56" s="21"/>
      <c r="E56" s="21"/>
      <c r="F56" s="21"/>
    </row>
    <row r="57" spans="2:6" ht="28.5" x14ac:dyDescent="0.45">
      <c r="B57" s="21"/>
      <c r="C57" s="21"/>
      <c r="D57" s="21"/>
      <c r="E57" s="21"/>
      <c r="F57" s="21"/>
    </row>
    <row r="58" spans="2:6" ht="28.5" x14ac:dyDescent="0.45">
      <c r="B58" s="21"/>
      <c r="C58" s="21"/>
      <c r="D58" s="21"/>
      <c r="E58" s="21"/>
      <c r="F58" s="21"/>
    </row>
    <row r="59" spans="2:6" ht="28.5" x14ac:dyDescent="0.45">
      <c r="B59" s="21"/>
      <c r="C59" s="21"/>
      <c r="D59" s="21"/>
      <c r="E59" s="21"/>
      <c r="F59" s="21"/>
    </row>
    <row r="60" spans="2:6" ht="28.5" x14ac:dyDescent="0.45">
      <c r="B60" s="21"/>
      <c r="C60" s="21"/>
      <c r="D60" s="21"/>
      <c r="E60" s="21"/>
      <c r="F60" s="21"/>
    </row>
    <row r="61" spans="2:6" ht="28.5" x14ac:dyDescent="0.45">
      <c r="B61" s="21"/>
      <c r="C61" s="21"/>
      <c r="D61" s="21"/>
      <c r="E61" s="21"/>
      <c r="F61" s="21"/>
    </row>
    <row r="62" spans="2:6" ht="28.5" x14ac:dyDescent="0.45">
      <c r="B62" s="21"/>
      <c r="C62" s="21"/>
      <c r="D62" s="21"/>
      <c r="E62" s="21"/>
      <c r="F62" s="21"/>
    </row>
    <row r="63" spans="2:6" ht="28.5" x14ac:dyDescent="0.45">
      <c r="B63" s="21"/>
      <c r="C63" s="21"/>
      <c r="D63" s="21"/>
      <c r="E63" s="21"/>
      <c r="F63" s="21"/>
    </row>
    <row r="64" spans="2:6" ht="28.5" x14ac:dyDescent="0.45">
      <c r="B64" s="21"/>
      <c r="C64" s="21"/>
      <c r="D64" s="21"/>
      <c r="E64" s="21"/>
      <c r="F64" s="21"/>
    </row>
    <row r="65" spans="2:6" ht="28.5" x14ac:dyDescent="0.45">
      <c r="B65" s="21"/>
      <c r="C65" s="21"/>
      <c r="D65" s="21"/>
      <c r="E65" s="21"/>
      <c r="F65" s="21"/>
    </row>
    <row r="66" spans="2:6" ht="28.5" x14ac:dyDescent="0.45">
      <c r="B66" s="21"/>
      <c r="C66" s="21"/>
      <c r="D66" s="21"/>
      <c r="E66" s="21"/>
      <c r="F66" s="21"/>
    </row>
    <row r="67" spans="2:6" ht="28.5" x14ac:dyDescent="0.45">
      <c r="B67" s="21"/>
      <c r="C67" s="21"/>
      <c r="D67" s="21"/>
      <c r="E67" s="21"/>
      <c r="F67" s="21"/>
    </row>
    <row r="68" spans="2:6" ht="28.5" x14ac:dyDescent="0.45">
      <c r="B68" s="21"/>
      <c r="C68" s="21"/>
      <c r="D68" s="21"/>
      <c r="E68" s="21"/>
      <c r="F68" s="21"/>
    </row>
    <row r="69" spans="2:6" ht="28.5" x14ac:dyDescent="0.45">
      <c r="B69" s="21"/>
      <c r="C69" s="21"/>
      <c r="D69" s="21"/>
      <c r="E69" s="21"/>
      <c r="F69" s="21"/>
    </row>
    <row r="70" spans="2:6" ht="28.5" x14ac:dyDescent="0.45">
      <c r="B70" s="21"/>
      <c r="C70" s="21"/>
      <c r="D70" s="21"/>
      <c r="E70" s="21"/>
      <c r="F70" s="21"/>
    </row>
    <row r="71" spans="2:6" ht="28.5" x14ac:dyDescent="0.45">
      <c r="B71" s="21"/>
      <c r="C71" s="21"/>
      <c r="D71" s="21"/>
      <c r="E71" s="21"/>
      <c r="F71" s="21"/>
    </row>
    <row r="72" spans="2:6" ht="28.5" x14ac:dyDescent="0.45">
      <c r="B72" s="21"/>
      <c r="C72" s="21"/>
      <c r="D72" s="21"/>
      <c r="E72" s="21"/>
      <c r="F72" s="21"/>
    </row>
    <row r="73" spans="2:6" ht="28.5" x14ac:dyDescent="0.45">
      <c r="B73" s="21"/>
      <c r="C73" s="21"/>
      <c r="D73" s="21"/>
      <c r="E73" s="21"/>
      <c r="F73" s="21"/>
    </row>
    <row r="74" spans="2:6" ht="28.5" x14ac:dyDescent="0.45">
      <c r="B74" s="21"/>
      <c r="C74" s="21"/>
      <c r="D74" s="21"/>
      <c r="E74" s="21"/>
      <c r="F74" s="21"/>
    </row>
    <row r="75" spans="2:6" ht="28.5" x14ac:dyDescent="0.45">
      <c r="B75" s="21"/>
      <c r="C75" s="21"/>
      <c r="D75" s="21"/>
      <c r="E75" s="21"/>
      <c r="F75" s="21"/>
    </row>
    <row r="76" spans="2:6" ht="28.5" x14ac:dyDescent="0.45">
      <c r="B76" s="21"/>
      <c r="C76" s="21"/>
      <c r="D76" s="21"/>
      <c r="E76" s="21"/>
      <c r="F76" s="21"/>
    </row>
    <row r="77" spans="2:6" ht="28.5" x14ac:dyDescent="0.45">
      <c r="B77" s="21"/>
      <c r="C77" s="21"/>
      <c r="D77" s="21"/>
      <c r="E77" s="21"/>
      <c r="F77" s="21"/>
    </row>
    <row r="78" spans="2:6" ht="28.5" x14ac:dyDescent="0.45">
      <c r="B78" s="21"/>
      <c r="C78" s="21"/>
      <c r="D78" s="21"/>
      <c r="E78" s="21"/>
      <c r="F78" s="21"/>
    </row>
    <row r="79" spans="2:6" ht="28.5" x14ac:dyDescent="0.45">
      <c r="B79" s="21"/>
      <c r="C79" s="21"/>
      <c r="D79" s="21"/>
      <c r="E79" s="21"/>
      <c r="F79" s="21"/>
    </row>
    <row r="80" spans="2:6" ht="28.5" x14ac:dyDescent="0.45">
      <c r="B80" s="21"/>
      <c r="C80" s="21"/>
      <c r="D80" s="21"/>
      <c r="E80" s="21"/>
      <c r="F80" s="21"/>
    </row>
    <row r="81" spans="2:6" ht="28.5" x14ac:dyDescent="0.45">
      <c r="B81" s="21"/>
      <c r="C81" s="21"/>
      <c r="D81" s="21"/>
      <c r="E81" s="21"/>
      <c r="F81" s="21"/>
    </row>
    <row r="82" spans="2:6" ht="28.5" x14ac:dyDescent="0.45">
      <c r="B82" s="21"/>
      <c r="C82" s="21"/>
      <c r="D82" s="21"/>
      <c r="E82" s="21"/>
      <c r="F82" s="21"/>
    </row>
    <row r="83" spans="2:6" ht="28.5" x14ac:dyDescent="0.45">
      <c r="B83" s="21"/>
      <c r="C83" s="21"/>
      <c r="D83" s="21"/>
      <c r="E83" s="21"/>
      <c r="F83" s="21"/>
    </row>
    <row r="84" spans="2:6" ht="28.5" x14ac:dyDescent="0.45">
      <c r="B84" s="21"/>
      <c r="C84" s="21"/>
      <c r="D84" s="21"/>
      <c r="E84" s="21"/>
      <c r="F84" s="21"/>
    </row>
    <row r="85" spans="2:6" ht="28.5" x14ac:dyDescent="0.45">
      <c r="B85" s="21"/>
      <c r="C85" s="21"/>
      <c r="D85" s="21"/>
      <c r="E85" s="21"/>
      <c r="F85" s="21"/>
    </row>
    <row r="86" spans="2:6" ht="28.5" x14ac:dyDescent="0.45">
      <c r="B86" s="21"/>
      <c r="C86" s="21"/>
      <c r="D86" s="21"/>
      <c r="E86" s="21"/>
      <c r="F86" s="21"/>
    </row>
    <row r="87" spans="2:6" ht="28.5" x14ac:dyDescent="0.45">
      <c r="B87" s="21"/>
      <c r="C87" s="21"/>
      <c r="D87" s="21"/>
      <c r="E87" s="21"/>
      <c r="F87" s="21"/>
    </row>
    <row r="88" spans="2:6" ht="28.5" x14ac:dyDescent="0.45">
      <c r="B88" s="21"/>
      <c r="C88" s="21"/>
      <c r="D88" s="21"/>
      <c r="E88" s="21"/>
      <c r="F88" s="21"/>
    </row>
    <row r="89" spans="2:6" ht="28.5" x14ac:dyDescent="0.45">
      <c r="B89" s="21"/>
      <c r="C89" s="21"/>
      <c r="D89" s="21"/>
      <c r="E89" s="21"/>
      <c r="F89" s="21"/>
    </row>
    <row r="90" spans="2:6" ht="28.5" x14ac:dyDescent="0.45">
      <c r="B90" s="21"/>
      <c r="C90" s="21"/>
      <c r="D90" s="21"/>
      <c r="E90" s="21"/>
      <c r="F90" s="21"/>
    </row>
    <row r="91" spans="2:6" ht="28.5" x14ac:dyDescent="0.45">
      <c r="B91" s="21"/>
      <c r="C91" s="21"/>
      <c r="D91" s="21"/>
      <c r="E91" s="21"/>
      <c r="F91" s="21"/>
    </row>
    <row r="92" spans="2:6" ht="28.5" x14ac:dyDescent="0.45">
      <c r="B92" s="21"/>
      <c r="C92" s="21"/>
      <c r="D92" s="21"/>
      <c r="E92" s="21"/>
      <c r="F92" s="21"/>
    </row>
    <row r="93" spans="2:6" ht="28.5" x14ac:dyDescent="0.45">
      <c r="B93" s="21"/>
      <c r="C93" s="21"/>
      <c r="D93" s="21"/>
      <c r="E93" s="21"/>
      <c r="F93" s="21"/>
    </row>
    <row r="94" spans="2:6" ht="28.5" x14ac:dyDescent="0.45">
      <c r="B94" s="21"/>
      <c r="C94" s="21"/>
      <c r="D94" s="21"/>
      <c r="E94" s="21"/>
      <c r="F94" s="21"/>
    </row>
    <row r="95" spans="2:6" ht="28.5" x14ac:dyDescent="0.45">
      <c r="B95" s="21"/>
      <c r="C95" s="21"/>
      <c r="D95" s="21"/>
      <c r="E95" s="21"/>
      <c r="F95" s="21"/>
    </row>
    <row r="96" spans="2:6" ht="28.5" x14ac:dyDescent="0.45">
      <c r="B96" s="21"/>
      <c r="C96" s="21"/>
      <c r="D96" s="21"/>
      <c r="E96" s="21"/>
      <c r="F96" s="21"/>
    </row>
    <row r="97" spans="2:6" ht="28.5" x14ac:dyDescent="0.45">
      <c r="B97" s="21"/>
      <c r="C97" s="21"/>
      <c r="D97" s="21"/>
      <c r="E97" s="21"/>
      <c r="F97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F018-D40B-44C0-A20E-BE7FCCDA205D}">
  <dimension ref="A1:P105"/>
  <sheetViews>
    <sheetView topLeftCell="A4" zoomScaleNormal="100" workbookViewId="0">
      <selection activeCell="G14" sqref="G14"/>
    </sheetView>
  </sheetViews>
  <sheetFormatPr defaultRowHeight="15" x14ac:dyDescent="0.25"/>
  <cols>
    <col min="1" max="1" width="10.7109375" bestFit="1" customWidth="1"/>
    <col min="2" max="2" width="18.7109375" bestFit="1" customWidth="1"/>
    <col min="3" max="3" width="12.85546875" bestFit="1" customWidth="1"/>
    <col min="4" max="4" width="7.7109375" bestFit="1" customWidth="1"/>
    <col min="5" max="5" width="10.5703125" style="30" bestFit="1" customWidth="1"/>
    <col min="6" max="6" width="12" bestFit="1" customWidth="1"/>
    <col min="7" max="7" width="12.85546875" bestFit="1" customWidth="1"/>
    <col min="11" max="11" width="13" bestFit="1" customWidth="1"/>
    <col min="12" max="12" width="18.7109375" bestFit="1" customWidth="1"/>
    <col min="13" max="13" width="12.85546875" bestFit="1" customWidth="1"/>
    <col min="14" max="14" width="7.7109375" bestFit="1" customWidth="1"/>
    <col min="15" max="16" width="12.85546875" bestFit="1" customWidth="1"/>
  </cols>
  <sheetData>
    <row r="1" spans="1:16" ht="15.75" x14ac:dyDescent="0.25">
      <c r="A1" s="35" t="s">
        <v>469</v>
      </c>
      <c r="B1" s="36" t="s">
        <v>470</v>
      </c>
      <c r="C1" s="36" t="s">
        <v>6</v>
      </c>
      <c r="D1" s="36" t="s">
        <v>36</v>
      </c>
      <c r="E1" s="37" t="s">
        <v>471</v>
      </c>
      <c r="F1" s="38" t="s">
        <v>472</v>
      </c>
      <c r="K1" s="48" t="s">
        <v>469</v>
      </c>
      <c r="L1" s="49" t="s">
        <v>470</v>
      </c>
      <c r="M1" s="49" t="s">
        <v>6</v>
      </c>
      <c r="N1" s="49" t="s">
        <v>36</v>
      </c>
      <c r="O1" s="50" t="s">
        <v>471</v>
      </c>
      <c r="P1" s="51" t="s">
        <v>472</v>
      </c>
    </row>
    <row r="2" spans="1:16" x14ac:dyDescent="0.25">
      <c r="A2" s="43">
        <v>46304</v>
      </c>
      <c r="B2" s="31" t="s">
        <v>473</v>
      </c>
      <c r="C2" s="31" t="s">
        <v>93</v>
      </c>
      <c r="D2" s="31" t="s">
        <v>74</v>
      </c>
      <c r="E2" s="32">
        <v>38278</v>
      </c>
      <c r="F2" s="39">
        <v>137196</v>
      </c>
      <c r="K2" s="52">
        <v>46304</v>
      </c>
      <c r="L2" s="53" t="s">
        <v>473</v>
      </c>
      <c r="M2" s="53" t="s">
        <v>93</v>
      </c>
      <c r="N2" s="53" t="s">
        <v>74</v>
      </c>
      <c r="O2" s="54">
        <v>38278</v>
      </c>
      <c r="P2" s="55">
        <v>137196</v>
      </c>
    </row>
    <row r="3" spans="1:16" x14ac:dyDescent="0.25">
      <c r="A3" s="40">
        <f>A2+1</f>
        <v>46305</v>
      </c>
      <c r="B3" s="31" t="s">
        <v>474</v>
      </c>
      <c r="C3" s="31" t="s">
        <v>185</v>
      </c>
      <c r="D3" s="31" t="s">
        <v>57</v>
      </c>
      <c r="E3" s="32">
        <v>64256</v>
      </c>
      <c r="F3" s="39">
        <v>58289</v>
      </c>
      <c r="K3" s="56">
        <f>K2+1</f>
        <v>46305</v>
      </c>
      <c r="L3" s="53" t="s">
        <v>474</v>
      </c>
      <c r="M3" s="53" t="s">
        <v>185</v>
      </c>
      <c r="N3" s="53" t="s">
        <v>57</v>
      </c>
      <c r="O3" s="54">
        <v>64256</v>
      </c>
      <c r="P3" s="55">
        <v>58289</v>
      </c>
    </row>
    <row r="4" spans="1:16" x14ac:dyDescent="0.25">
      <c r="A4" s="40">
        <f t="shared" ref="A4:A51" si="0">A3+1</f>
        <v>46306</v>
      </c>
      <c r="B4" s="31" t="s">
        <v>475</v>
      </c>
      <c r="C4" s="31" t="s">
        <v>93</v>
      </c>
      <c r="D4" s="31" t="s">
        <v>74</v>
      </c>
      <c r="E4" s="32">
        <v>123696</v>
      </c>
      <c r="F4" s="39">
        <v>137080</v>
      </c>
      <c r="K4" s="56">
        <f t="shared" ref="K4:K51" si="1">K3+1</f>
        <v>46306</v>
      </c>
      <c r="L4" s="53" t="s">
        <v>475</v>
      </c>
      <c r="M4" s="53" t="s">
        <v>93</v>
      </c>
      <c r="N4" s="53" t="s">
        <v>74</v>
      </c>
      <c r="O4" s="54">
        <v>123696</v>
      </c>
      <c r="P4" s="55">
        <v>137080</v>
      </c>
    </row>
    <row r="5" spans="1:16" x14ac:dyDescent="0.25">
      <c r="A5" s="40">
        <f t="shared" si="0"/>
        <v>46307</v>
      </c>
      <c r="B5" s="31" t="s">
        <v>476</v>
      </c>
      <c r="C5" s="31" t="s">
        <v>80</v>
      </c>
      <c r="D5" s="31" t="s">
        <v>74</v>
      </c>
      <c r="E5" s="32">
        <v>112397</v>
      </c>
      <c r="F5" s="39">
        <v>95302</v>
      </c>
      <c r="K5" s="56">
        <f t="shared" si="1"/>
        <v>46307</v>
      </c>
      <c r="L5" s="53" t="s">
        <v>476</v>
      </c>
      <c r="M5" s="53" t="s">
        <v>80</v>
      </c>
      <c r="N5" s="53" t="s">
        <v>74</v>
      </c>
      <c r="O5" s="54">
        <v>112397</v>
      </c>
      <c r="P5" s="55">
        <v>95302</v>
      </c>
    </row>
    <row r="6" spans="1:16" x14ac:dyDescent="0.25">
      <c r="A6" s="40">
        <f t="shared" si="0"/>
        <v>46308</v>
      </c>
      <c r="B6" s="31" t="s">
        <v>477</v>
      </c>
      <c r="C6" s="31" t="s">
        <v>134</v>
      </c>
      <c r="D6" s="31" t="s">
        <v>74</v>
      </c>
      <c r="E6" s="32">
        <v>47280</v>
      </c>
      <c r="F6" s="39">
        <v>68657</v>
      </c>
      <c r="K6" s="56">
        <f t="shared" si="1"/>
        <v>46308</v>
      </c>
      <c r="L6" s="53" t="s">
        <v>477</v>
      </c>
      <c r="M6" s="53" t="s">
        <v>134</v>
      </c>
      <c r="N6" s="53" t="s">
        <v>74</v>
      </c>
      <c r="O6" s="54">
        <v>47280</v>
      </c>
      <c r="P6" s="55">
        <v>68657</v>
      </c>
    </row>
    <row r="7" spans="1:16" x14ac:dyDescent="0.25">
      <c r="A7" s="40">
        <f t="shared" si="0"/>
        <v>46309</v>
      </c>
      <c r="B7" s="31" t="s">
        <v>478</v>
      </c>
      <c r="C7" s="31" t="s">
        <v>45</v>
      </c>
      <c r="D7" s="31" t="s">
        <v>74</v>
      </c>
      <c r="E7" s="32">
        <v>108563</v>
      </c>
      <c r="F7" s="39">
        <v>66062</v>
      </c>
      <c r="K7" s="56">
        <f t="shared" si="1"/>
        <v>46309</v>
      </c>
      <c r="L7" s="53" t="s">
        <v>478</v>
      </c>
      <c r="M7" s="53" t="s">
        <v>45</v>
      </c>
      <c r="N7" s="53" t="s">
        <v>74</v>
      </c>
      <c r="O7" s="54">
        <v>108563</v>
      </c>
      <c r="P7" s="55">
        <v>66062</v>
      </c>
    </row>
    <row r="8" spans="1:16" x14ac:dyDescent="0.25">
      <c r="A8" s="40">
        <f t="shared" si="0"/>
        <v>46310</v>
      </c>
      <c r="B8" s="31" t="s">
        <v>479</v>
      </c>
      <c r="C8" s="31" t="s">
        <v>93</v>
      </c>
      <c r="D8" s="31" t="s">
        <v>87</v>
      </c>
      <c r="E8" s="32">
        <v>63893</v>
      </c>
      <c r="F8" s="39">
        <v>98878</v>
      </c>
      <c r="K8" s="56">
        <f t="shared" si="1"/>
        <v>46310</v>
      </c>
      <c r="L8" s="53" t="s">
        <v>479</v>
      </c>
      <c r="M8" s="53" t="s">
        <v>93</v>
      </c>
      <c r="N8" s="53" t="s">
        <v>87</v>
      </c>
      <c r="O8" s="54">
        <v>63893</v>
      </c>
      <c r="P8" s="55">
        <v>98878</v>
      </c>
    </row>
    <row r="9" spans="1:16" x14ac:dyDescent="0.25">
      <c r="A9" s="40">
        <f t="shared" si="0"/>
        <v>46311</v>
      </c>
      <c r="B9" s="31" t="s">
        <v>480</v>
      </c>
      <c r="C9" s="31" t="s">
        <v>80</v>
      </c>
      <c r="D9" s="31" t="s">
        <v>123</v>
      </c>
      <c r="E9" s="32">
        <v>141093</v>
      </c>
      <c r="F9" s="39">
        <v>40851</v>
      </c>
      <c r="K9" s="56">
        <f t="shared" si="1"/>
        <v>46311</v>
      </c>
      <c r="L9" s="53" t="s">
        <v>480</v>
      </c>
      <c r="M9" s="53" t="s">
        <v>80</v>
      </c>
      <c r="N9" s="53" t="s">
        <v>123</v>
      </c>
      <c r="O9" s="54">
        <v>141093</v>
      </c>
      <c r="P9" s="55">
        <v>40851</v>
      </c>
    </row>
    <row r="10" spans="1:16" x14ac:dyDescent="0.25">
      <c r="A10" s="40">
        <f t="shared" si="0"/>
        <v>46312</v>
      </c>
      <c r="B10" s="31" t="s">
        <v>481</v>
      </c>
      <c r="C10" s="31" t="s">
        <v>45</v>
      </c>
      <c r="D10" s="31" t="s">
        <v>87</v>
      </c>
      <c r="E10" s="32">
        <v>79597</v>
      </c>
      <c r="F10" s="39">
        <v>76421</v>
      </c>
      <c r="K10" s="56">
        <f t="shared" si="1"/>
        <v>46312</v>
      </c>
      <c r="L10" s="53" t="s">
        <v>481</v>
      </c>
      <c r="M10" s="53" t="s">
        <v>45</v>
      </c>
      <c r="N10" s="53" t="s">
        <v>87</v>
      </c>
      <c r="O10" s="54">
        <v>79597</v>
      </c>
      <c r="P10" s="55">
        <v>76421</v>
      </c>
    </row>
    <row r="11" spans="1:16" x14ac:dyDescent="0.25">
      <c r="A11" s="40">
        <f t="shared" si="0"/>
        <v>46313</v>
      </c>
      <c r="B11" s="31" t="s">
        <v>482</v>
      </c>
      <c r="C11" s="31" t="s">
        <v>45</v>
      </c>
      <c r="D11" s="31" t="s">
        <v>57</v>
      </c>
      <c r="E11" s="32">
        <v>135072</v>
      </c>
      <c r="F11" s="39">
        <v>84118</v>
      </c>
      <c r="K11" s="56">
        <f t="shared" si="1"/>
        <v>46313</v>
      </c>
      <c r="L11" s="53" t="s">
        <v>482</v>
      </c>
      <c r="M11" s="53" t="s">
        <v>45</v>
      </c>
      <c r="N11" s="53" t="s">
        <v>57</v>
      </c>
      <c r="O11" s="54">
        <v>135072</v>
      </c>
      <c r="P11" s="55">
        <v>84118</v>
      </c>
    </row>
    <row r="12" spans="1:16" x14ac:dyDescent="0.25">
      <c r="A12" s="40">
        <f t="shared" si="0"/>
        <v>46314</v>
      </c>
      <c r="B12" s="31" t="s">
        <v>483</v>
      </c>
      <c r="C12" s="31" t="s">
        <v>134</v>
      </c>
      <c r="D12" s="31" t="s">
        <v>74</v>
      </c>
      <c r="E12" s="32">
        <v>84797</v>
      </c>
      <c r="F12" s="39">
        <v>52676</v>
      </c>
      <c r="K12" s="56">
        <f t="shared" si="1"/>
        <v>46314</v>
      </c>
      <c r="L12" s="53" t="s">
        <v>483</v>
      </c>
      <c r="M12" s="53" t="s">
        <v>134</v>
      </c>
      <c r="N12" s="53" t="s">
        <v>74</v>
      </c>
      <c r="O12" s="54">
        <v>84797</v>
      </c>
      <c r="P12" s="55">
        <v>52676</v>
      </c>
    </row>
    <row r="13" spans="1:16" x14ac:dyDescent="0.25">
      <c r="A13" s="40">
        <f t="shared" si="0"/>
        <v>46315</v>
      </c>
      <c r="B13" s="31" t="s">
        <v>484</v>
      </c>
      <c r="C13" s="31" t="s">
        <v>185</v>
      </c>
      <c r="D13" s="31" t="s">
        <v>123</v>
      </c>
      <c r="E13" s="32">
        <v>20000</v>
      </c>
      <c r="F13" s="39">
        <v>74671</v>
      </c>
      <c r="K13" s="56">
        <f t="shared" si="1"/>
        <v>46315</v>
      </c>
      <c r="L13" s="53" t="s">
        <v>484</v>
      </c>
      <c r="M13" s="53" t="s">
        <v>185</v>
      </c>
      <c r="N13" s="53" t="s">
        <v>123</v>
      </c>
      <c r="O13" s="54">
        <v>20000</v>
      </c>
      <c r="P13" s="55">
        <v>74671</v>
      </c>
    </row>
    <row r="14" spans="1:16" x14ac:dyDescent="0.25">
      <c r="A14" s="40">
        <f t="shared" si="0"/>
        <v>46316</v>
      </c>
      <c r="B14" s="31" t="s">
        <v>485</v>
      </c>
      <c r="C14" s="31" t="s">
        <v>134</v>
      </c>
      <c r="D14" s="31" t="s">
        <v>87</v>
      </c>
      <c r="E14" s="32">
        <v>105284</v>
      </c>
      <c r="F14" s="39">
        <v>56361</v>
      </c>
      <c r="K14" s="56">
        <f t="shared" si="1"/>
        <v>46316</v>
      </c>
      <c r="L14" s="53" t="s">
        <v>485</v>
      </c>
      <c r="M14" s="53" t="s">
        <v>134</v>
      </c>
      <c r="N14" s="53" t="s">
        <v>87</v>
      </c>
      <c r="O14" s="54">
        <v>105284</v>
      </c>
      <c r="P14" s="55">
        <v>56361</v>
      </c>
    </row>
    <row r="15" spans="1:16" x14ac:dyDescent="0.25">
      <c r="A15" s="40">
        <f t="shared" si="0"/>
        <v>46317</v>
      </c>
      <c r="B15" s="31" t="s">
        <v>486</v>
      </c>
      <c r="C15" s="31" t="s">
        <v>126</v>
      </c>
      <c r="D15" s="31" t="s">
        <v>74</v>
      </c>
      <c r="E15" s="32">
        <v>20000</v>
      </c>
      <c r="F15" s="39">
        <v>78427</v>
      </c>
      <c r="K15" s="56">
        <f t="shared" si="1"/>
        <v>46317</v>
      </c>
      <c r="L15" s="53" t="s">
        <v>486</v>
      </c>
      <c r="M15" s="53" t="s">
        <v>126</v>
      </c>
      <c r="N15" s="53" t="s">
        <v>74</v>
      </c>
      <c r="O15" s="54">
        <v>20000</v>
      </c>
      <c r="P15" s="55">
        <v>78427</v>
      </c>
    </row>
    <row r="16" spans="1:16" x14ac:dyDescent="0.25">
      <c r="A16" s="40">
        <f t="shared" si="0"/>
        <v>46318</v>
      </c>
      <c r="B16" s="31" t="s">
        <v>487</v>
      </c>
      <c r="C16" s="31" t="s">
        <v>93</v>
      </c>
      <c r="D16" s="31" t="s">
        <v>123</v>
      </c>
      <c r="E16" s="32">
        <v>110674</v>
      </c>
      <c r="F16" s="39">
        <v>65203</v>
      </c>
      <c r="K16" s="56">
        <f t="shared" si="1"/>
        <v>46318</v>
      </c>
      <c r="L16" s="53" t="s">
        <v>487</v>
      </c>
      <c r="M16" s="53" t="s">
        <v>93</v>
      </c>
      <c r="N16" s="53" t="s">
        <v>123</v>
      </c>
      <c r="O16" s="54">
        <v>110674</v>
      </c>
      <c r="P16" s="55">
        <v>65203</v>
      </c>
    </row>
    <row r="17" spans="1:16" x14ac:dyDescent="0.25">
      <c r="A17" s="40">
        <f t="shared" si="0"/>
        <v>46319</v>
      </c>
      <c r="B17" s="31" t="s">
        <v>488</v>
      </c>
      <c r="C17" s="31" t="s">
        <v>93</v>
      </c>
      <c r="D17" s="31" t="s">
        <v>74</v>
      </c>
      <c r="E17" s="32">
        <v>41006</v>
      </c>
      <c r="F17" s="39">
        <v>126673</v>
      </c>
      <c r="K17" s="56">
        <f t="shared" si="1"/>
        <v>46319</v>
      </c>
      <c r="L17" s="53" t="s">
        <v>488</v>
      </c>
      <c r="M17" s="53" t="s">
        <v>93</v>
      </c>
      <c r="N17" s="53" t="s">
        <v>74</v>
      </c>
      <c r="O17" s="54">
        <v>41006</v>
      </c>
      <c r="P17" s="55">
        <v>126673</v>
      </c>
    </row>
    <row r="18" spans="1:16" x14ac:dyDescent="0.25">
      <c r="A18" s="40">
        <f t="shared" si="0"/>
        <v>46320</v>
      </c>
      <c r="B18" s="31" t="s">
        <v>489</v>
      </c>
      <c r="C18" s="31" t="s">
        <v>45</v>
      </c>
      <c r="D18" s="31" t="s">
        <v>123</v>
      </c>
      <c r="E18" s="32">
        <v>45458</v>
      </c>
      <c r="F18" s="39">
        <v>70512</v>
      </c>
      <c r="K18" s="56">
        <f t="shared" si="1"/>
        <v>46320</v>
      </c>
      <c r="L18" s="53" t="s">
        <v>489</v>
      </c>
      <c r="M18" s="53" t="s">
        <v>45</v>
      </c>
      <c r="N18" s="53" t="s">
        <v>123</v>
      </c>
      <c r="O18" s="54">
        <v>45458</v>
      </c>
      <c r="P18" s="55">
        <v>70512</v>
      </c>
    </row>
    <row r="19" spans="1:16" x14ac:dyDescent="0.25">
      <c r="A19" s="40">
        <f t="shared" si="0"/>
        <v>46321</v>
      </c>
      <c r="B19" s="31" t="s">
        <v>490</v>
      </c>
      <c r="C19" s="31" t="s">
        <v>134</v>
      </c>
      <c r="D19" s="31" t="s">
        <v>87</v>
      </c>
      <c r="E19" s="32">
        <v>71434</v>
      </c>
      <c r="F19" s="39">
        <v>99429</v>
      </c>
      <c r="K19" s="56">
        <f t="shared" si="1"/>
        <v>46321</v>
      </c>
      <c r="L19" s="53" t="s">
        <v>490</v>
      </c>
      <c r="M19" s="53" t="s">
        <v>134</v>
      </c>
      <c r="N19" s="53" t="s">
        <v>87</v>
      </c>
      <c r="O19" s="54">
        <v>71434</v>
      </c>
      <c r="P19" s="55">
        <v>99429</v>
      </c>
    </row>
    <row r="20" spans="1:16" x14ac:dyDescent="0.25">
      <c r="A20" s="40">
        <f t="shared" si="0"/>
        <v>46322</v>
      </c>
      <c r="B20" s="31" t="s">
        <v>491</v>
      </c>
      <c r="C20" s="31" t="s">
        <v>93</v>
      </c>
      <c r="D20" s="31" t="s">
        <v>123</v>
      </c>
      <c r="E20" s="32">
        <v>56319</v>
      </c>
      <c r="F20" s="39">
        <v>88520</v>
      </c>
      <c r="K20" s="56">
        <f t="shared" si="1"/>
        <v>46322</v>
      </c>
      <c r="L20" s="53" t="s">
        <v>491</v>
      </c>
      <c r="M20" s="53" t="s">
        <v>93</v>
      </c>
      <c r="N20" s="53" t="s">
        <v>123</v>
      </c>
      <c r="O20" s="54">
        <v>56319</v>
      </c>
      <c r="P20" s="55">
        <v>88520</v>
      </c>
    </row>
    <row r="21" spans="1:16" x14ac:dyDescent="0.25">
      <c r="A21" s="40">
        <f t="shared" si="0"/>
        <v>46323</v>
      </c>
      <c r="B21" s="31" t="s">
        <v>492</v>
      </c>
      <c r="C21" s="31" t="s">
        <v>185</v>
      </c>
      <c r="D21" s="31" t="s">
        <v>57</v>
      </c>
      <c r="E21" s="32">
        <v>122841</v>
      </c>
      <c r="F21" s="39">
        <v>74993</v>
      </c>
      <c r="K21" s="56">
        <f t="shared" si="1"/>
        <v>46323</v>
      </c>
      <c r="L21" s="53" t="s">
        <v>492</v>
      </c>
      <c r="M21" s="53" t="s">
        <v>185</v>
      </c>
      <c r="N21" s="53" t="s">
        <v>57</v>
      </c>
      <c r="O21" s="54">
        <v>122841</v>
      </c>
      <c r="P21" s="55">
        <v>74993</v>
      </c>
    </row>
    <row r="22" spans="1:16" x14ac:dyDescent="0.25">
      <c r="A22" s="40">
        <f t="shared" si="0"/>
        <v>46324</v>
      </c>
      <c r="B22" s="31" t="s">
        <v>493</v>
      </c>
      <c r="C22" s="31" t="s">
        <v>93</v>
      </c>
      <c r="D22" s="31" t="s">
        <v>74</v>
      </c>
      <c r="E22" s="32">
        <v>114840</v>
      </c>
      <c r="F22" s="39">
        <v>123227</v>
      </c>
      <c r="K22" s="56">
        <f t="shared" si="1"/>
        <v>46324</v>
      </c>
      <c r="L22" s="53" t="s">
        <v>493</v>
      </c>
      <c r="M22" s="53" t="s">
        <v>93</v>
      </c>
      <c r="N22" s="53" t="s">
        <v>74</v>
      </c>
      <c r="O22" s="54">
        <v>114840</v>
      </c>
      <c r="P22" s="55">
        <v>123227</v>
      </c>
    </row>
    <row r="23" spans="1:16" x14ac:dyDescent="0.25">
      <c r="A23" s="40">
        <f t="shared" si="0"/>
        <v>46325</v>
      </c>
      <c r="B23" s="31" t="s">
        <v>494</v>
      </c>
      <c r="C23" s="31" t="s">
        <v>45</v>
      </c>
      <c r="D23" s="31" t="s">
        <v>57</v>
      </c>
      <c r="E23" s="32">
        <v>56417</v>
      </c>
      <c r="F23" s="39">
        <v>100589</v>
      </c>
      <c r="K23" s="56">
        <f t="shared" si="1"/>
        <v>46325</v>
      </c>
      <c r="L23" s="53" t="s">
        <v>494</v>
      </c>
      <c r="M23" s="53" t="s">
        <v>45</v>
      </c>
      <c r="N23" s="53" t="s">
        <v>57</v>
      </c>
      <c r="O23" s="54">
        <v>56417</v>
      </c>
      <c r="P23" s="55">
        <v>100589</v>
      </c>
    </row>
    <row r="24" spans="1:16" x14ac:dyDescent="0.25">
      <c r="A24" s="40">
        <f t="shared" si="0"/>
        <v>46326</v>
      </c>
      <c r="B24" s="31" t="s">
        <v>495</v>
      </c>
      <c r="C24" s="31" t="s">
        <v>126</v>
      </c>
      <c r="D24" s="31" t="s">
        <v>123</v>
      </c>
      <c r="E24" s="32">
        <v>118886</v>
      </c>
      <c r="F24" s="39">
        <v>130198</v>
      </c>
      <c r="K24" s="56">
        <f t="shared" si="1"/>
        <v>46326</v>
      </c>
      <c r="L24" s="53" t="s">
        <v>495</v>
      </c>
      <c r="M24" s="53" t="s">
        <v>126</v>
      </c>
      <c r="N24" s="53" t="s">
        <v>123</v>
      </c>
      <c r="O24" s="54">
        <v>118886</v>
      </c>
      <c r="P24" s="55">
        <v>130198</v>
      </c>
    </row>
    <row r="25" spans="1:16" x14ac:dyDescent="0.25">
      <c r="A25" s="40">
        <f t="shared" si="0"/>
        <v>46327</v>
      </c>
      <c r="B25" s="31" t="s">
        <v>496</v>
      </c>
      <c r="C25" s="31" t="s">
        <v>80</v>
      </c>
      <c r="D25" s="31" t="s">
        <v>57</v>
      </c>
      <c r="E25" s="32">
        <v>124733</v>
      </c>
      <c r="F25" s="39">
        <v>82504</v>
      </c>
      <c r="K25" s="56">
        <f t="shared" si="1"/>
        <v>46327</v>
      </c>
      <c r="L25" s="53" t="s">
        <v>496</v>
      </c>
      <c r="M25" s="53" t="s">
        <v>80</v>
      </c>
      <c r="N25" s="53" t="s">
        <v>57</v>
      </c>
      <c r="O25" s="54">
        <v>124733</v>
      </c>
      <c r="P25" s="55">
        <v>82504</v>
      </c>
    </row>
    <row r="26" spans="1:16" x14ac:dyDescent="0.25">
      <c r="A26" s="40">
        <f t="shared" si="0"/>
        <v>46328</v>
      </c>
      <c r="B26" s="31" t="s">
        <v>497</v>
      </c>
      <c r="C26" s="31" t="s">
        <v>134</v>
      </c>
      <c r="D26" s="31" t="s">
        <v>57</v>
      </c>
      <c r="E26" s="32">
        <v>142715</v>
      </c>
      <c r="F26" s="39">
        <v>44207</v>
      </c>
      <c r="K26" s="56">
        <f t="shared" si="1"/>
        <v>46328</v>
      </c>
      <c r="L26" s="53" t="s">
        <v>497</v>
      </c>
      <c r="M26" s="53" t="s">
        <v>134</v>
      </c>
      <c r="N26" s="53" t="s">
        <v>57</v>
      </c>
      <c r="O26" s="54">
        <v>142715</v>
      </c>
      <c r="P26" s="55">
        <v>44207</v>
      </c>
    </row>
    <row r="27" spans="1:16" x14ac:dyDescent="0.25">
      <c r="A27" s="40">
        <f t="shared" si="0"/>
        <v>46329</v>
      </c>
      <c r="B27" s="31" t="s">
        <v>498</v>
      </c>
      <c r="C27" s="31" t="s">
        <v>185</v>
      </c>
      <c r="D27" s="31" t="s">
        <v>87</v>
      </c>
      <c r="E27" s="32">
        <v>70093</v>
      </c>
      <c r="F27" s="39">
        <v>48675</v>
      </c>
      <c r="K27" s="56">
        <f t="shared" si="1"/>
        <v>46329</v>
      </c>
      <c r="L27" s="53" t="s">
        <v>498</v>
      </c>
      <c r="M27" s="53" t="s">
        <v>185</v>
      </c>
      <c r="N27" s="53" t="s">
        <v>87</v>
      </c>
      <c r="O27" s="54">
        <v>70093</v>
      </c>
      <c r="P27" s="55">
        <v>48675</v>
      </c>
    </row>
    <row r="28" spans="1:16" x14ac:dyDescent="0.25">
      <c r="A28" s="40">
        <f t="shared" si="0"/>
        <v>46330</v>
      </c>
      <c r="B28" s="31" t="s">
        <v>499</v>
      </c>
      <c r="C28" s="31" t="s">
        <v>45</v>
      </c>
      <c r="D28" s="31" t="s">
        <v>123</v>
      </c>
      <c r="E28" s="32">
        <v>62869</v>
      </c>
      <c r="F28" s="39">
        <v>125909</v>
      </c>
      <c r="K28" s="56">
        <f t="shared" si="1"/>
        <v>46330</v>
      </c>
      <c r="L28" s="53" t="s">
        <v>499</v>
      </c>
      <c r="M28" s="53" t="s">
        <v>45</v>
      </c>
      <c r="N28" s="53" t="s">
        <v>123</v>
      </c>
      <c r="O28" s="54">
        <v>62869</v>
      </c>
      <c r="P28" s="55">
        <v>125909</v>
      </c>
    </row>
    <row r="29" spans="1:16" x14ac:dyDescent="0.25">
      <c r="A29" s="40">
        <f t="shared" si="0"/>
        <v>46331</v>
      </c>
      <c r="B29" s="31" t="s">
        <v>500</v>
      </c>
      <c r="C29" s="31" t="s">
        <v>126</v>
      </c>
      <c r="D29" s="31" t="s">
        <v>87</v>
      </c>
      <c r="E29" s="32">
        <v>119259</v>
      </c>
      <c r="F29" s="39">
        <v>100142</v>
      </c>
      <c r="K29" s="56">
        <f t="shared" si="1"/>
        <v>46331</v>
      </c>
      <c r="L29" s="53" t="s">
        <v>500</v>
      </c>
      <c r="M29" s="53" t="s">
        <v>126</v>
      </c>
      <c r="N29" s="53" t="s">
        <v>87</v>
      </c>
      <c r="O29" s="54">
        <v>119259</v>
      </c>
      <c r="P29" s="55">
        <v>100142</v>
      </c>
    </row>
    <row r="30" spans="1:16" x14ac:dyDescent="0.25">
      <c r="A30" s="40">
        <f t="shared" si="0"/>
        <v>46332</v>
      </c>
      <c r="B30" s="31" t="s">
        <v>501</v>
      </c>
      <c r="C30" s="31" t="s">
        <v>45</v>
      </c>
      <c r="D30" s="31" t="s">
        <v>123</v>
      </c>
      <c r="E30" s="32">
        <v>53301</v>
      </c>
      <c r="F30" s="39">
        <v>72325</v>
      </c>
      <c r="K30" s="56">
        <f t="shared" si="1"/>
        <v>46332</v>
      </c>
      <c r="L30" s="53" t="s">
        <v>501</v>
      </c>
      <c r="M30" s="53" t="s">
        <v>45</v>
      </c>
      <c r="N30" s="53" t="s">
        <v>123</v>
      </c>
      <c r="O30" s="54">
        <v>53301</v>
      </c>
      <c r="P30" s="55">
        <v>72325</v>
      </c>
    </row>
    <row r="31" spans="1:16" x14ac:dyDescent="0.25">
      <c r="A31" s="40">
        <f t="shared" si="0"/>
        <v>46333</v>
      </c>
      <c r="B31" s="31" t="s">
        <v>502</v>
      </c>
      <c r="C31" s="31" t="s">
        <v>93</v>
      </c>
      <c r="D31" s="31" t="s">
        <v>123</v>
      </c>
      <c r="E31" s="32">
        <v>132912</v>
      </c>
      <c r="F31" s="39">
        <v>116622</v>
      </c>
      <c r="K31" s="56">
        <f t="shared" si="1"/>
        <v>46333</v>
      </c>
      <c r="L31" s="53" t="s">
        <v>502</v>
      </c>
      <c r="M31" s="53" t="s">
        <v>93</v>
      </c>
      <c r="N31" s="53" t="s">
        <v>123</v>
      </c>
      <c r="O31" s="54">
        <v>132912</v>
      </c>
      <c r="P31" s="55">
        <v>116622</v>
      </c>
    </row>
    <row r="32" spans="1:16" x14ac:dyDescent="0.25">
      <c r="A32" s="40">
        <f t="shared" si="0"/>
        <v>46334</v>
      </c>
      <c r="B32" s="31" t="s">
        <v>503</v>
      </c>
      <c r="C32" s="31" t="s">
        <v>126</v>
      </c>
      <c r="D32" s="31" t="s">
        <v>87</v>
      </c>
      <c r="E32" s="32">
        <v>82447</v>
      </c>
      <c r="F32" s="39">
        <v>68746</v>
      </c>
      <c r="K32" s="56">
        <f t="shared" si="1"/>
        <v>46334</v>
      </c>
      <c r="L32" s="53" t="s">
        <v>503</v>
      </c>
      <c r="M32" s="53" t="s">
        <v>126</v>
      </c>
      <c r="N32" s="53" t="s">
        <v>87</v>
      </c>
      <c r="O32" s="54">
        <v>82447</v>
      </c>
      <c r="P32" s="55">
        <v>68746</v>
      </c>
    </row>
    <row r="33" spans="1:16" x14ac:dyDescent="0.25">
      <c r="A33" s="40">
        <f t="shared" si="0"/>
        <v>46335</v>
      </c>
      <c r="B33" s="31" t="s">
        <v>504</v>
      </c>
      <c r="C33" s="31" t="s">
        <v>45</v>
      </c>
      <c r="D33" s="31" t="s">
        <v>87</v>
      </c>
      <c r="E33" s="32">
        <v>46915</v>
      </c>
      <c r="F33" s="39">
        <v>139061</v>
      </c>
      <c r="K33" s="56">
        <f t="shared" si="1"/>
        <v>46335</v>
      </c>
      <c r="L33" s="53" t="s">
        <v>504</v>
      </c>
      <c r="M33" s="53" t="s">
        <v>45</v>
      </c>
      <c r="N33" s="53" t="s">
        <v>87</v>
      </c>
      <c r="O33" s="54">
        <v>46915</v>
      </c>
      <c r="P33" s="55">
        <v>139061</v>
      </c>
    </row>
    <row r="34" spans="1:16" x14ac:dyDescent="0.25">
      <c r="A34" s="40">
        <f t="shared" si="0"/>
        <v>46336</v>
      </c>
      <c r="B34" s="31" t="s">
        <v>505</v>
      </c>
      <c r="C34" s="31" t="s">
        <v>134</v>
      </c>
      <c r="D34" s="31" t="s">
        <v>74</v>
      </c>
      <c r="E34" s="32">
        <v>55033</v>
      </c>
      <c r="F34" s="39">
        <v>122240</v>
      </c>
      <c r="K34" s="56">
        <f t="shared" si="1"/>
        <v>46336</v>
      </c>
      <c r="L34" s="53" t="s">
        <v>505</v>
      </c>
      <c r="M34" s="53" t="s">
        <v>134</v>
      </c>
      <c r="N34" s="53" t="s">
        <v>74</v>
      </c>
      <c r="O34" s="54">
        <v>55033</v>
      </c>
      <c r="P34" s="55">
        <v>122240</v>
      </c>
    </row>
    <row r="35" spans="1:16" x14ac:dyDescent="0.25">
      <c r="A35" s="40">
        <f t="shared" si="0"/>
        <v>46337</v>
      </c>
      <c r="B35" s="31" t="s">
        <v>506</v>
      </c>
      <c r="C35" s="31" t="s">
        <v>45</v>
      </c>
      <c r="D35" s="31" t="s">
        <v>87</v>
      </c>
      <c r="E35" s="32">
        <v>113172</v>
      </c>
      <c r="F35" s="39">
        <v>48326</v>
      </c>
      <c r="K35" s="56">
        <f t="shared" si="1"/>
        <v>46337</v>
      </c>
      <c r="L35" s="53" t="s">
        <v>506</v>
      </c>
      <c r="M35" s="53" t="s">
        <v>45</v>
      </c>
      <c r="N35" s="53" t="s">
        <v>87</v>
      </c>
      <c r="O35" s="54">
        <v>113172</v>
      </c>
      <c r="P35" s="55">
        <v>48326</v>
      </c>
    </row>
    <row r="36" spans="1:16" x14ac:dyDescent="0.25">
      <c r="A36" s="40">
        <f t="shared" si="0"/>
        <v>46338</v>
      </c>
      <c r="B36" s="31" t="s">
        <v>507</v>
      </c>
      <c r="C36" s="31" t="s">
        <v>126</v>
      </c>
      <c r="D36" s="31" t="s">
        <v>87</v>
      </c>
      <c r="E36" s="32">
        <v>113104</v>
      </c>
      <c r="F36" s="39">
        <v>101348</v>
      </c>
      <c r="K36" s="56">
        <f t="shared" si="1"/>
        <v>46338</v>
      </c>
      <c r="L36" s="53" t="s">
        <v>507</v>
      </c>
      <c r="M36" s="53" t="s">
        <v>126</v>
      </c>
      <c r="N36" s="53" t="s">
        <v>87</v>
      </c>
      <c r="O36" s="54">
        <v>113104</v>
      </c>
      <c r="P36" s="55">
        <v>101348</v>
      </c>
    </row>
    <row r="37" spans="1:16" x14ac:dyDescent="0.25">
      <c r="A37" s="40">
        <f t="shared" si="0"/>
        <v>46339</v>
      </c>
      <c r="B37" s="31" t="s">
        <v>508</v>
      </c>
      <c r="C37" s="31" t="s">
        <v>80</v>
      </c>
      <c r="D37" s="31" t="s">
        <v>123</v>
      </c>
      <c r="E37" s="32">
        <v>20000</v>
      </c>
      <c r="F37" s="39">
        <v>41504</v>
      </c>
      <c r="K37" s="56">
        <f t="shared" si="1"/>
        <v>46339</v>
      </c>
      <c r="L37" s="53" t="s">
        <v>508</v>
      </c>
      <c r="M37" s="53" t="s">
        <v>80</v>
      </c>
      <c r="N37" s="53" t="s">
        <v>123</v>
      </c>
      <c r="O37" s="54">
        <v>20000</v>
      </c>
      <c r="P37" s="55">
        <v>41504</v>
      </c>
    </row>
    <row r="38" spans="1:16" x14ac:dyDescent="0.25">
      <c r="A38" s="40">
        <f t="shared" si="0"/>
        <v>46340</v>
      </c>
      <c r="B38" s="31" t="s">
        <v>509</v>
      </c>
      <c r="C38" s="31" t="s">
        <v>93</v>
      </c>
      <c r="D38" s="31" t="s">
        <v>74</v>
      </c>
      <c r="E38" s="32">
        <v>124353</v>
      </c>
      <c r="F38" s="39">
        <v>109163</v>
      </c>
      <c r="K38" s="56">
        <f t="shared" si="1"/>
        <v>46340</v>
      </c>
      <c r="L38" s="53" t="s">
        <v>509</v>
      </c>
      <c r="M38" s="53" t="s">
        <v>93</v>
      </c>
      <c r="N38" s="53" t="s">
        <v>74</v>
      </c>
      <c r="O38" s="54">
        <v>124353</v>
      </c>
      <c r="P38" s="55">
        <v>109163</v>
      </c>
    </row>
    <row r="39" spans="1:16" x14ac:dyDescent="0.25">
      <c r="A39" s="40">
        <f t="shared" si="0"/>
        <v>46341</v>
      </c>
      <c r="B39" s="31" t="s">
        <v>510</v>
      </c>
      <c r="C39" s="31" t="s">
        <v>185</v>
      </c>
      <c r="D39" s="31" t="s">
        <v>123</v>
      </c>
      <c r="E39" s="32">
        <v>49621</v>
      </c>
      <c r="F39" s="39">
        <v>78469</v>
      </c>
      <c r="K39" s="56">
        <f t="shared" si="1"/>
        <v>46341</v>
      </c>
      <c r="L39" s="53" t="s">
        <v>510</v>
      </c>
      <c r="M39" s="53" t="s">
        <v>185</v>
      </c>
      <c r="N39" s="53" t="s">
        <v>123</v>
      </c>
      <c r="O39" s="54">
        <v>49621</v>
      </c>
      <c r="P39" s="55">
        <v>78469</v>
      </c>
    </row>
    <row r="40" spans="1:16" x14ac:dyDescent="0.25">
      <c r="A40" s="40">
        <f t="shared" si="0"/>
        <v>46342</v>
      </c>
      <c r="B40" s="31" t="s">
        <v>511</v>
      </c>
      <c r="C40" s="31" t="s">
        <v>126</v>
      </c>
      <c r="D40" s="31" t="s">
        <v>57</v>
      </c>
      <c r="E40" s="32">
        <v>94470</v>
      </c>
      <c r="F40" s="39">
        <v>40425</v>
      </c>
      <c r="K40" s="56">
        <f t="shared" si="1"/>
        <v>46342</v>
      </c>
      <c r="L40" s="53" t="s">
        <v>511</v>
      </c>
      <c r="M40" s="53" t="s">
        <v>126</v>
      </c>
      <c r="N40" s="53" t="s">
        <v>57</v>
      </c>
      <c r="O40" s="54">
        <v>94470</v>
      </c>
      <c r="P40" s="55">
        <v>40425</v>
      </c>
    </row>
    <row r="41" spans="1:16" x14ac:dyDescent="0.25">
      <c r="A41" s="40">
        <f t="shared" si="0"/>
        <v>46343</v>
      </c>
      <c r="B41" s="31" t="s">
        <v>512</v>
      </c>
      <c r="C41" s="31" t="s">
        <v>93</v>
      </c>
      <c r="D41" s="31" t="s">
        <v>123</v>
      </c>
      <c r="E41" s="32">
        <v>100612</v>
      </c>
      <c r="F41" s="39">
        <v>139871</v>
      </c>
      <c r="K41" s="56">
        <f t="shared" si="1"/>
        <v>46343</v>
      </c>
      <c r="L41" s="53" t="s">
        <v>512</v>
      </c>
      <c r="M41" s="53" t="s">
        <v>93</v>
      </c>
      <c r="N41" s="53" t="s">
        <v>123</v>
      </c>
      <c r="O41" s="54">
        <v>100612</v>
      </c>
      <c r="P41" s="55">
        <v>139871</v>
      </c>
    </row>
    <row r="42" spans="1:16" x14ac:dyDescent="0.25">
      <c r="A42" s="40">
        <f>A41+1</f>
        <v>46344</v>
      </c>
      <c r="B42" s="31" t="s">
        <v>513</v>
      </c>
      <c r="C42" s="31" t="s">
        <v>45</v>
      </c>
      <c r="D42" s="31" t="s">
        <v>74</v>
      </c>
      <c r="E42" s="32">
        <v>149100</v>
      </c>
      <c r="F42" s="39">
        <v>121959</v>
      </c>
      <c r="K42" s="56">
        <f>K41+1</f>
        <v>46344</v>
      </c>
      <c r="L42" s="53" t="s">
        <v>513</v>
      </c>
      <c r="M42" s="53" t="s">
        <v>45</v>
      </c>
      <c r="N42" s="53" t="s">
        <v>74</v>
      </c>
      <c r="O42" s="54">
        <v>149100</v>
      </c>
      <c r="P42" s="55">
        <v>121959</v>
      </c>
    </row>
    <row r="43" spans="1:16" x14ac:dyDescent="0.25">
      <c r="A43" s="40">
        <f t="shared" si="0"/>
        <v>46345</v>
      </c>
      <c r="B43" s="31" t="s">
        <v>514</v>
      </c>
      <c r="C43" s="31" t="s">
        <v>185</v>
      </c>
      <c r="D43" s="31" t="s">
        <v>57</v>
      </c>
      <c r="E43" s="32">
        <v>55032</v>
      </c>
      <c r="F43" s="39">
        <v>89009</v>
      </c>
      <c r="K43" s="56">
        <f t="shared" si="1"/>
        <v>46345</v>
      </c>
      <c r="L43" s="53" t="s">
        <v>514</v>
      </c>
      <c r="M43" s="53" t="s">
        <v>185</v>
      </c>
      <c r="N43" s="53" t="s">
        <v>57</v>
      </c>
      <c r="O43" s="54">
        <v>55032</v>
      </c>
      <c r="P43" s="55">
        <v>89009</v>
      </c>
    </row>
    <row r="44" spans="1:16" x14ac:dyDescent="0.25">
      <c r="A44" s="40">
        <f t="shared" si="0"/>
        <v>46346</v>
      </c>
      <c r="B44" s="31" t="s">
        <v>515</v>
      </c>
      <c r="C44" s="31" t="s">
        <v>45</v>
      </c>
      <c r="D44" s="31" t="s">
        <v>74</v>
      </c>
      <c r="E44" s="32">
        <v>113504</v>
      </c>
      <c r="F44" s="39">
        <v>82487</v>
      </c>
      <c r="K44" s="56">
        <f t="shared" si="1"/>
        <v>46346</v>
      </c>
      <c r="L44" s="53" t="s">
        <v>515</v>
      </c>
      <c r="M44" s="53" t="s">
        <v>45</v>
      </c>
      <c r="N44" s="53" t="s">
        <v>74</v>
      </c>
      <c r="O44" s="54">
        <v>113504</v>
      </c>
      <c r="P44" s="55">
        <v>82487</v>
      </c>
    </row>
    <row r="45" spans="1:16" x14ac:dyDescent="0.25">
      <c r="A45" s="40">
        <f t="shared" si="0"/>
        <v>46347</v>
      </c>
      <c r="B45" s="31" t="s">
        <v>516</v>
      </c>
      <c r="C45" s="31" t="s">
        <v>126</v>
      </c>
      <c r="D45" s="31" t="s">
        <v>74</v>
      </c>
      <c r="E45" s="32">
        <v>49662</v>
      </c>
      <c r="F45" s="39">
        <v>87576</v>
      </c>
      <c r="K45" s="56">
        <f t="shared" si="1"/>
        <v>46347</v>
      </c>
      <c r="L45" s="53" t="s">
        <v>516</v>
      </c>
      <c r="M45" s="53" t="s">
        <v>126</v>
      </c>
      <c r="N45" s="53" t="s">
        <v>74</v>
      </c>
      <c r="O45" s="54">
        <v>49662</v>
      </c>
      <c r="P45" s="55">
        <v>87576</v>
      </c>
    </row>
    <row r="46" spans="1:16" x14ac:dyDescent="0.25">
      <c r="A46" s="40">
        <f t="shared" si="0"/>
        <v>46348</v>
      </c>
      <c r="B46" s="31" t="s">
        <v>517</v>
      </c>
      <c r="C46" s="31" t="s">
        <v>185</v>
      </c>
      <c r="D46" s="31" t="s">
        <v>57</v>
      </c>
      <c r="E46" s="32">
        <v>42592</v>
      </c>
      <c r="F46" s="39">
        <v>71571</v>
      </c>
      <c r="K46" s="56">
        <f t="shared" si="1"/>
        <v>46348</v>
      </c>
      <c r="L46" s="53" t="s">
        <v>517</v>
      </c>
      <c r="M46" s="53" t="s">
        <v>185</v>
      </c>
      <c r="N46" s="53" t="s">
        <v>57</v>
      </c>
      <c r="O46" s="54">
        <v>42592</v>
      </c>
      <c r="P46" s="55">
        <v>71571</v>
      </c>
    </row>
    <row r="47" spans="1:16" x14ac:dyDescent="0.25">
      <c r="A47" s="40">
        <f t="shared" si="0"/>
        <v>46349</v>
      </c>
      <c r="B47" s="31" t="s">
        <v>518</v>
      </c>
      <c r="C47" s="31" t="s">
        <v>80</v>
      </c>
      <c r="D47" s="31" t="s">
        <v>74</v>
      </c>
      <c r="E47" s="32">
        <v>46226</v>
      </c>
      <c r="F47" s="39">
        <v>135932</v>
      </c>
      <c r="K47" s="56">
        <f t="shared" si="1"/>
        <v>46349</v>
      </c>
      <c r="L47" s="53" t="s">
        <v>518</v>
      </c>
      <c r="M47" s="53" t="s">
        <v>80</v>
      </c>
      <c r="N47" s="53" t="s">
        <v>74</v>
      </c>
      <c r="O47" s="54">
        <v>46226</v>
      </c>
      <c r="P47" s="55">
        <v>135932</v>
      </c>
    </row>
    <row r="48" spans="1:16" x14ac:dyDescent="0.25">
      <c r="A48" s="40">
        <f t="shared" si="0"/>
        <v>46350</v>
      </c>
      <c r="B48" s="31" t="s">
        <v>519</v>
      </c>
      <c r="C48" s="31" t="s">
        <v>126</v>
      </c>
      <c r="D48" s="31" t="s">
        <v>74</v>
      </c>
      <c r="E48" s="32">
        <v>20000</v>
      </c>
      <c r="F48" s="39">
        <v>109822</v>
      </c>
      <c r="K48" s="56">
        <f t="shared" si="1"/>
        <v>46350</v>
      </c>
      <c r="L48" s="53" t="s">
        <v>519</v>
      </c>
      <c r="M48" s="53" t="s">
        <v>126</v>
      </c>
      <c r="N48" s="53" t="s">
        <v>74</v>
      </c>
      <c r="O48" s="54">
        <v>20000</v>
      </c>
      <c r="P48" s="55">
        <v>109822</v>
      </c>
    </row>
    <row r="49" spans="1:16" x14ac:dyDescent="0.25">
      <c r="A49" s="40">
        <f t="shared" si="0"/>
        <v>46351</v>
      </c>
      <c r="B49" s="31" t="s">
        <v>520</v>
      </c>
      <c r="C49" s="31" t="s">
        <v>45</v>
      </c>
      <c r="D49" s="31" t="s">
        <v>57</v>
      </c>
      <c r="E49" s="32">
        <v>121474</v>
      </c>
      <c r="F49" s="39">
        <v>102296</v>
      </c>
      <c r="K49" s="56">
        <f t="shared" si="1"/>
        <v>46351</v>
      </c>
      <c r="L49" s="53" t="s">
        <v>520</v>
      </c>
      <c r="M49" s="53" t="s">
        <v>45</v>
      </c>
      <c r="N49" s="53" t="s">
        <v>57</v>
      </c>
      <c r="O49" s="54">
        <v>121474</v>
      </c>
      <c r="P49" s="55">
        <v>102296</v>
      </c>
    </row>
    <row r="50" spans="1:16" x14ac:dyDescent="0.25">
      <c r="A50" s="40">
        <f t="shared" si="0"/>
        <v>46352</v>
      </c>
      <c r="B50" s="31" t="s">
        <v>521</v>
      </c>
      <c r="C50" s="31" t="s">
        <v>80</v>
      </c>
      <c r="D50" s="31" t="s">
        <v>57</v>
      </c>
      <c r="E50" s="32">
        <v>69741</v>
      </c>
      <c r="F50" s="39">
        <v>109163</v>
      </c>
      <c r="K50" s="56">
        <f t="shared" si="1"/>
        <v>46352</v>
      </c>
      <c r="L50" s="53" t="s">
        <v>521</v>
      </c>
      <c r="M50" s="53" t="s">
        <v>80</v>
      </c>
      <c r="N50" s="53" t="s">
        <v>57</v>
      </c>
      <c r="O50" s="54">
        <v>69741</v>
      </c>
      <c r="P50" s="55">
        <v>109163</v>
      </c>
    </row>
    <row r="51" spans="1:16" ht="15.75" thickBot="1" x14ac:dyDescent="0.3">
      <c r="A51" s="41">
        <f t="shared" si="0"/>
        <v>46353</v>
      </c>
      <c r="B51" s="33" t="s">
        <v>522</v>
      </c>
      <c r="C51" s="33" t="s">
        <v>80</v>
      </c>
      <c r="D51" s="33" t="s">
        <v>87</v>
      </c>
      <c r="E51" s="34">
        <v>62760</v>
      </c>
      <c r="F51" s="42">
        <v>110686</v>
      </c>
      <c r="K51" s="57">
        <f t="shared" si="1"/>
        <v>46353</v>
      </c>
      <c r="L51" s="58" t="s">
        <v>522</v>
      </c>
      <c r="M51" s="58" t="s">
        <v>80</v>
      </c>
      <c r="N51" s="58" t="s">
        <v>87</v>
      </c>
      <c r="O51" s="59">
        <v>62760</v>
      </c>
      <c r="P51" s="60">
        <v>110686</v>
      </c>
    </row>
    <row r="52" spans="1:16" x14ac:dyDescent="0.25">
      <c r="A52" s="44"/>
      <c r="B52" s="45"/>
      <c r="C52" s="45"/>
      <c r="D52" s="45"/>
      <c r="E52" s="46"/>
      <c r="F52" s="47"/>
    </row>
    <row r="53" spans="1:16" x14ac:dyDescent="0.25">
      <c r="A53" s="44"/>
      <c r="B53" s="45"/>
      <c r="C53" s="45"/>
      <c r="D53" s="45"/>
      <c r="E53" s="46"/>
      <c r="F53" s="47"/>
    </row>
    <row r="54" spans="1:16" ht="15.75" thickBot="1" x14ac:dyDescent="0.3"/>
    <row r="55" spans="1:16" ht="15.75" x14ac:dyDescent="0.25">
      <c r="A55" s="35" t="s">
        <v>469</v>
      </c>
      <c r="B55" s="36" t="s">
        <v>470</v>
      </c>
      <c r="C55" s="36" t="s">
        <v>6</v>
      </c>
      <c r="D55" s="36" t="s">
        <v>36</v>
      </c>
      <c r="E55" s="37" t="s">
        <v>471</v>
      </c>
      <c r="F55" s="38" t="s">
        <v>472</v>
      </c>
      <c r="G55" s="38" t="s">
        <v>472</v>
      </c>
    </row>
    <row r="56" spans="1:16" x14ac:dyDescent="0.25">
      <c r="A56" s="43">
        <v>46304</v>
      </c>
      <c r="B56" s="31" t="s">
        <v>473</v>
      </c>
      <c r="C56" s="31" t="s">
        <v>93</v>
      </c>
      <c r="D56" s="31" t="s">
        <v>74</v>
      </c>
      <c r="E56" s="32">
        <v>38278</v>
      </c>
      <c r="F56" s="39">
        <v>137196</v>
      </c>
      <c r="G56" s="39">
        <v>137196</v>
      </c>
    </row>
    <row r="57" spans="1:16" x14ac:dyDescent="0.25">
      <c r="A57" s="40">
        <f>A56+1</f>
        <v>46305</v>
      </c>
      <c r="B57" s="31" t="s">
        <v>474</v>
      </c>
      <c r="C57" s="31" t="s">
        <v>185</v>
      </c>
      <c r="D57" s="31" t="s">
        <v>57</v>
      </c>
      <c r="E57" s="32">
        <v>64256</v>
      </c>
      <c r="F57" s="39">
        <v>58289</v>
      </c>
      <c r="G57" s="39">
        <v>58289</v>
      </c>
    </row>
    <row r="58" spans="1:16" x14ac:dyDescent="0.25">
      <c r="A58" s="40">
        <f t="shared" ref="A58:A95" si="2">A57+1</f>
        <v>46306</v>
      </c>
      <c r="B58" s="31" t="s">
        <v>475</v>
      </c>
      <c r="C58" s="31" t="s">
        <v>93</v>
      </c>
      <c r="D58" s="31" t="s">
        <v>74</v>
      </c>
      <c r="E58" s="32">
        <v>123696</v>
      </c>
      <c r="F58" s="39">
        <v>137080</v>
      </c>
      <c r="G58" s="39">
        <v>137080</v>
      </c>
    </row>
    <row r="59" spans="1:16" x14ac:dyDescent="0.25">
      <c r="A59" s="40">
        <f t="shared" si="2"/>
        <v>46307</v>
      </c>
      <c r="B59" s="31" t="s">
        <v>476</v>
      </c>
      <c r="C59" s="31" t="s">
        <v>80</v>
      </c>
      <c r="D59" s="31" t="s">
        <v>74</v>
      </c>
      <c r="E59" s="32">
        <v>112397</v>
      </c>
      <c r="F59" s="39">
        <v>95302</v>
      </c>
      <c r="G59" s="39">
        <v>95302</v>
      </c>
    </row>
    <row r="60" spans="1:16" x14ac:dyDescent="0.25">
      <c r="A60" s="40">
        <f t="shared" si="2"/>
        <v>46308</v>
      </c>
      <c r="B60" s="31" t="s">
        <v>477</v>
      </c>
      <c r="C60" s="31" t="s">
        <v>134</v>
      </c>
      <c r="D60" s="31" t="s">
        <v>74</v>
      </c>
      <c r="E60" s="32">
        <v>47280</v>
      </c>
      <c r="F60" s="39">
        <v>68657</v>
      </c>
      <c r="G60" s="39">
        <v>68657</v>
      </c>
    </row>
    <row r="61" spans="1:16" x14ac:dyDescent="0.25">
      <c r="A61" s="40">
        <f t="shared" si="2"/>
        <v>46309</v>
      </c>
      <c r="B61" s="31" t="s">
        <v>478</v>
      </c>
      <c r="C61" s="31" t="s">
        <v>45</v>
      </c>
      <c r="D61" s="31" t="s">
        <v>74</v>
      </c>
      <c r="E61" s="32">
        <v>108563</v>
      </c>
      <c r="F61" s="39">
        <v>66062</v>
      </c>
      <c r="G61" s="39">
        <v>66062</v>
      </c>
    </row>
    <row r="62" spans="1:16" x14ac:dyDescent="0.25">
      <c r="A62" s="40">
        <f t="shared" si="2"/>
        <v>46310</v>
      </c>
      <c r="B62" s="31" t="s">
        <v>479</v>
      </c>
      <c r="C62" s="31" t="s">
        <v>93</v>
      </c>
      <c r="D62" s="31" t="s">
        <v>87</v>
      </c>
      <c r="E62" s="32">
        <v>63893</v>
      </c>
      <c r="F62" s="39">
        <v>98878</v>
      </c>
      <c r="G62" s="39">
        <v>98878</v>
      </c>
    </row>
    <row r="63" spans="1:16" x14ac:dyDescent="0.25">
      <c r="A63" s="40">
        <f t="shared" si="2"/>
        <v>46311</v>
      </c>
      <c r="B63" s="31" t="s">
        <v>480</v>
      </c>
      <c r="C63" s="31" t="s">
        <v>80</v>
      </c>
      <c r="D63" s="31" t="s">
        <v>123</v>
      </c>
      <c r="E63" s="32">
        <v>141093</v>
      </c>
      <c r="F63" s="39">
        <v>40851</v>
      </c>
      <c r="G63" s="39">
        <v>40851</v>
      </c>
    </row>
    <row r="64" spans="1:16" x14ac:dyDescent="0.25">
      <c r="A64" s="40">
        <f t="shared" si="2"/>
        <v>46312</v>
      </c>
      <c r="B64" s="31" t="s">
        <v>481</v>
      </c>
      <c r="C64" s="31" t="s">
        <v>45</v>
      </c>
      <c r="D64" s="31" t="s">
        <v>87</v>
      </c>
      <c r="E64" s="32">
        <v>79597</v>
      </c>
      <c r="F64" s="39">
        <v>76421</v>
      </c>
      <c r="G64" s="39">
        <v>76421</v>
      </c>
    </row>
    <row r="65" spans="1:7" x14ac:dyDescent="0.25">
      <c r="A65" s="40">
        <f t="shared" si="2"/>
        <v>46313</v>
      </c>
      <c r="B65" s="31" t="s">
        <v>482</v>
      </c>
      <c r="C65" s="31" t="s">
        <v>45</v>
      </c>
      <c r="D65" s="31" t="s">
        <v>57</v>
      </c>
      <c r="E65" s="32">
        <v>135072</v>
      </c>
      <c r="F65" s="39">
        <v>84118</v>
      </c>
      <c r="G65" s="39">
        <v>84118</v>
      </c>
    </row>
    <row r="66" spans="1:7" x14ac:dyDescent="0.25">
      <c r="A66" s="40">
        <f t="shared" si="2"/>
        <v>46314</v>
      </c>
      <c r="B66" s="31" t="s">
        <v>483</v>
      </c>
      <c r="C66" s="31" t="s">
        <v>134</v>
      </c>
      <c r="D66" s="31" t="s">
        <v>74</v>
      </c>
      <c r="E66" s="32">
        <v>84797</v>
      </c>
      <c r="F66" s="39">
        <v>52676</v>
      </c>
      <c r="G66" s="39">
        <v>52676</v>
      </c>
    </row>
    <row r="67" spans="1:7" x14ac:dyDescent="0.25">
      <c r="A67" s="40">
        <f t="shared" si="2"/>
        <v>46315</v>
      </c>
      <c r="B67" s="31" t="s">
        <v>484</v>
      </c>
      <c r="C67" s="31" t="s">
        <v>185</v>
      </c>
      <c r="D67" s="31" t="s">
        <v>123</v>
      </c>
      <c r="E67" s="32">
        <v>20000</v>
      </c>
      <c r="F67" s="39">
        <v>74671</v>
      </c>
      <c r="G67" s="39">
        <v>74671</v>
      </c>
    </row>
    <row r="68" spans="1:7" x14ac:dyDescent="0.25">
      <c r="A68" s="40">
        <f t="shared" si="2"/>
        <v>46316</v>
      </c>
      <c r="B68" s="31" t="s">
        <v>485</v>
      </c>
      <c r="C68" s="31" t="s">
        <v>134</v>
      </c>
      <c r="D68" s="31" t="s">
        <v>87</v>
      </c>
      <c r="E68" s="32">
        <v>105284</v>
      </c>
      <c r="F68" s="39">
        <v>56361</v>
      </c>
      <c r="G68" s="39">
        <v>56361</v>
      </c>
    </row>
    <row r="69" spans="1:7" x14ac:dyDescent="0.25">
      <c r="A69" s="40">
        <f t="shared" si="2"/>
        <v>46317</v>
      </c>
      <c r="B69" s="31" t="s">
        <v>486</v>
      </c>
      <c r="C69" s="31" t="s">
        <v>126</v>
      </c>
      <c r="D69" s="31" t="s">
        <v>74</v>
      </c>
      <c r="E69" s="32">
        <v>20000</v>
      </c>
      <c r="F69" s="39">
        <v>78427</v>
      </c>
      <c r="G69" s="39">
        <v>78427</v>
      </c>
    </row>
    <row r="70" spans="1:7" x14ac:dyDescent="0.25">
      <c r="A70" s="40">
        <f t="shared" si="2"/>
        <v>46318</v>
      </c>
      <c r="B70" s="31" t="s">
        <v>487</v>
      </c>
      <c r="C70" s="31" t="s">
        <v>93</v>
      </c>
      <c r="D70" s="31" t="s">
        <v>123</v>
      </c>
      <c r="E70" s="32">
        <v>110674</v>
      </c>
      <c r="F70" s="39">
        <v>65203</v>
      </c>
      <c r="G70" s="39">
        <v>65203</v>
      </c>
    </row>
    <row r="71" spans="1:7" x14ac:dyDescent="0.25">
      <c r="A71" s="40">
        <f t="shared" si="2"/>
        <v>46319</v>
      </c>
      <c r="B71" s="31" t="s">
        <v>488</v>
      </c>
      <c r="C71" s="31" t="s">
        <v>93</v>
      </c>
      <c r="D71" s="31" t="s">
        <v>74</v>
      </c>
      <c r="E71" s="32">
        <v>41006</v>
      </c>
      <c r="F71" s="39">
        <v>126673</v>
      </c>
      <c r="G71" s="39">
        <v>126673</v>
      </c>
    </row>
    <row r="72" spans="1:7" x14ac:dyDescent="0.25">
      <c r="A72" s="40">
        <f t="shared" si="2"/>
        <v>46320</v>
      </c>
      <c r="B72" s="31" t="s">
        <v>489</v>
      </c>
      <c r="C72" s="31" t="s">
        <v>45</v>
      </c>
      <c r="D72" s="31" t="s">
        <v>123</v>
      </c>
      <c r="E72" s="32">
        <v>45458</v>
      </c>
      <c r="F72" s="39">
        <v>70512</v>
      </c>
      <c r="G72" s="39">
        <v>70512</v>
      </c>
    </row>
    <row r="73" spans="1:7" x14ac:dyDescent="0.25">
      <c r="A73" s="40">
        <f t="shared" si="2"/>
        <v>46321</v>
      </c>
      <c r="B73" s="31" t="s">
        <v>490</v>
      </c>
      <c r="C73" s="31" t="s">
        <v>134</v>
      </c>
      <c r="D73" s="31" t="s">
        <v>87</v>
      </c>
      <c r="E73" s="32">
        <v>71434</v>
      </c>
      <c r="F73" s="39">
        <v>99429</v>
      </c>
      <c r="G73" s="39">
        <v>99429</v>
      </c>
    </row>
    <row r="74" spans="1:7" x14ac:dyDescent="0.25">
      <c r="A74" s="40">
        <f t="shared" si="2"/>
        <v>46322</v>
      </c>
      <c r="B74" s="31" t="s">
        <v>491</v>
      </c>
      <c r="C74" s="31" t="s">
        <v>93</v>
      </c>
      <c r="D74" s="31" t="s">
        <v>123</v>
      </c>
      <c r="E74" s="32">
        <v>56319</v>
      </c>
      <c r="F74" s="39">
        <v>88520</v>
      </c>
      <c r="G74" s="39">
        <v>88520</v>
      </c>
    </row>
    <row r="75" spans="1:7" x14ac:dyDescent="0.25">
      <c r="A75" s="40">
        <f t="shared" si="2"/>
        <v>46323</v>
      </c>
      <c r="B75" s="31" t="s">
        <v>492</v>
      </c>
      <c r="C75" s="31" t="s">
        <v>185</v>
      </c>
      <c r="D75" s="31" t="s">
        <v>57</v>
      </c>
      <c r="E75" s="32">
        <v>122841</v>
      </c>
      <c r="F75" s="39">
        <v>74993</v>
      </c>
      <c r="G75" s="39">
        <v>74993</v>
      </c>
    </row>
    <row r="76" spans="1:7" x14ac:dyDescent="0.25">
      <c r="A76" s="40">
        <f t="shared" si="2"/>
        <v>46324</v>
      </c>
      <c r="B76" s="31" t="s">
        <v>493</v>
      </c>
      <c r="C76" s="31" t="s">
        <v>93</v>
      </c>
      <c r="D76" s="31" t="s">
        <v>74</v>
      </c>
      <c r="E76" s="32">
        <v>114840</v>
      </c>
      <c r="F76" s="39">
        <v>123227</v>
      </c>
      <c r="G76" s="39">
        <v>123227</v>
      </c>
    </row>
    <row r="77" spans="1:7" x14ac:dyDescent="0.25">
      <c r="A77" s="40">
        <f t="shared" si="2"/>
        <v>46325</v>
      </c>
      <c r="B77" s="31" t="s">
        <v>494</v>
      </c>
      <c r="C77" s="31" t="s">
        <v>45</v>
      </c>
      <c r="D77" s="31" t="s">
        <v>57</v>
      </c>
      <c r="E77" s="32">
        <v>56417</v>
      </c>
      <c r="F77" s="39">
        <v>100589</v>
      </c>
      <c r="G77" s="39">
        <v>100589</v>
      </c>
    </row>
    <row r="78" spans="1:7" x14ac:dyDescent="0.25">
      <c r="A78" s="40">
        <f t="shared" si="2"/>
        <v>46326</v>
      </c>
      <c r="B78" s="31" t="s">
        <v>495</v>
      </c>
      <c r="C78" s="31" t="s">
        <v>126</v>
      </c>
      <c r="D78" s="31" t="s">
        <v>123</v>
      </c>
      <c r="E78" s="32">
        <v>118886</v>
      </c>
      <c r="F78" s="39">
        <v>130198</v>
      </c>
      <c r="G78" s="39">
        <v>130198</v>
      </c>
    </row>
    <row r="79" spans="1:7" x14ac:dyDescent="0.25">
      <c r="A79" s="40">
        <f t="shared" si="2"/>
        <v>46327</v>
      </c>
      <c r="B79" s="31" t="s">
        <v>496</v>
      </c>
      <c r="C79" s="31" t="s">
        <v>80</v>
      </c>
      <c r="D79" s="31" t="s">
        <v>57</v>
      </c>
      <c r="E79" s="32">
        <v>124733</v>
      </c>
      <c r="F79" s="39">
        <v>82504</v>
      </c>
      <c r="G79" s="39">
        <v>82504</v>
      </c>
    </row>
    <row r="80" spans="1:7" x14ac:dyDescent="0.25">
      <c r="A80" s="40">
        <f t="shared" si="2"/>
        <v>46328</v>
      </c>
      <c r="B80" s="31" t="s">
        <v>497</v>
      </c>
      <c r="C80" s="31" t="s">
        <v>134</v>
      </c>
      <c r="D80" s="31" t="s">
        <v>57</v>
      </c>
      <c r="E80" s="32">
        <v>142715</v>
      </c>
      <c r="F80" s="39">
        <v>44207</v>
      </c>
      <c r="G80" s="39">
        <v>44207</v>
      </c>
    </row>
    <row r="81" spans="1:7" x14ac:dyDescent="0.25">
      <c r="A81" s="40">
        <f t="shared" si="2"/>
        <v>46329</v>
      </c>
      <c r="B81" s="31" t="s">
        <v>498</v>
      </c>
      <c r="C81" s="31" t="s">
        <v>185</v>
      </c>
      <c r="D81" s="31" t="s">
        <v>87</v>
      </c>
      <c r="E81" s="32">
        <v>70093</v>
      </c>
      <c r="F81" s="39">
        <v>48675</v>
      </c>
      <c r="G81" s="39">
        <v>48675</v>
      </c>
    </row>
    <row r="82" spans="1:7" x14ac:dyDescent="0.25">
      <c r="A82" s="40">
        <f t="shared" si="2"/>
        <v>46330</v>
      </c>
      <c r="B82" s="31" t="s">
        <v>499</v>
      </c>
      <c r="C82" s="31" t="s">
        <v>45</v>
      </c>
      <c r="D82" s="31" t="s">
        <v>123</v>
      </c>
      <c r="E82" s="32">
        <v>62869</v>
      </c>
      <c r="F82" s="39">
        <v>125909</v>
      </c>
      <c r="G82" s="39">
        <v>125909</v>
      </c>
    </row>
    <row r="83" spans="1:7" x14ac:dyDescent="0.25">
      <c r="A83" s="40">
        <f t="shared" si="2"/>
        <v>46331</v>
      </c>
      <c r="B83" s="31" t="s">
        <v>500</v>
      </c>
      <c r="C83" s="31" t="s">
        <v>126</v>
      </c>
      <c r="D83" s="31" t="s">
        <v>87</v>
      </c>
      <c r="E83" s="32">
        <v>119259</v>
      </c>
      <c r="F83" s="39">
        <v>100142</v>
      </c>
      <c r="G83" s="39">
        <v>100142</v>
      </c>
    </row>
    <row r="84" spans="1:7" x14ac:dyDescent="0.25">
      <c r="A84" s="40">
        <f t="shared" si="2"/>
        <v>46332</v>
      </c>
      <c r="B84" s="31" t="s">
        <v>501</v>
      </c>
      <c r="C84" s="31" t="s">
        <v>45</v>
      </c>
      <c r="D84" s="31" t="s">
        <v>123</v>
      </c>
      <c r="E84" s="32">
        <v>53301</v>
      </c>
      <c r="F84" s="39">
        <v>72325</v>
      </c>
      <c r="G84" s="39">
        <v>72325</v>
      </c>
    </row>
    <row r="85" spans="1:7" x14ac:dyDescent="0.25">
      <c r="A85" s="40">
        <f t="shared" si="2"/>
        <v>46333</v>
      </c>
      <c r="B85" s="31" t="s">
        <v>502</v>
      </c>
      <c r="C85" s="31" t="s">
        <v>93</v>
      </c>
      <c r="D85" s="31" t="s">
        <v>123</v>
      </c>
      <c r="E85" s="32">
        <v>132912</v>
      </c>
      <c r="F85" s="39">
        <v>116622</v>
      </c>
      <c r="G85" s="39">
        <v>116622</v>
      </c>
    </row>
    <row r="86" spans="1:7" x14ac:dyDescent="0.25">
      <c r="A86" s="40">
        <f t="shared" si="2"/>
        <v>46334</v>
      </c>
      <c r="B86" s="31" t="s">
        <v>503</v>
      </c>
      <c r="C86" s="31" t="s">
        <v>126</v>
      </c>
      <c r="D86" s="31" t="s">
        <v>87</v>
      </c>
      <c r="E86" s="32">
        <v>82447</v>
      </c>
      <c r="F86" s="39">
        <v>68746</v>
      </c>
      <c r="G86" s="39">
        <v>68746</v>
      </c>
    </row>
    <row r="87" spans="1:7" x14ac:dyDescent="0.25">
      <c r="A87" s="40">
        <f t="shared" si="2"/>
        <v>46335</v>
      </c>
      <c r="B87" s="31" t="s">
        <v>504</v>
      </c>
      <c r="C87" s="31" t="s">
        <v>45</v>
      </c>
      <c r="D87" s="31" t="s">
        <v>87</v>
      </c>
      <c r="E87" s="32">
        <v>46915</v>
      </c>
      <c r="F87" s="39">
        <v>139061</v>
      </c>
      <c r="G87" s="39">
        <v>139061</v>
      </c>
    </row>
    <row r="88" spans="1:7" x14ac:dyDescent="0.25">
      <c r="A88" s="40">
        <f t="shared" si="2"/>
        <v>46336</v>
      </c>
      <c r="B88" s="31" t="s">
        <v>505</v>
      </c>
      <c r="C88" s="31" t="s">
        <v>134</v>
      </c>
      <c r="D88" s="31" t="s">
        <v>74</v>
      </c>
      <c r="E88" s="32">
        <v>55033</v>
      </c>
      <c r="F88" s="39">
        <v>122240</v>
      </c>
      <c r="G88" s="39">
        <v>122240</v>
      </c>
    </row>
    <row r="89" spans="1:7" x14ac:dyDescent="0.25">
      <c r="A89" s="40">
        <f t="shared" si="2"/>
        <v>46337</v>
      </c>
      <c r="B89" s="31" t="s">
        <v>506</v>
      </c>
      <c r="C89" s="31" t="s">
        <v>45</v>
      </c>
      <c r="D89" s="31" t="s">
        <v>87</v>
      </c>
      <c r="E89" s="32">
        <v>113172</v>
      </c>
      <c r="F89" s="39">
        <v>48326</v>
      </c>
      <c r="G89" s="39">
        <v>48326</v>
      </c>
    </row>
    <row r="90" spans="1:7" x14ac:dyDescent="0.25">
      <c r="A90" s="40">
        <f t="shared" si="2"/>
        <v>46338</v>
      </c>
      <c r="B90" s="31" t="s">
        <v>507</v>
      </c>
      <c r="C90" s="31" t="s">
        <v>126</v>
      </c>
      <c r="D90" s="31" t="s">
        <v>87</v>
      </c>
      <c r="E90" s="32">
        <v>113104</v>
      </c>
      <c r="F90" s="39">
        <v>101348</v>
      </c>
      <c r="G90" s="39">
        <v>101348</v>
      </c>
    </row>
    <row r="91" spans="1:7" x14ac:dyDescent="0.25">
      <c r="A91" s="40">
        <f t="shared" si="2"/>
        <v>46339</v>
      </c>
      <c r="B91" s="31" t="s">
        <v>508</v>
      </c>
      <c r="C91" s="31" t="s">
        <v>80</v>
      </c>
      <c r="D91" s="31" t="s">
        <v>123</v>
      </c>
      <c r="E91" s="32">
        <v>20000</v>
      </c>
      <c r="F91" s="39">
        <v>41504</v>
      </c>
      <c r="G91" s="39">
        <v>41504</v>
      </c>
    </row>
    <row r="92" spans="1:7" x14ac:dyDescent="0.25">
      <c r="A92" s="40">
        <f t="shared" si="2"/>
        <v>46340</v>
      </c>
      <c r="B92" s="31" t="s">
        <v>509</v>
      </c>
      <c r="C92" s="31" t="s">
        <v>93</v>
      </c>
      <c r="D92" s="31" t="s">
        <v>74</v>
      </c>
      <c r="E92" s="32">
        <v>124353</v>
      </c>
      <c r="F92" s="39">
        <v>109163</v>
      </c>
      <c r="G92" s="39">
        <v>109163</v>
      </c>
    </row>
    <row r="93" spans="1:7" x14ac:dyDescent="0.25">
      <c r="A93" s="40">
        <f t="shared" si="2"/>
        <v>46341</v>
      </c>
      <c r="B93" s="31" t="s">
        <v>510</v>
      </c>
      <c r="C93" s="31" t="s">
        <v>185</v>
      </c>
      <c r="D93" s="31" t="s">
        <v>123</v>
      </c>
      <c r="E93" s="32">
        <v>49621</v>
      </c>
      <c r="F93" s="39">
        <v>78469</v>
      </c>
      <c r="G93" s="39">
        <v>78469</v>
      </c>
    </row>
    <row r="94" spans="1:7" x14ac:dyDescent="0.25">
      <c r="A94" s="40">
        <f t="shared" si="2"/>
        <v>46342</v>
      </c>
      <c r="B94" s="31" t="s">
        <v>511</v>
      </c>
      <c r="C94" s="31" t="s">
        <v>126</v>
      </c>
      <c r="D94" s="31" t="s">
        <v>57</v>
      </c>
      <c r="E94" s="32">
        <v>94470</v>
      </c>
      <c r="F94" s="39">
        <v>40425</v>
      </c>
      <c r="G94" s="39">
        <v>40425</v>
      </c>
    </row>
    <row r="95" spans="1:7" x14ac:dyDescent="0.25">
      <c r="A95" s="40">
        <f t="shared" si="2"/>
        <v>46343</v>
      </c>
      <c r="B95" s="31" t="s">
        <v>512</v>
      </c>
      <c r="C95" s="31" t="s">
        <v>93</v>
      </c>
      <c r="D95" s="31" t="s">
        <v>123</v>
      </c>
      <c r="E95" s="32">
        <v>100612</v>
      </c>
      <c r="F95" s="39">
        <v>139871</v>
      </c>
      <c r="G95" s="39">
        <v>139871</v>
      </c>
    </row>
    <row r="96" spans="1:7" x14ac:dyDescent="0.25">
      <c r="A96" s="40">
        <f>A95+1</f>
        <v>46344</v>
      </c>
      <c r="B96" s="31" t="s">
        <v>513</v>
      </c>
      <c r="C96" s="31" t="s">
        <v>45</v>
      </c>
      <c r="D96" s="31" t="s">
        <v>74</v>
      </c>
      <c r="E96" s="32">
        <v>149100</v>
      </c>
      <c r="F96" s="39">
        <v>121959</v>
      </c>
      <c r="G96" s="39">
        <v>121959</v>
      </c>
    </row>
    <row r="97" spans="1:7" x14ac:dyDescent="0.25">
      <c r="A97" s="40">
        <f t="shared" ref="A97:A105" si="3">A96+1</f>
        <v>46345</v>
      </c>
      <c r="B97" s="31" t="s">
        <v>514</v>
      </c>
      <c r="C97" s="31" t="s">
        <v>185</v>
      </c>
      <c r="D97" s="31" t="s">
        <v>57</v>
      </c>
      <c r="E97" s="32">
        <v>55032</v>
      </c>
      <c r="F97" s="39">
        <v>89009</v>
      </c>
      <c r="G97" s="39">
        <v>89009</v>
      </c>
    </row>
    <row r="98" spans="1:7" x14ac:dyDescent="0.25">
      <c r="A98" s="40">
        <f t="shared" si="3"/>
        <v>46346</v>
      </c>
      <c r="B98" s="31" t="s">
        <v>515</v>
      </c>
      <c r="C98" s="31" t="s">
        <v>45</v>
      </c>
      <c r="D98" s="31" t="s">
        <v>74</v>
      </c>
      <c r="E98" s="32">
        <v>113504</v>
      </c>
      <c r="F98" s="39">
        <v>82487</v>
      </c>
      <c r="G98" s="39">
        <v>82487</v>
      </c>
    </row>
    <row r="99" spans="1:7" x14ac:dyDescent="0.25">
      <c r="A99" s="40">
        <f t="shared" si="3"/>
        <v>46347</v>
      </c>
      <c r="B99" s="31" t="s">
        <v>516</v>
      </c>
      <c r="C99" s="31" t="s">
        <v>126</v>
      </c>
      <c r="D99" s="31" t="s">
        <v>74</v>
      </c>
      <c r="E99" s="32">
        <v>49662</v>
      </c>
      <c r="F99" s="39">
        <v>87576</v>
      </c>
      <c r="G99" s="39">
        <v>87576</v>
      </c>
    </row>
    <row r="100" spans="1:7" x14ac:dyDescent="0.25">
      <c r="A100" s="40">
        <f t="shared" si="3"/>
        <v>46348</v>
      </c>
      <c r="B100" s="31" t="s">
        <v>517</v>
      </c>
      <c r="C100" s="31" t="s">
        <v>185</v>
      </c>
      <c r="D100" s="31" t="s">
        <v>57</v>
      </c>
      <c r="E100" s="32">
        <v>42592</v>
      </c>
      <c r="F100" s="39">
        <v>71571</v>
      </c>
      <c r="G100" s="39">
        <v>71571</v>
      </c>
    </row>
    <row r="101" spans="1:7" x14ac:dyDescent="0.25">
      <c r="A101" s="40">
        <f t="shared" si="3"/>
        <v>46349</v>
      </c>
      <c r="B101" s="31" t="s">
        <v>518</v>
      </c>
      <c r="C101" s="31" t="s">
        <v>80</v>
      </c>
      <c r="D101" s="31" t="s">
        <v>74</v>
      </c>
      <c r="E101" s="32">
        <v>46226</v>
      </c>
      <c r="F101" s="39">
        <v>135932</v>
      </c>
      <c r="G101" s="39">
        <v>135932</v>
      </c>
    </row>
    <row r="102" spans="1:7" x14ac:dyDescent="0.25">
      <c r="A102" s="40">
        <f t="shared" si="3"/>
        <v>46350</v>
      </c>
      <c r="B102" s="31" t="s">
        <v>519</v>
      </c>
      <c r="C102" s="31" t="s">
        <v>126</v>
      </c>
      <c r="D102" s="31" t="s">
        <v>74</v>
      </c>
      <c r="E102" s="32">
        <v>20000</v>
      </c>
      <c r="F102" s="39">
        <v>109822</v>
      </c>
      <c r="G102" s="39">
        <v>109822</v>
      </c>
    </row>
    <row r="103" spans="1:7" x14ac:dyDescent="0.25">
      <c r="A103" s="40">
        <f t="shared" si="3"/>
        <v>46351</v>
      </c>
      <c r="B103" s="31" t="s">
        <v>520</v>
      </c>
      <c r="C103" s="31" t="s">
        <v>45</v>
      </c>
      <c r="D103" s="31" t="s">
        <v>57</v>
      </c>
      <c r="E103" s="32">
        <v>121474</v>
      </c>
      <c r="F103" s="39">
        <v>102296</v>
      </c>
      <c r="G103" s="39">
        <v>102296</v>
      </c>
    </row>
    <row r="104" spans="1:7" x14ac:dyDescent="0.25">
      <c r="A104" s="40">
        <f t="shared" si="3"/>
        <v>46352</v>
      </c>
      <c r="B104" s="31" t="s">
        <v>521</v>
      </c>
      <c r="C104" s="31" t="s">
        <v>80</v>
      </c>
      <c r="D104" s="31" t="s">
        <v>57</v>
      </c>
      <c r="E104" s="32">
        <v>69741</v>
      </c>
      <c r="F104" s="39">
        <v>109163</v>
      </c>
      <c r="G104" s="39">
        <v>109163</v>
      </c>
    </row>
    <row r="105" spans="1:7" ht="15.75" thickBot="1" x14ac:dyDescent="0.3">
      <c r="A105" s="41">
        <f t="shared" si="3"/>
        <v>46353</v>
      </c>
      <c r="B105" s="33" t="s">
        <v>522</v>
      </c>
      <c r="C105" s="33" t="s">
        <v>80</v>
      </c>
      <c r="D105" s="33" t="s">
        <v>87</v>
      </c>
      <c r="E105" s="34">
        <v>62760</v>
      </c>
      <c r="F105" s="42">
        <v>110686</v>
      </c>
      <c r="G105" s="42">
        <v>110686</v>
      </c>
    </row>
  </sheetData>
  <conditionalFormatting sqref="E2:E51">
    <cfRule type="cellIs" dxfId="55" priority="44" operator="equal">
      <formula>20000</formula>
    </cfRule>
    <cfRule type="cellIs" dxfId="54" priority="45" operator="between">
      <formula>50000</formula>
      <formula>100000</formula>
    </cfRule>
    <cfRule type="cellIs" dxfId="53" priority="46" operator="between">
      <formula>"Rs. 65,984"</formula>
      <formula>"Rs. 121,395"</formula>
    </cfRule>
    <cfRule type="cellIs" dxfId="52" priority="47" operator="lessThan">
      <formula>93689</formula>
    </cfRule>
    <cfRule type="cellIs" dxfId="51" priority="48" operator="greaterThan">
      <formula>93689</formula>
    </cfRule>
    <cfRule type="cellIs" dxfId="50" priority="49" operator="greaterThan">
      <formula>"Rs. 93,689"</formula>
    </cfRule>
  </conditionalFormatting>
  <conditionalFormatting sqref="B2:B53">
    <cfRule type="containsText" dxfId="49" priority="43" operator="containsText" text="Ayesha khan">
      <formula>NOT(ISERROR(SEARCH("Ayesha khan",B2)))</formula>
    </cfRule>
  </conditionalFormatting>
  <conditionalFormatting sqref="A3:A53">
    <cfRule type="timePeriod" dxfId="48" priority="41" timePeriod="yesterday">
      <formula>FLOOR(A3,1)=TODAY()-1</formula>
    </cfRule>
    <cfRule type="timePeriod" dxfId="47" priority="42" timePeriod="yesterday">
      <formula>FLOOR(A3,1)=TODAY()-1</formula>
    </cfRule>
  </conditionalFormatting>
  <conditionalFormatting sqref="A2:A53">
    <cfRule type="timePeriod" dxfId="46" priority="38" timePeriod="nextWeek">
      <formula>AND(ROUNDDOWN(A2,0)-TODAY()&gt;(7-WEEKDAY(TODAY())),ROUNDDOWN(A2,0)-TODAY()&lt;(15-WEEKDAY(TODAY())))</formula>
    </cfRule>
    <cfRule type="timePeriod" dxfId="45" priority="39" timePeriod="yesterday">
      <formula>FLOOR(A2,1)=TODAY()-1</formula>
    </cfRule>
    <cfRule type="timePeriod" dxfId="44" priority="40" timePeriod="today">
      <formula>FLOOR(A2,1)=TODAY()</formula>
    </cfRule>
  </conditionalFormatting>
  <conditionalFormatting sqref="F2:F53">
    <cfRule type="uniqueValues" dxfId="43" priority="36"/>
    <cfRule type="duplicateValues" dxfId="42" priority="37"/>
  </conditionalFormatting>
  <conditionalFormatting sqref="E55:E10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{7F8C0917-F716-4815-80C8-17E340D34EEB}</x14:id>
        </ext>
      </extLst>
    </cfRule>
  </conditionalFormatting>
  <conditionalFormatting sqref="F55:F10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max"/>
        <color rgb="FFFCFCFF"/>
        <color rgb="FFF8696B"/>
      </colorScale>
    </cfRule>
  </conditionalFormatting>
  <conditionalFormatting sqref="G55:G105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L1:P51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{45A858C1-08ED-480E-8A3A-69803BBFE72D}</x14:id>
        </ext>
      </extLst>
    </cfRule>
  </conditionalFormatting>
  <conditionalFormatting sqref="L1:P51">
    <cfRule type="iconSet" priority="5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8C0917-F716-4815-80C8-17E340D34E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E55:E105</xm:sqref>
        </x14:conditionalFormatting>
        <x14:conditionalFormatting xmlns:xm="http://schemas.microsoft.com/office/excel/2006/main">
          <x14:cfRule type="dataBar" id="{45A858C1-08ED-480E-8A3A-69803BBFE72D}">
            <x14:dataBar minLength="0" maxLength="100" negativeBarColorSameAsPositive="1" axisPosition="none">
              <x14:cfvo type="min"/>
              <x14:cfvo type="max"/>
            </x14:dataBar>
          </x14:cfRule>
          <xm:sqref>L1:P51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Formulaes</vt:lpstr>
      <vt:lpstr>Mark Sheet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ONEEB</cp:lastModifiedBy>
  <dcterms:created xsi:type="dcterms:W3CDTF">2026-10-09T15:26:40Z</dcterms:created>
  <dcterms:modified xsi:type="dcterms:W3CDTF">2026-10-11T17:51:39Z</dcterms:modified>
</cp:coreProperties>
</file>