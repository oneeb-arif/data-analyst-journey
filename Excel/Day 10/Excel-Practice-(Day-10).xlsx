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10\"/>
    </mc:Choice>
  </mc:AlternateContent>
  <xr:revisionPtr revIDLastSave="0" documentId="13_ncr:1_{1E27FCBC-5FFD-41BE-9D76-ECCFCCDA7538}" xr6:coauthVersionLast="47" xr6:coauthVersionMax="47" xr10:uidLastSave="{00000000-0000-0000-0000-000000000000}"/>
  <bookViews>
    <workbookView xWindow="-120" yWindow="-120" windowWidth="29040" windowHeight="16440" tabRatio="678" firstSheet="19" activeTab="20"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Sheet1" sheetId="18" r:id="rId11"/>
    <sheet name="Clear" sheetId="12" r:id="rId12"/>
    <sheet name="Cell Referencing" sheetId="13" r:id="rId13"/>
    <sheet name="Text Formulas Notes" sheetId="14" r:id="rId14"/>
    <sheet name="Text Formulas Practice" sheetId="15" r:id="rId15"/>
    <sheet name="Statistical Formulas Notes" sheetId="16" r:id="rId16"/>
    <sheet name="Statistical Formulas Practice" sheetId="17" r:id="rId17"/>
    <sheet name="Date &amp; Time Formulas Notes" sheetId="20" r:id="rId18"/>
    <sheet name="Date &amp; Time Practice" sheetId="21" r:id="rId19"/>
    <sheet name="Logical Formulaes Notes" sheetId="22" r:id="rId20"/>
    <sheet name="Logical Formulaes Practice" sheetId="23" r:id="rId21"/>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23" l="1"/>
  <c r="K5" i="23" s="1"/>
  <c r="O5" i="23" s="1" a="1"/>
  <c r="O5" i="23" s="1"/>
  <c r="J6" i="23"/>
  <c r="K6" i="23" s="1"/>
  <c r="M6" i="23" s="1" a="1"/>
  <c r="M6" i="23" s="1"/>
  <c r="P6" i="23" s="1" a="1"/>
  <c r="P6" i="23" s="1"/>
  <c r="J7" i="23"/>
  <c r="K7" i="23" s="1"/>
  <c r="Q7" i="23" s="1" a="1"/>
  <c r="Q7" i="23" s="1"/>
  <c r="J8" i="23"/>
  <c r="K8" i="23" s="1"/>
  <c r="Q8" i="23" s="1" a="1"/>
  <c r="Q8" i="23" s="1"/>
  <c r="J9" i="23"/>
  <c r="K9" i="23" s="1"/>
  <c r="Q9" i="23" s="1" a="1"/>
  <c r="Q9" i="23" s="1"/>
  <c r="J10" i="23"/>
  <c r="K10" i="23" s="1"/>
  <c r="Q10" i="23" s="1" a="1"/>
  <c r="Q10" i="23" s="1"/>
  <c r="J11" i="23"/>
  <c r="K11" i="23" s="1"/>
  <c r="O11" i="23" s="1" a="1"/>
  <c r="O11" i="23" s="1"/>
  <c r="J12" i="23"/>
  <c r="K12" i="23" s="1"/>
  <c r="Q12" i="23" s="1" a="1"/>
  <c r="Q12" i="23" s="1"/>
  <c r="J13" i="23"/>
  <c r="K13" i="23" s="1"/>
  <c r="O13" i="23" s="1" a="1"/>
  <c r="O13" i="23" s="1"/>
  <c r="J14" i="23"/>
  <c r="K14" i="23" s="1"/>
  <c r="M14" i="23" s="1" a="1"/>
  <c r="M14" i="23" s="1"/>
  <c r="P14" i="23" s="1" a="1"/>
  <c r="P14" i="23" s="1"/>
  <c r="J15" i="23"/>
  <c r="K15" i="23" s="1"/>
  <c r="Q15" i="23" s="1" a="1"/>
  <c r="Q15" i="23" s="1"/>
  <c r="J16" i="23"/>
  <c r="K16" i="23" s="1"/>
  <c r="O16" i="23" s="1" a="1"/>
  <c r="O16" i="23" s="1"/>
  <c r="J17" i="23"/>
  <c r="K17" i="23" s="1"/>
  <c r="Q17" i="23" s="1" a="1"/>
  <c r="Q17" i="23" s="1"/>
  <c r="J18" i="23"/>
  <c r="K18" i="23" s="1"/>
  <c r="Q18" i="23" s="1" a="1"/>
  <c r="Q18" i="23" s="1"/>
  <c r="J4" i="23"/>
  <c r="E25" i="23"/>
  <c r="F25" i="23" s="1"/>
  <c r="E26" i="23"/>
  <c r="F26" i="23" s="1"/>
  <c r="E27" i="23"/>
  <c r="H27" i="23" s="1"/>
  <c r="E28" i="23"/>
  <c r="I28" i="23" s="1"/>
  <c r="E29" i="23"/>
  <c r="H29" i="23" s="1"/>
  <c r="E30" i="23"/>
  <c r="I30" i="23" s="1"/>
  <c r="E31" i="23"/>
  <c r="G31" i="23" s="1"/>
  <c r="E32" i="23"/>
  <c r="G32" i="23" s="1"/>
  <c r="E33" i="23"/>
  <c r="F33" i="23" s="1"/>
  <c r="E34" i="23"/>
  <c r="F34" i="23" s="1"/>
  <c r="E35" i="23"/>
  <c r="I35" i="23" s="1"/>
  <c r="E36" i="23"/>
  <c r="I36" i="23" s="1"/>
  <c r="E37" i="23"/>
  <c r="H37" i="23" s="1"/>
  <c r="E38" i="23"/>
  <c r="I38" i="23" s="1"/>
  <c r="E24" i="23"/>
  <c r="I24" i="23" s="1"/>
  <c r="N11" i="23" l="1" a="1"/>
  <c r="N11" i="23" s="1"/>
  <c r="N10" i="23" a="1"/>
  <c r="N10" i="23" s="1"/>
  <c r="N5" i="23" a="1"/>
  <c r="N5" i="23" s="1"/>
  <c r="N18" i="23" a="1"/>
  <c r="N18" i="23" s="1"/>
  <c r="N13" i="23" a="1"/>
  <c r="N13" i="23" s="1"/>
  <c r="N7" i="23" a="1"/>
  <c r="N7" i="23" s="1"/>
  <c r="N17" i="23" a="1"/>
  <c r="N17" i="23" s="1"/>
  <c r="N16" i="23" a="1"/>
  <c r="N16" i="23" s="1"/>
  <c r="N9" i="23" a="1"/>
  <c r="N9" i="23" s="1"/>
  <c r="N8" i="23" a="1"/>
  <c r="N8" i="23" s="1"/>
  <c r="N12" i="23" a="1"/>
  <c r="N12" i="23" s="1"/>
  <c r="N6" i="23" a="1"/>
  <c r="N6" i="23" s="1"/>
  <c r="N15" i="23" a="1"/>
  <c r="N15" i="23" s="1"/>
  <c r="N14" i="23" a="1"/>
  <c r="N14" i="23" s="1"/>
  <c r="O15" i="23" a="1"/>
  <c r="O15" i="23" s="1"/>
  <c r="M5" i="23" a="1"/>
  <c r="M5" i="23" s="1"/>
  <c r="P5" i="23" s="1" a="1"/>
  <c r="P5" i="23" s="1"/>
  <c r="M16" i="23" a="1"/>
  <c r="M16" i="23" s="1"/>
  <c r="P16" i="23" s="1" a="1"/>
  <c r="P16" i="23" s="1"/>
  <c r="M15" i="23" a="1"/>
  <c r="M15" i="23" s="1"/>
  <c r="P15" i="23" s="1" a="1"/>
  <c r="P15" i="23" s="1"/>
  <c r="O12" i="23" a="1"/>
  <c r="O12" i="23" s="1"/>
  <c r="M13" i="23" a="1"/>
  <c r="M13" i="23" s="1"/>
  <c r="P13" i="23" s="1" a="1"/>
  <c r="P13" i="23" s="1"/>
  <c r="M12" i="23" a="1"/>
  <c r="M12" i="23" s="1"/>
  <c r="P12" i="23" s="1" a="1"/>
  <c r="P12" i="23" s="1"/>
  <c r="O10" i="23" a="1"/>
  <c r="O10" i="23" s="1"/>
  <c r="M8" i="23" a="1"/>
  <c r="M8" i="23" s="1"/>
  <c r="P8" i="23" s="1" a="1"/>
  <c r="P8" i="23" s="1"/>
  <c r="O8" i="23" a="1"/>
  <c r="O8" i="23" s="1"/>
  <c r="M7" i="23" a="1"/>
  <c r="M7" i="23" s="1"/>
  <c r="P7" i="23" s="1" a="1"/>
  <c r="P7" i="23" s="1"/>
  <c r="O7" i="23" a="1"/>
  <c r="O7" i="23" s="1"/>
  <c r="Q14" i="23" a="1"/>
  <c r="Q14" i="23" s="1"/>
  <c r="Q6" i="23" a="1"/>
  <c r="Q6" i="23" s="1"/>
  <c r="Q5" i="23" a="1"/>
  <c r="Q5" i="23" s="1"/>
  <c r="M11" i="23" a="1"/>
  <c r="M11" i="23" s="1"/>
  <c r="P11" i="23" s="1" a="1"/>
  <c r="P11" i="23" s="1"/>
  <c r="O14" i="23" a="1"/>
  <c r="O14" i="23" s="1"/>
  <c r="O17" i="23" a="1"/>
  <c r="O17" i="23" s="1"/>
  <c r="Q13" i="23" a="1"/>
  <c r="Q13" i="23" s="1"/>
  <c r="M18" i="23" a="1"/>
  <c r="M18" i="23" s="1"/>
  <c r="P18" i="23" s="1" a="1"/>
  <c r="P18" i="23" s="1"/>
  <c r="M10" i="23" a="1"/>
  <c r="M10" i="23" s="1"/>
  <c r="P10" i="23" s="1" a="1"/>
  <c r="P10" i="23" s="1"/>
  <c r="O18" i="23" a="1"/>
  <c r="O18" i="23" s="1"/>
  <c r="O9" i="23" a="1"/>
  <c r="O9" i="23" s="1"/>
  <c r="Q11" i="23" a="1"/>
  <c r="Q11" i="23" s="1"/>
  <c r="O6" i="23" a="1"/>
  <c r="O6" i="23" s="1"/>
  <c r="M17" i="23" a="1"/>
  <c r="M17" i="23" s="1"/>
  <c r="P17" i="23" s="1" a="1"/>
  <c r="P17" i="23" s="1"/>
  <c r="M9" i="23" a="1"/>
  <c r="M9" i="23" s="1"/>
  <c r="P9" i="23" s="1" a="1"/>
  <c r="P9" i="23" s="1"/>
  <c r="Q16" i="23" a="1"/>
  <c r="Q16" i="23" s="1"/>
  <c r="L13" i="23"/>
  <c r="L12" i="23"/>
  <c r="L18" i="23"/>
  <c r="L6" i="23"/>
  <c r="L11" i="23"/>
  <c r="L10" i="23"/>
  <c r="L9" i="23"/>
  <c r="L15" i="23"/>
  <c r="L7" i="23"/>
  <c r="L16" i="23"/>
  <c r="L14" i="23"/>
  <c r="F27" i="23"/>
  <c r="H36" i="23"/>
  <c r="G38" i="23"/>
  <c r="G28" i="23"/>
  <c r="G27" i="23"/>
  <c r="I27" i="23"/>
  <c r="F37" i="23"/>
  <c r="F28" i="23"/>
  <c r="F36" i="23"/>
  <c r="G37" i="23"/>
  <c r="H35" i="23"/>
  <c r="F35" i="23"/>
  <c r="G36" i="23"/>
  <c r="H28" i="23"/>
  <c r="F32" i="23"/>
  <c r="G35" i="23"/>
  <c r="F31" i="23"/>
  <c r="G30" i="23"/>
  <c r="F29" i="23"/>
  <c r="G29" i="23"/>
  <c r="I32" i="23"/>
  <c r="H24" i="23"/>
  <c r="I34" i="23"/>
  <c r="I26" i="23"/>
  <c r="F24" i="23"/>
  <c r="F38" i="23"/>
  <c r="F30" i="23"/>
  <c r="H34" i="23"/>
  <c r="H26" i="23"/>
  <c r="I33" i="23"/>
  <c r="I25" i="23"/>
  <c r="H33" i="23"/>
  <c r="G34" i="23"/>
  <c r="G26" i="23"/>
  <c r="H32" i="23"/>
  <c r="I31" i="23"/>
  <c r="H25" i="23"/>
  <c r="G25" i="23"/>
  <c r="H38" i="23"/>
  <c r="H30" i="23"/>
  <c r="I37" i="23"/>
  <c r="I29" i="23"/>
  <c r="G33" i="23"/>
  <c r="H31" i="23"/>
  <c r="G24" i="23"/>
  <c r="L5" i="23"/>
  <c r="L8" i="23"/>
  <c r="L17" i="23"/>
  <c r="K4" i="23"/>
  <c r="N4" i="23" s="1" a="1"/>
  <c r="N4" i="23" s="1"/>
  <c r="D6" i="21"/>
  <c r="D5" i="21"/>
  <c r="C120" i="21"/>
  <c r="D120" i="21" s="1"/>
  <c r="C119" i="21"/>
  <c r="D119" i="21" s="1"/>
  <c r="F99" i="21"/>
  <c r="F100" i="21"/>
  <c r="F101" i="21"/>
  <c r="F102" i="21"/>
  <c r="F103" i="21"/>
  <c r="F104" i="21"/>
  <c r="F105" i="21"/>
  <c r="F106" i="21"/>
  <c r="F107" i="21"/>
  <c r="F108" i="21"/>
  <c r="F109" i="21"/>
  <c r="F110" i="21"/>
  <c r="F111" i="21"/>
  <c r="F112" i="21"/>
  <c r="F113" i="21"/>
  <c r="F114" i="21"/>
  <c r="F115" i="21"/>
  <c r="F98" i="21"/>
  <c r="E98" i="21"/>
  <c r="E99" i="21"/>
  <c r="E100" i="21"/>
  <c r="E101" i="21"/>
  <c r="E102" i="21"/>
  <c r="E103" i="21"/>
  <c r="E104" i="21"/>
  <c r="E105" i="21"/>
  <c r="E106" i="21"/>
  <c r="E107" i="21"/>
  <c r="E108" i="21"/>
  <c r="E109" i="21"/>
  <c r="E110" i="21"/>
  <c r="E111" i="21"/>
  <c r="E112" i="21"/>
  <c r="E113" i="21"/>
  <c r="E114" i="21"/>
  <c r="E115" i="21"/>
  <c r="D99" i="21"/>
  <c r="D100" i="21"/>
  <c r="D101" i="21"/>
  <c r="D102" i="21"/>
  <c r="D103" i="21"/>
  <c r="D104" i="21"/>
  <c r="D105" i="21"/>
  <c r="D106" i="21"/>
  <c r="D107" i="21"/>
  <c r="D108" i="21"/>
  <c r="D109" i="21"/>
  <c r="D110" i="21"/>
  <c r="D111" i="21"/>
  <c r="D112" i="21"/>
  <c r="D113" i="21"/>
  <c r="D114" i="21"/>
  <c r="D115" i="21"/>
  <c r="D98" i="21"/>
  <c r="G79" i="21"/>
  <c r="G78" i="21"/>
  <c r="F78" i="21"/>
  <c r="F79" i="21"/>
  <c r="F80" i="21"/>
  <c r="F81" i="21"/>
  <c r="F82" i="21"/>
  <c r="F83" i="21"/>
  <c r="F84" i="21"/>
  <c r="F85" i="21"/>
  <c r="F86" i="21"/>
  <c r="F87" i="21"/>
  <c r="F88" i="21"/>
  <c r="F89" i="21"/>
  <c r="F90" i="21"/>
  <c r="F91" i="21"/>
  <c r="F92" i="21"/>
  <c r="F93" i="21"/>
  <c r="F94" i="21"/>
  <c r="F77" i="21"/>
  <c r="G80" i="21"/>
  <c r="G81" i="21"/>
  <c r="G82" i="21"/>
  <c r="G83" i="21"/>
  <c r="G84" i="21"/>
  <c r="G85" i="21"/>
  <c r="G86" i="21"/>
  <c r="G87" i="21"/>
  <c r="G88" i="21"/>
  <c r="G89" i="21"/>
  <c r="G90" i="21"/>
  <c r="G91" i="21"/>
  <c r="G92" i="21"/>
  <c r="G93" i="21"/>
  <c r="G94" i="21"/>
  <c r="G77" i="21"/>
  <c r="E77" i="21"/>
  <c r="E78" i="21"/>
  <c r="E79" i="21"/>
  <c r="E80" i="21"/>
  <c r="E81" i="21"/>
  <c r="E82" i="21"/>
  <c r="E83" i="21"/>
  <c r="E84" i="21"/>
  <c r="E85" i="21"/>
  <c r="E86" i="21"/>
  <c r="E87" i="21"/>
  <c r="E88" i="21"/>
  <c r="E89" i="21"/>
  <c r="E90" i="21"/>
  <c r="E91" i="21"/>
  <c r="E92" i="21"/>
  <c r="E93" i="21"/>
  <c r="E94" i="21"/>
  <c r="D78" i="21"/>
  <c r="D79" i="21"/>
  <c r="D80" i="21"/>
  <c r="D81" i="21"/>
  <c r="D82" i="21"/>
  <c r="D83" i="21"/>
  <c r="D84" i="21"/>
  <c r="D85" i="21"/>
  <c r="D86" i="21"/>
  <c r="D87" i="21"/>
  <c r="D88" i="21"/>
  <c r="D89" i="21"/>
  <c r="D90" i="21"/>
  <c r="D91" i="21"/>
  <c r="D92" i="21"/>
  <c r="D93" i="21"/>
  <c r="D94" i="21"/>
  <c r="D77" i="21"/>
  <c r="E55" i="21"/>
  <c r="E56" i="21"/>
  <c r="E57" i="21"/>
  <c r="E58" i="21"/>
  <c r="E59" i="21"/>
  <c r="E60" i="21"/>
  <c r="E61" i="21"/>
  <c r="E62" i="21"/>
  <c r="E63" i="21"/>
  <c r="E64" i="21"/>
  <c r="E65" i="21"/>
  <c r="E66" i="21"/>
  <c r="E67" i="21"/>
  <c r="E68" i="21"/>
  <c r="E69" i="21"/>
  <c r="E70" i="21"/>
  <c r="E71" i="21"/>
  <c r="E54" i="21"/>
  <c r="I55" i="21"/>
  <c r="I56" i="21"/>
  <c r="I57" i="21"/>
  <c r="I58" i="21"/>
  <c r="I59" i="21"/>
  <c r="I60" i="21"/>
  <c r="I61" i="21"/>
  <c r="I62" i="21"/>
  <c r="I63" i="21"/>
  <c r="I64" i="21"/>
  <c r="I65" i="21"/>
  <c r="I66" i="21"/>
  <c r="I67" i="21"/>
  <c r="I68" i="21"/>
  <c r="I69" i="21"/>
  <c r="I70" i="21"/>
  <c r="I71" i="21"/>
  <c r="I54" i="21"/>
  <c r="D55" i="21"/>
  <c r="D56" i="21"/>
  <c r="D57" i="21"/>
  <c r="D58" i="21"/>
  <c r="D59" i="21"/>
  <c r="D60" i="21"/>
  <c r="D61" i="21"/>
  <c r="D62" i="21"/>
  <c r="D63" i="21"/>
  <c r="D64" i="21"/>
  <c r="D65" i="21"/>
  <c r="D66" i="21"/>
  <c r="D67" i="21"/>
  <c r="D68" i="21"/>
  <c r="D69" i="21"/>
  <c r="D70" i="21"/>
  <c r="D71" i="21"/>
  <c r="H55" i="21"/>
  <c r="H56" i="21"/>
  <c r="H57" i="21"/>
  <c r="H58" i="21"/>
  <c r="H59" i="21"/>
  <c r="H60" i="21"/>
  <c r="H61" i="21"/>
  <c r="H62" i="21"/>
  <c r="H63" i="21"/>
  <c r="H64" i="21"/>
  <c r="H65" i="21"/>
  <c r="H66" i="21"/>
  <c r="H67" i="21"/>
  <c r="H68" i="21"/>
  <c r="H69" i="21"/>
  <c r="H70" i="21"/>
  <c r="H71" i="21"/>
  <c r="D54" i="21"/>
  <c r="H54" i="21"/>
  <c r="G54" i="21"/>
  <c r="G55" i="21"/>
  <c r="G56" i="21"/>
  <c r="G57" i="21"/>
  <c r="G58" i="21"/>
  <c r="G59" i="21"/>
  <c r="G60" i="21"/>
  <c r="G61" i="21"/>
  <c r="G62" i="21"/>
  <c r="G63" i="21"/>
  <c r="G64" i="21"/>
  <c r="G65" i="21"/>
  <c r="G66" i="21"/>
  <c r="G67" i="21"/>
  <c r="G68" i="21"/>
  <c r="G69" i="21"/>
  <c r="G70" i="21"/>
  <c r="G71" i="21"/>
  <c r="F54" i="21"/>
  <c r="F55" i="21"/>
  <c r="F56" i="21"/>
  <c r="F57" i="21"/>
  <c r="F58" i="21"/>
  <c r="F59" i="21"/>
  <c r="F60" i="21"/>
  <c r="F61" i="21"/>
  <c r="F62" i="21"/>
  <c r="F63" i="21"/>
  <c r="F64" i="21"/>
  <c r="F65" i="21"/>
  <c r="F66" i="21"/>
  <c r="F67" i="21"/>
  <c r="F68" i="21"/>
  <c r="F69" i="21"/>
  <c r="F70" i="21"/>
  <c r="F71" i="21"/>
  <c r="F33" i="21"/>
  <c r="F34" i="21"/>
  <c r="F35" i="21"/>
  <c r="F36" i="21"/>
  <c r="F37" i="21"/>
  <c r="F38" i="21"/>
  <c r="F39" i="21"/>
  <c r="F40" i="21"/>
  <c r="F41" i="21"/>
  <c r="F42" i="21"/>
  <c r="F43" i="21"/>
  <c r="F44" i="21"/>
  <c r="F45" i="21"/>
  <c r="F46" i="21"/>
  <c r="F47" i="21"/>
  <c r="F48" i="21"/>
  <c r="F49" i="21"/>
  <c r="F32" i="21"/>
  <c r="B33" i="21"/>
  <c r="C33" i="21" s="1"/>
  <c r="B34" i="21"/>
  <c r="C34" i="21" s="1"/>
  <c r="B35" i="21"/>
  <c r="C35" i="21" s="1"/>
  <c r="B36" i="21"/>
  <c r="C36" i="21" s="1"/>
  <c r="B37" i="21"/>
  <c r="C37" i="21" s="1"/>
  <c r="B38" i="21"/>
  <c r="C38" i="21" s="1"/>
  <c r="B39" i="21"/>
  <c r="C39" i="21" s="1"/>
  <c r="B40" i="21"/>
  <c r="C40" i="21" s="1"/>
  <c r="B41" i="21"/>
  <c r="C41" i="21" s="1"/>
  <c r="B42" i="21"/>
  <c r="C42" i="21" s="1"/>
  <c r="B43" i="21"/>
  <c r="C43" i="21" s="1"/>
  <c r="B44" i="21"/>
  <c r="C44" i="21" s="1"/>
  <c r="B45" i="21"/>
  <c r="C45" i="21" s="1"/>
  <c r="B46" i="21"/>
  <c r="C46" i="21" s="1"/>
  <c r="B47" i="21"/>
  <c r="C47" i="21" s="1"/>
  <c r="B48" i="21"/>
  <c r="C48" i="21" s="1"/>
  <c r="B49" i="21"/>
  <c r="C49" i="21" s="1"/>
  <c r="B32" i="21"/>
  <c r="C32" i="21" s="1"/>
  <c r="F11" i="21"/>
  <c r="F12" i="21"/>
  <c r="F13" i="21"/>
  <c r="F14" i="21"/>
  <c r="F15" i="21"/>
  <c r="F16" i="21"/>
  <c r="F17" i="21"/>
  <c r="F18" i="21"/>
  <c r="F19" i="21"/>
  <c r="F20" i="21"/>
  <c r="F21" i="21"/>
  <c r="F22" i="21"/>
  <c r="F23" i="21"/>
  <c r="F24" i="21"/>
  <c r="F25" i="21"/>
  <c r="F26" i="21"/>
  <c r="F27" i="21"/>
  <c r="F10" i="21"/>
  <c r="E11" i="21"/>
  <c r="E12" i="21"/>
  <c r="E13" i="21"/>
  <c r="E14" i="21"/>
  <c r="E15" i="21"/>
  <c r="E16" i="21"/>
  <c r="E17" i="21"/>
  <c r="E18" i="21"/>
  <c r="E19" i="21"/>
  <c r="E20" i="21"/>
  <c r="E21" i="21"/>
  <c r="E22" i="21"/>
  <c r="E23" i="21"/>
  <c r="E24" i="21"/>
  <c r="E25" i="21"/>
  <c r="E26" i="21"/>
  <c r="E27" i="21"/>
  <c r="E10" i="21"/>
  <c r="D15" i="21"/>
  <c r="D16" i="21"/>
  <c r="D17" i="21"/>
  <c r="D18" i="21"/>
  <c r="D19" i="21"/>
  <c r="D20" i="21"/>
  <c r="D21" i="21"/>
  <c r="D22" i="21"/>
  <c r="D23" i="21"/>
  <c r="D24" i="21"/>
  <c r="D25" i="21"/>
  <c r="D26" i="21"/>
  <c r="D27" i="21"/>
  <c r="D14" i="21"/>
  <c r="D11" i="21"/>
  <c r="D12" i="21"/>
  <c r="D13" i="21"/>
  <c r="D10" i="21"/>
  <c r="C11" i="21"/>
  <c r="C12" i="21"/>
  <c r="C13" i="21"/>
  <c r="C14" i="21"/>
  <c r="C15" i="21"/>
  <c r="C16" i="21"/>
  <c r="C17" i="21"/>
  <c r="C18" i="21"/>
  <c r="C19" i="21"/>
  <c r="C20" i="21"/>
  <c r="C21" i="21"/>
  <c r="C22" i="21"/>
  <c r="C23" i="21"/>
  <c r="C24" i="21"/>
  <c r="C25" i="21"/>
  <c r="C26" i="21"/>
  <c r="C27" i="21"/>
  <c r="C10" i="21"/>
  <c r="D4" i="21"/>
  <c r="P48" i="17"/>
  <c r="P49" i="17"/>
  <c r="P50" i="17"/>
  <c r="P51" i="17"/>
  <c r="P52" i="17"/>
  <c r="P53" i="17"/>
  <c r="P54" i="17"/>
  <c r="P55" i="17"/>
  <c r="P56" i="17"/>
  <c r="P47" i="17"/>
  <c r="O48" i="17"/>
  <c r="O49" i="17"/>
  <c r="O50" i="17"/>
  <c r="O51" i="17"/>
  <c r="O52" i="17"/>
  <c r="O53" i="17"/>
  <c r="O54" i="17"/>
  <c r="O55" i="17"/>
  <c r="O56" i="17"/>
  <c r="O47" i="17"/>
  <c r="N48" i="17"/>
  <c r="N49" i="17"/>
  <c r="N50" i="17"/>
  <c r="N51" i="17"/>
  <c r="N52" i="17"/>
  <c r="N53" i="17"/>
  <c r="N54" i="17"/>
  <c r="N55" i="17"/>
  <c r="N56" i="17"/>
  <c r="N47" i="17"/>
  <c r="M48" i="17"/>
  <c r="M49" i="17"/>
  <c r="M50" i="17"/>
  <c r="M51" i="17"/>
  <c r="M52" i="17"/>
  <c r="M53" i="17"/>
  <c r="M54" i="17"/>
  <c r="M55" i="17"/>
  <c r="M56" i="17"/>
  <c r="M47" i="17"/>
  <c r="L48" i="17"/>
  <c r="L49" i="17"/>
  <c r="L50" i="17"/>
  <c r="L51" i="17"/>
  <c r="L52" i="17"/>
  <c r="L53" i="17"/>
  <c r="L54" i="17"/>
  <c r="L55" i="17"/>
  <c r="L56" i="17"/>
  <c r="L47" i="17"/>
  <c r="N34" i="17"/>
  <c r="N35" i="17"/>
  <c r="N36" i="17"/>
  <c r="N37" i="17"/>
  <c r="N38" i="17"/>
  <c r="N39" i="17"/>
  <c r="N40" i="17"/>
  <c r="N41" i="17"/>
  <c r="N42" i="17"/>
  <c r="N33" i="17"/>
  <c r="M34" i="17"/>
  <c r="M35" i="17"/>
  <c r="M36" i="17"/>
  <c r="M37" i="17"/>
  <c r="M38" i="17"/>
  <c r="M39" i="17"/>
  <c r="M40" i="17"/>
  <c r="M41" i="17"/>
  <c r="M42" i="17"/>
  <c r="M33" i="17"/>
  <c r="L34" i="17"/>
  <c r="L35" i="17"/>
  <c r="L36" i="17"/>
  <c r="L37" i="17"/>
  <c r="L38" i="17"/>
  <c r="L39" i="17"/>
  <c r="L40" i="17"/>
  <c r="L41" i="17"/>
  <c r="L42" i="17"/>
  <c r="L33" i="17"/>
  <c r="M20" i="17"/>
  <c r="M21" i="17"/>
  <c r="M22" i="17"/>
  <c r="M23" i="17"/>
  <c r="M24" i="17"/>
  <c r="M25" i="17"/>
  <c r="M26" i="17"/>
  <c r="M27" i="17"/>
  <c r="M28" i="17"/>
  <c r="M19" i="17"/>
  <c r="L20" i="17"/>
  <c r="L21" i="17"/>
  <c r="L22" i="17"/>
  <c r="L23" i="17"/>
  <c r="L24" i="17"/>
  <c r="L25" i="17"/>
  <c r="L26" i="17"/>
  <c r="L27" i="17"/>
  <c r="L28" i="17"/>
  <c r="L19" i="17"/>
  <c r="H20" i="17"/>
  <c r="H21" i="17"/>
  <c r="H22" i="17"/>
  <c r="H23" i="17"/>
  <c r="H24" i="17"/>
  <c r="H25" i="17"/>
  <c r="H26" i="17"/>
  <c r="H27" i="17"/>
  <c r="H28" i="17"/>
  <c r="H19" i="17"/>
  <c r="H33" i="17"/>
  <c r="H34" i="17"/>
  <c r="H35" i="17"/>
  <c r="H36" i="17"/>
  <c r="H37" i="17"/>
  <c r="H38" i="17"/>
  <c r="H39" i="17"/>
  <c r="H40" i="17"/>
  <c r="H41" i="17"/>
  <c r="H32" i="17"/>
  <c r="H6" i="17"/>
  <c r="H7" i="17"/>
  <c r="H8" i="17"/>
  <c r="H9" i="17"/>
  <c r="H10" i="17"/>
  <c r="H11" i="17"/>
  <c r="H12" i="17"/>
  <c r="H13" i="17"/>
  <c r="H14" i="17"/>
  <c r="H5" i="17"/>
  <c r="H45" i="17" a="1"/>
  <c r="H45" i="17" s="1"/>
  <c r="B31" i="17" a="1"/>
  <c r="B31" i="17" s="1"/>
  <c r="B1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4" i="17"/>
  <c r="C4" i="17"/>
  <c r="D4" i="17"/>
  <c r="B5" i="17"/>
  <c r="C5" i="17"/>
  <c r="D5" i="17"/>
  <c r="B6" i="17"/>
  <c r="C6" i="17"/>
  <c r="D6" i="17"/>
  <c r="B7" i="17"/>
  <c r="C7" i="17"/>
  <c r="D7" i="17"/>
  <c r="B8" i="17"/>
  <c r="C8" i="17"/>
  <c r="D8" i="17"/>
  <c r="B9" i="17"/>
  <c r="C9" i="17"/>
  <c r="D9" i="17"/>
  <c r="B10" i="17"/>
  <c r="C10" i="17"/>
  <c r="D10" i="17"/>
  <c r="B11" i="17"/>
  <c r="C11" i="17"/>
  <c r="D11" i="17"/>
  <c r="B12" i="17"/>
  <c r="C12" i="17"/>
  <c r="D12" i="17"/>
  <c r="B13" i="17"/>
  <c r="C13" i="17"/>
  <c r="D13" i="17"/>
  <c r="J98" i="15"/>
  <c r="G98" i="15"/>
  <c r="J92" i="15"/>
  <c r="G92" i="15"/>
  <c r="D93" i="15"/>
  <c r="D94" i="15"/>
  <c r="D95" i="15"/>
  <c r="D96" i="15"/>
  <c r="D97" i="15"/>
  <c r="D98" i="15"/>
  <c r="D99" i="15"/>
  <c r="D100" i="15"/>
  <c r="D92" i="15"/>
  <c r="C92" i="15"/>
  <c r="C93" i="15"/>
  <c r="C94" i="15"/>
  <c r="C95" i="15"/>
  <c r="C96" i="15"/>
  <c r="C97" i="15"/>
  <c r="C98" i="15"/>
  <c r="C99" i="15"/>
  <c r="C100" i="15"/>
  <c r="C78" i="15"/>
  <c r="C79" i="15"/>
  <c r="C80" i="15"/>
  <c r="C81" i="15"/>
  <c r="C82" i="15"/>
  <c r="C83" i="15"/>
  <c r="C84" i="15"/>
  <c r="C85" i="15"/>
  <c r="C77" i="15"/>
  <c r="I77" i="15"/>
  <c r="I78" i="15"/>
  <c r="I79" i="15"/>
  <c r="I80" i="15"/>
  <c r="I81" i="15"/>
  <c r="I82" i="15"/>
  <c r="I83" i="15"/>
  <c r="I84" i="15"/>
  <c r="I85" i="15"/>
  <c r="L78" i="15"/>
  <c r="L79" i="15"/>
  <c r="L80" i="15"/>
  <c r="L81" i="15"/>
  <c r="L82" i="15"/>
  <c r="L83" i="15"/>
  <c r="L84" i="15"/>
  <c r="L85" i="15"/>
  <c r="L77" i="15"/>
  <c r="F81" i="15"/>
  <c r="F78" i="15"/>
  <c r="F79" i="15"/>
  <c r="F80" i="15"/>
  <c r="F82" i="15"/>
  <c r="F83" i="15"/>
  <c r="F84" i="15"/>
  <c r="F85" i="15"/>
  <c r="F77" i="15"/>
  <c r="Y48" i="15"/>
  <c r="Y49" i="15"/>
  <c r="Y50" i="15"/>
  <c r="Y51" i="15"/>
  <c r="Y52" i="15"/>
  <c r="Y53" i="15"/>
  <c r="Y54" i="15"/>
  <c r="Y55" i="15"/>
  <c r="Y56" i="15"/>
  <c r="Y47" i="15"/>
  <c r="U47" i="15"/>
  <c r="M47" i="15"/>
  <c r="M48" i="15"/>
  <c r="M49" i="15"/>
  <c r="M50" i="15"/>
  <c r="M51" i="15"/>
  <c r="M52" i="15"/>
  <c r="M53" i="15"/>
  <c r="M54" i="15"/>
  <c r="M55" i="15"/>
  <c r="M56" i="15"/>
  <c r="U48" i="15"/>
  <c r="U49" i="15"/>
  <c r="U50" i="15"/>
  <c r="U51" i="15"/>
  <c r="U52" i="15"/>
  <c r="U53" i="15"/>
  <c r="U54" i="15"/>
  <c r="U55" i="15"/>
  <c r="U56" i="15"/>
  <c r="Q48" i="15"/>
  <c r="Q49" i="15"/>
  <c r="Q50" i="15"/>
  <c r="Q51" i="15"/>
  <c r="Q52" i="15"/>
  <c r="Q53" i="15"/>
  <c r="Q54" i="15"/>
  <c r="Q55" i="15"/>
  <c r="Q56" i="15"/>
  <c r="Q47" i="15"/>
  <c r="I35" i="15"/>
  <c r="I36" i="15"/>
  <c r="I37" i="15"/>
  <c r="I38" i="15"/>
  <c r="I39" i="15"/>
  <c r="I40" i="15"/>
  <c r="I41" i="15"/>
  <c r="I42" i="15"/>
  <c r="I34" i="15"/>
  <c r="F35" i="15"/>
  <c r="F36" i="15"/>
  <c r="F37" i="15"/>
  <c r="F38" i="15"/>
  <c r="F39" i="15"/>
  <c r="F40" i="15"/>
  <c r="F41" i="15"/>
  <c r="F42" i="15"/>
  <c r="F34" i="15"/>
  <c r="C35" i="15"/>
  <c r="C36" i="15"/>
  <c r="C37" i="15"/>
  <c r="C38" i="15"/>
  <c r="C39" i="15"/>
  <c r="C40" i="15"/>
  <c r="C41" i="15"/>
  <c r="C42" i="15"/>
  <c r="C34" i="15"/>
  <c r="F19" i="15"/>
  <c r="F20" i="15"/>
  <c r="F21" i="15"/>
  <c r="F22" i="15"/>
  <c r="F23" i="15"/>
  <c r="F24" i="15"/>
  <c r="F25" i="15"/>
  <c r="F26" i="15"/>
  <c r="F18" i="15"/>
  <c r="C19" i="15"/>
  <c r="C20" i="15"/>
  <c r="C21" i="15"/>
  <c r="C22" i="15"/>
  <c r="C23" i="15"/>
  <c r="C24" i="15"/>
  <c r="C25" i="15"/>
  <c r="C26" i="15"/>
  <c r="C18" i="15"/>
  <c r="I5" i="15"/>
  <c r="I6" i="15"/>
  <c r="I7" i="15"/>
  <c r="I8" i="15"/>
  <c r="I9" i="15"/>
  <c r="I10" i="15"/>
  <c r="I11" i="15"/>
  <c r="I12" i="15"/>
  <c r="I4" i="15"/>
  <c r="F5" i="15"/>
  <c r="F6" i="15"/>
  <c r="F7" i="15"/>
  <c r="F8" i="15"/>
  <c r="F9" i="15"/>
  <c r="F10" i="15"/>
  <c r="F11" i="15"/>
  <c r="F12" i="15"/>
  <c r="F4" i="15"/>
  <c r="C4" i="15"/>
  <c r="C5" i="15"/>
  <c r="C6" i="15"/>
  <c r="C7" i="15"/>
  <c r="C8" i="15"/>
  <c r="C9" i="15"/>
  <c r="C10" i="15"/>
  <c r="C11" i="15"/>
  <c r="C12" i="15"/>
  <c r="H41" i="13"/>
  <c r="H40" i="13"/>
  <c r="H39" i="13"/>
  <c r="H38" i="13"/>
  <c r="I38" i="13" s="1"/>
  <c r="H37" i="13"/>
  <c r="H36" i="13"/>
  <c r="I36" i="13" s="1"/>
  <c r="H35" i="13"/>
  <c r="I35" i="13" s="1"/>
  <c r="H34" i="13"/>
  <c r="I34" i="13" s="1"/>
  <c r="H33" i="13"/>
  <c r="I33" i="13" s="1"/>
  <c r="H32" i="13"/>
  <c r="I32" i="13" s="1"/>
  <c r="H31" i="13"/>
  <c r="I31" i="13" s="1"/>
  <c r="H30" i="13"/>
  <c r="I30" i="13" s="1"/>
  <c r="H29" i="13"/>
  <c r="I29" i="13" s="1"/>
  <c r="H28" i="13"/>
  <c r="I28" i="13" s="1"/>
  <c r="H27" i="13"/>
  <c r="I27" i="13" s="1"/>
  <c r="I5" i="13"/>
  <c r="J6" i="13"/>
  <c r="J5" i="13"/>
  <c r="K6" i="13"/>
  <c r="L6" i="13"/>
  <c r="M6" i="13"/>
  <c r="J7" i="13"/>
  <c r="K7" i="13"/>
  <c r="L7" i="13"/>
  <c r="M7" i="13"/>
  <c r="J8" i="13"/>
  <c r="K8" i="13"/>
  <c r="L8" i="13"/>
  <c r="M8" i="13"/>
  <c r="J9" i="13"/>
  <c r="K9" i="13"/>
  <c r="L9" i="13"/>
  <c r="M9" i="13"/>
  <c r="J10" i="13"/>
  <c r="K10" i="13"/>
  <c r="L10" i="13"/>
  <c r="M10" i="13"/>
  <c r="J11" i="13"/>
  <c r="K11" i="13"/>
  <c r="L11" i="13"/>
  <c r="M11" i="13"/>
  <c r="J12" i="13"/>
  <c r="K12" i="13"/>
  <c r="L12" i="13"/>
  <c r="M12" i="13"/>
  <c r="J13" i="13"/>
  <c r="K13" i="13"/>
  <c r="L13" i="13"/>
  <c r="M13" i="13"/>
  <c r="J14" i="13"/>
  <c r="K14" i="13"/>
  <c r="L14" i="13"/>
  <c r="M14" i="13"/>
  <c r="J15" i="13"/>
  <c r="K15" i="13"/>
  <c r="L15" i="13"/>
  <c r="M15" i="13"/>
  <c r="J16" i="13"/>
  <c r="K16" i="13"/>
  <c r="L16" i="13"/>
  <c r="M16" i="13"/>
  <c r="J17" i="13"/>
  <c r="K17" i="13"/>
  <c r="L17" i="13"/>
  <c r="M17" i="13"/>
  <c r="J18" i="13"/>
  <c r="K18" i="13"/>
  <c r="L18" i="13"/>
  <c r="M18" i="13"/>
  <c r="J19" i="13"/>
  <c r="K19" i="13"/>
  <c r="L19" i="13"/>
  <c r="M19" i="13"/>
  <c r="K5" i="13"/>
  <c r="L5" i="13"/>
  <c r="M5" i="13"/>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L4" i="23" l="1"/>
  <c r="Q4" i="23" a="1"/>
  <c r="Q4" i="23" s="1"/>
  <c r="O4" i="23" a="1"/>
  <c r="O4" i="23" s="1"/>
  <c r="M4" i="23" a="1"/>
  <c r="M4" i="23" s="1"/>
  <c r="P4" i="23" s="1" a="1"/>
  <c r="P4" i="23" s="1"/>
  <c r="E120" i="21"/>
  <c r="E119" i="21"/>
  <c r="G10" i="21"/>
  <c r="G12" i="21"/>
  <c r="G17" i="21"/>
  <c r="G25" i="21"/>
  <c r="G20" i="21"/>
  <c r="G15" i="21"/>
  <c r="G24" i="21"/>
  <c r="G16" i="21"/>
  <c r="G23" i="21"/>
  <c r="G22" i="21"/>
  <c r="G14" i="21"/>
  <c r="G21" i="21"/>
  <c r="G13" i="21"/>
  <c r="G27" i="21"/>
  <c r="G19" i="21"/>
  <c r="G11" i="21"/>
  <c r="G26" i="21"/>
  <c r="G18" i="21"/>
  <c r="E48" i="21"/>
  <c r="E40" i="21"/>
  <c r="E47" i="21"/>
  <c r="E39" i="21"/>
  <c r="E46" i="21"/>
  <c r="E38" i="21"/>
  <c r="E45" i="21"/>
  <c r="E37" i="21"/>
  <c r="E44" i="21"/>
  <c r="E36" i="21"/>
  <c r="E43" i="21"/>
  <c r="E35" i="21"/>
  <c r="E42" i="21"/>
  <c r="E34" i="21"/>
  <c r="E49" i="21"/>
  <c r="E41" i="21"/>
  <c r="E33" i="21"/>
  <c r="D47" i="21"/>
  <c r="D39" i="21"/>
  <c r="E32" i="21"/>
  <c r="D48" i="21"/>
  <c r="D40" i="21"/>
  <c r="D46" i="21"/>
  <c r="D38" i="21"/>
  <c r="D45" i="21"/>
  <c r="D37" i="21"/>
  <c r="D44" i="21"/>
  <c r="D36" i="21"/>
  <c r="D43" i="21"/>
  <c r="D35" i="21"/>
  <c r="D42" i="21"/>
  <c r="D34" i="21"/>
  <c r="D49" i="21"/>
  <c r="D41" i="21"/>
  <c r="D33" i="21"/>
  <c r="D32" i="21"/>
  <c r="I41" i="13"/>
  <c r="I40" i="13"/>
  <c r="I39" i="13"/>
  <c r="I37" i="13"/>
  <c r="A42" i="4"/>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G32" i="21" l="1"/>
  <c r="G48" i="21"/>
  <c r="G33" i="21"/>
  <c r="G44" i="21"/>
  <c r="G36" i="21"/>
  <c r="G42" i="21"/>
  <c r="G46" i="21"/>
  <c r="G35" i="21"/>
  <c r="G40" i="21"/>
  <c r="G39" i="21"/>
  <c r="G43" i="21"/>
  <c r="G47" i="21"/>
  <c r="G34" i="21"/>
  <c r="G38" i="21"/>
  <c r="G41" i="21"/>
  <c r="G37" i="21"/>
  <c r="G49" i="21"/>
  <c r="G45" i="21"/>
  <c r="E7" i="2"/>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<sst xmlns="http://schemas.openxmlformats.org/spreadsheetml/2006/main" count="4776" uniqueCount="1205">
  <si>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</si>
  <si>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</si>
  <si>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</si>
  <si>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</si>
  <si>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</si>
  <si>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</si>
  <si>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</si>
  <si>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</si>
  <si>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</si>
  <si>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</si>
  <si>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</si>
  <si>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</si>
  <si>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</si>
  <si>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</si>
  <si>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</si>
  <si>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</si>
  <si>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</si>
  <si>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</si>
  <si>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</si>
  <si>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</si>
  <si>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</si>
  <si>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</si>
  <si>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</si>
  <si>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</si>
  <si>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</si>
  <si>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</si>
  <si>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</si>
  <si>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</si>
  <si>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</si>
  <si>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</si>
  <si>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</si>
  <si>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</si>
  <si>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</si>
  <si>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</si>
  <si>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</si>
  <si>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</si>
  <si>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</si>
  <si>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</si>
  <si>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</si>
  <si>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</si>
  <si>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</si>
  <si>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</si>
  <si>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</si>
  <si>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</si>
  <si>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</si>
  <si>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</si>
  <si>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</si>
  <si>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</si>
  <si>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</si>
  <si>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</si>
  <si>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</si>
  <si>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</si>
  <si>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</si>
  <si>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</si>
  <si>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</si>
  <si>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</si>
  <si>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</si>
  <si>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</si>
  <si>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</si>
  <si>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</si>
  <si>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</si>
  <si>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</si>
  <si>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</si>
  <si>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</si>
  <si>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</si>
  <si>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</si>
  <si>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</si>
  <si>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</si>
  <si>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</si>
  <si>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</si>
  <si>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</si>
  <si>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</si>
  <si>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</si>
  <si>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</si>
  <si>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</si>
  <si>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</si>
  <si>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</si>
  <si>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</si>
  <si>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</si>
  <si>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</si>
  <si>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</si>
  <si>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</si>
  <si>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</si>
  <si>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</si>
  <si>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</si>
  <si>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</si>
  <si>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</si>
  <si>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</si>
  <si>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</si>
  <si>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</si>
  <si>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</si>
  <si>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</si>
  <si>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</si>
  <si>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</si>
  <si>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</si>
  <si>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</si>
  <si>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</si>
  <si>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</si>
  <si>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</si>
  <si>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</si>
  <si>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</si>
  <si>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</si>
  <si>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</si>
  <si>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</si>
  <si>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</si>
  <si>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</si>
  <si>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</si>
  <si>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</si>
  <si>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</si>
  <si>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</si>
  <si>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</si>
  <si>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</si>
  <si>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</si>
  <si>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</si>
  <si>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</si>
  <si>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</si>
  <si>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</si>
  <si>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</si>
  <si>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</si>
  <si>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</si>
  <si>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</si>
  <si>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</si>
  <si>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</si>
  <si>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</si>
  <si>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</si>
  <si>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</si>
  <si>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</si>
  <si>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</si>
  <si>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</si>
  <si>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</si>
  <si>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</si>
  <si>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</si>
  <si>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</si>
  <si>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</si>
  <si>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</si>
  <si>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</si>
  <si>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</si>
  <si>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</si>
  <si>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</si>
  <si>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</si>
  <si>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</si>
  <si>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</si>
  <si>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</si>
  <si>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</si>
  <si>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</si>
  <si>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</si>
  <si>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</si>
  <si>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</si>
  <si>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</si>
  <si>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</si>
  <si>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</si>
  <si>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</si>
  <si>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</si>
  <si>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</si>
  <si>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</si>
  <si>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</si>
  <si>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</si>
  <si>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</si>
  <si>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</si>
  <si>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</si>
  <si>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</si>
  <si>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</si>
  <si>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</si>
  <si>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</si>
  <si>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</si>
  <si>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</si>
  <si>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</si>
  <si>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</si>
  <si>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</si>
  <si>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</si>
  <si>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</si>
  <si>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</si>
  <si>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</si>
  <si>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</si>
  <si>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</si>
  <si>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</si>
  <si>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</si>
  <si>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</si>
  <si>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</si>
  <si>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</si>
  <si>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</si>
  <si>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</si>
  <si>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</si>
  <si>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</si>
  <si>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</si>
  <si>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</si>
  <si>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</si>
  <si>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</si>
  <si>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</si>
  <si>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</si>
  <si>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</si>
  <si>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</si>
  <si>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</si>
  <si>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</si>
  <si>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</si>
  <si>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</si>
  <si>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</si>
  <si>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</si>
  <si>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</si>
  <si>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</si>
  <si>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</si>
  <si>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</si>
  <si>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</si>
  <si>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</si>
  <si>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</si>
  <si>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</si>
  <si>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</si>
  <si>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</si>
  <si>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</si>
  <si>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</si>
  <si>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</si>
  <si>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</si>
  <si>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</si>
  <si>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</si>
  <si>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</si>
  <si>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</si>
  <si>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</si>
  <si>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</si>
  <si>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</si>
  <si>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</si>
  <si>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</si>
  <si>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</si>
  <si>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</si>
  <si>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</si>
  <si>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</si>
  <si>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</si>
  <si>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</si>
  <si>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</si>
  <si>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</si>
  <si>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</si>
  <si>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</si>
  <si>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</si>
  <si>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</si>
  <si>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</si>
  <si>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</si>
  <si>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</si>
  <si>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</si>
  <si>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</si>
  <si>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</si>
  <si>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</si>
  <si>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</si>
  <si>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</si>
  <si>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</si>
  <si>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</si>
  <si>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</si>
  <si>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</si>
  <si>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</si>
  <si>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</si>
  <si>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</si>
  <si>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</si>
  <si>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</si>
  <si>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</si>
  <si>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</si>
  <si>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</si>
  <si>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</si>
  <si>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</si>
  <si>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</si>
  <si>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</si>
  <si>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</si>
  <si>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</si>
  <si>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</si>
  <si>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</si>
  <si>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</si>
  <si>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</si>
  <si>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</si>
  <si>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</si>
  <si>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</si>
  <si>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</si>
  <si>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</si>
  <si>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</si>
  <si>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</si>
  <si>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</si>
  <si>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</si>
  <si>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</si>
  <si>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</si>
  <si>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</si>
  <si>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</si>
  <si>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</si>
  <si>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</si>
  <si>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</si>
  <si>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</si>
  <si>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</si>
  <si>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</si>
  <si>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</si>
  <si>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</si>
  <si>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</si>
  <si>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</si>
  <si>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</si>
  <si>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</si>
  <si>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</si>
  <si>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</si>
  <si>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</si>
  <si>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</si>
  <si>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</si>
  <si>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</si>
  <si>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</si>
  <si>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</si>
  <si>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</si>
  <si>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</si>
  <si>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</si>
  <si>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</si>
  <si>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</si>
  <si>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</si>
  <si>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</si>
  <si>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</si>
  <si>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</si>
  <si>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</si>
  <si>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</si>
  <si>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</si>
  <si>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</si>
  <si>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</si>
  <si>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</si>
  <si>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</si>
  <si>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</si>
  <si>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</si>
  <si>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</si>
  <si>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</si>
  <si>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</si>
  <si>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</si>
  <si>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</si>
  <si>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</si>
  <si>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</si>
  <si>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</si>
  <si>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</si>
  <si>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</si>
  <si>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</si>
  <si>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</si>
  <si>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</si>
  <si>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</si>
  <si>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</si>
  <si>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</si>
  <si>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</si>
  <si>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</si>
  <si>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</si>
  <si>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</si>
  <si>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</si>
  <si>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</si>
  <si>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</si>
  <si>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</si>
  <si>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</si>
  <si>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</si>
  <si>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</si>
  <si>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</si>
  <si>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</si>
  <si>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</si>
  <si>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</si>
  <si>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</si>
  <si>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</si>
  <si>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</si>
  <si>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</si>
  <si>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</si>
  <si>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</si>
  <si>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</si>
  <si>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</si>
  <si>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</si>
  <si>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</si>
  <si>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</si>
  <si>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</si>
  <si>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</si>
  <si>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</si>
  <si>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</si>
  <si>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</si>
  <si>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</si>
  <si>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</si>
  <si>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</si>
  <si>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</si>
  <si>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</si>
  <si>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</si>
  <si>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</si>
  <si>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</si>
  <si>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</si>
  <si>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</si>
  <si>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</si>
  <si>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</si>
  <si>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</si>
  <si>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</si>
  <si>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</si>
  <si>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</si>
  <si>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</si>
  <si>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</si>
  <si>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</si>
  <si>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</si>
  <si>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</si>
  <si>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</si>
  <si>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</si>
  <si>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</si>
  <si>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</si>
  <si>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</si>
  <si>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</si>
  <si>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</si>
  <si>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</si>
  <si>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</si>
  <si>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</si>
  <si>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</si>
  <si>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</si>
  <si>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</si>
  <si>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</si>
  <si>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</si>
  <si>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</si>
  <si>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</si>
  <si>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</si>
  <si>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</si>
  <si>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</si>
  <si>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</si>
  <si>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</si>
  <si>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</si>
  <si>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</si>
  <si>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</si>
  <si>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</si>
  <si>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</si>
  <si>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</si>
  <si>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</si>
  <si>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</si>
  <si>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</si>
  <si>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</si>
  <si>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</si>
  <si>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</si>
  <si>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</si>
  <si>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</si>
  <si>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</si>
  <si>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</si>
  <si>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</si>
  <si>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</si>
  <si>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</si>
  <si>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</si>
  <si>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</si>
  <si>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</si>
  <si>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</si>
  <si>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</si>
  <si>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</si>
  <si>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</si>
  <si>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</si>
  <si>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</si>
  <si>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</si>
  <si>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</si>
  <si>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</si>
  <si>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</si>
  <si>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</si>
  <si>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</si>
  <si>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</si>
  <si>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</si>
  <si>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</si>
  <si>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</si>
  <si>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</si>
  <si>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</si>
  <si>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</si>
  <si>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</si>
  <si>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</si>
  <si>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</si>
  <si>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</si>
  <si>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</si>
  <si>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</si>
  <si>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</si>
  <si>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</si>
  <si>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</si>
  <si>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</si>
  <si>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</si>
  <si>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</si>
  <si>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</si>
  <si>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</si>
  <si>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</si>
  <si>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</si>
  <si>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</si>
  <si>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</si>
  <si>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</si>
  <si>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</si>
  <si>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</si>
  <si>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</si>
  <si>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</si>
  <si>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</si>
  <si>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</si>
  <si>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</si>
  <si>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</si>
  <si>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</si>
  <si>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</si>
  <si>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</si>
  <si>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</si>
  <si>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</si>
  <si>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</si>
  <si>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</si>
  <si>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</si>
  <si>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</si>
  <si>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</si>
  <si>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</si>
  <si>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</si>
  <si>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</si>
  <si>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</si>
  <si>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</si>
  <si>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</si>
  <si>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</si>
  <si>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</si>
  <si>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</si>
  <si>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</si>
  <si>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</si>
  <si>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</si>
  <si>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</si>
  <si>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</si>
  <si>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</si>
  <si>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</si>
  <si>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</si>
  <si>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</si>
  <si>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</si>
  <si>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</si>
  <si>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</si>
  <si>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</si>
  <si>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</si>
  <si>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</si>
  <si>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</si>
  <si>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</si>
  <si>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</si>
  <si>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</si>
  <si>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</si>
  <si>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</si>
  <si>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</si>
  <si>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</si>
  <si>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</si>
  <si>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</si>
  <si>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</si>
  <si>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</si>
  <si>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</si>
  <si>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</si>
  <si>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</si>
  <si>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</si>
  <si>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</si>
  <si>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</si>
  <si>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</si>
  <si>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</si>
  <si>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</si>
  <si>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</si>
  <si>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</si>
  <si>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</si>
  <si>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</si>
  <si>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</si>
  <si>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</si>
  <si>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</si>
  <si>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</si>
  <si>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</si>
  <si>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</si>
  <si>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</si>
  <si>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</si>
  <si>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</si>
  <si>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</si>
  <si>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</si>
  <si>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</si>
  <si>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</si>
  <si>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</si>
  <si>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</si>
  <si>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</si>
  <si>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</si>
  <si>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</si>
  <si>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</si>
  <si>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</si>
  <si>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</si>
  <si>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</si>
  <si>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</si>
  <si>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</si>
  <si>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</si>
  <si>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</si>
  <si>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</si>
  <si>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</si>
  <si>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</si>
  <si>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</si>
  <si>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</si>
  <si>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</si>
  <si>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</si>
  <si>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</si>
  <si>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</si>
  <si>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</si>
  <si>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</si>
  <si>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</si>
  <si>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</si>
  <si>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</si>
  <si>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</si>
  <si>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</si>
  <si>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</si>
  <si>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</si>
  <si>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</si>
  <si>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</si>
  <si>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</si>
  <si>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</si>
  <si>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</si>
  <si>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</si>
  <si>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</si>
  <si>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</si>
  <si>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</si>
  <si>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</si>
  <si>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</si>
  <si>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</si>
  <si>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</si>
  <si>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</si>
  <si>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</si>
  <si>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</si>
  <si>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</si>
  <si>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</si>
  <si>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</si>
  <si>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</si>
  <si>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</si>
  <si>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</si>
  <si>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</si>
  <si>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</si>
  <si>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</si>
  <si>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</si>
  <si>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</si>
  <si>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</si>
  <si>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</si>
  <si>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</si>
  <si>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</si>
  <si>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</si>
  <si>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</si>
  <si>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</si>
  <si>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</si>
  <si>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</si>
  <si>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</si>
  <si>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</si>
  <si>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</si>
  <si>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</si>
  <si>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</si>
  <si>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</si>
  <si>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</si>
  <si>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</si>
  <si>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</si>
  <si>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</si>
  <si>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</si>
  <si>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</si>
  <si>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</si>
  <si>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</si>
  <si>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</si>
  <si>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</si>
  <si>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</si>
  <si>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</si>
  <si>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</si>
  <si>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</si>
  <si>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</si>
  <si>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</si>
  <si>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</si>
  <si>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</si>
  <si>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</si>
  <si>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</si>
  <si>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</si>
  <si>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</si>
  <si>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</si>
  <si>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</si>
  <si>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</si>
  <si>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</si>
  <si>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</si>
  <si>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</si>
  <si>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</si>
  <si>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</si>
  <si>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</si>
  <si>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</si>
  <si>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</si>
  <si>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</si>
  <si>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</si>
  <si>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</si>
  <si>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</si>
  <si>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</si>
  <si>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</si>
  <si>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</si>
  <si>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</si>
  <si>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</si>
  <si>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</si>
  <si>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</si>
  <si>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</si>
  <si>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</si>
  <si>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</si>
  <si>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</si>
  <si>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</si>
  <si>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</si>
  <si>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</si>
  <si>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</si>
  <si>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</si>
  <si>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</si>
  <si>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</si>
  <si>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</si>
  <si>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</si>
  <si>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</si>
  <si>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</si>
  <si>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</si>
  <si>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</si>
  <si>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</si>
  <si>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</si>
  <si>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</si>
  <si>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</si>
  <si>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</si>
  <si>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</si>
  <si>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</si>
  <si>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</si>
  <si>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</si>
  <si>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</si>
  <si>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</si>
  <si>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</si>
  <si>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</si>
  <si>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</si>
  <si>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</si>
  <si>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</si>
  <si>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</si>
  <si>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</si>
  <si>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</si>
  <si>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</si>
  <si>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</si>
  <si>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</si>
  <si>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</si>
  <si>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</si>
  <si>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</si>
  <si>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</si>
  <si>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</si>
  <si>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</si>
  <si>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</si>
  <si>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</si>
  <si>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</si>
  <si>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</si>
  <si>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</si>
  <si>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</si>
  <si>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</si>
  <si>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</si>
  <si>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</si>
  <si>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</si>
  <si>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</si>
  <si>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</si>
  <si>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</si>
  <si>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</si>
  <si>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</si>
  <si>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</si>
  <si>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</si>
  <si>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</si>
  <si>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</si>
  <si>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</si>
  <si>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</si>
  <si>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</si>
  <si>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</si>
  <si>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</si>
  <si>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</si>
  <si>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</si>
  <si>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</si>
  <si>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</si>
  <si>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</si>
  <si>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</si>
  <si>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</si>
  <si>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</si>
  <si>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</si>
  <si>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</si>
  <si>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</si>
  <si>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</si>
  <si>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</si>
  <si>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</si>
  <si>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</si>
  <si>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</si>
  <si>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</si>
  <si>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</si>
  <si>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</si>
  <si>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</si>
  <si>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</si>
  <si>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</si>
  <si>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</si>
  <si>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</si>
  <si>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</si>
  <si>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</si>
  <si>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</si>
  <si>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</si>
  <si>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</si>
  <si>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</si>
  <si>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</si>
  <si>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</si>
  <si>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</si>
  <si>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</si>
  <si>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</si>
  <si>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</si>
  <si>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</si>
  <si>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</si>
  <si>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</si>
  <si>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</si>
  <si>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</si>
  <si>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</si>
  <si>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</si>
  <si>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</si>
  <si>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</si>
  <si>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</si>
  <si>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</si>
  <si>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</si>
  <si>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</si>
  <si>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</si>
  <si>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</si>
  <si>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</si>
  <si>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</si>
  <si>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</si>
  <si>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</si>
  <si>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</si>
  <si>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</si>
  <si>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</si>
  <si>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</si>
  <si>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</si>
  <si>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</si>
  <si>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</si>
  <si>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</si>
  <si>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</si>
  <si>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</si>
  <si>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</si>
  <si>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</si>
  <si>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</si>
  <si>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</si>
  <si>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</si>
  <si>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</si>
  <si>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</si>
  <si>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</si>
  <si>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</si>
  <si>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</si>
  <si>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</si>
  <si>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</si>
  <si>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</si>
  <si>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</si>
  <si>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</si>
  <si>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</si>
  <si>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</si>
  <si>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</si>
  <si>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</si>
  <si>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</si>
  <si>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</si>
  <si>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</si>
  <si>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</si>
  <si>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</si>
  <si>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</si>
  <si>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</si>
  <si>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</si>
  <si>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</si>
  <si>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</si>
  <si>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</si>
  <si>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</si>
  <si>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</si>
  <si>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</si>
  <si>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</si>
  <si>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</si>
  <si>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</si>
  <si>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</si>
  <si>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</si>
  <si>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</si>
  <si>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</si>
  <si>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</si>
  <si>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</si>
  <si>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</si>
  <si>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</si>
  <si>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</si>
  <si>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</si>
  <si>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</si>
  <si>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</si>
  <si>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</si>
  <si>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</si>
  <si>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</si>
  <si>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</si>
  <si>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</si>
  <si>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</si>
  <si>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</si>
  <si>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</si>
  <si>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</si>
  <si>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</si>
  <si>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</si>
  <si>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</si>
  <si>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</si>
  <si>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</si>
  <si>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</si>
  <si>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</si>
  <si>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</si>
  <si>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</si>
  <si>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</si>
  <si>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</si>
  <si>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</si>
  <si>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</si>
  <si>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</si>
  <si>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</si>
  <si>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</si>
  <si>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</si>
  <si>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</si>
  <si>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</si>
  <si>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</si>
  <si>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</si>
  <si>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</si>
  <si>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</si>
  <si>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</si>
  <si>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</si>
  <si>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</si>
  <si>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</si>
  <si>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</si>
  <si>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</si>
  <si>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</si>
  <si>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</si>
  <si>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</si>
  <si>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</si>
  <si>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</si>
  <si>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</si>
  <si>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</si>
  <si>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</si>
  <si>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</si>
  <si>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</si>
  <si>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</si>
  <si>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</si>
  <si>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</si>
  <si>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</si>
  <si>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</si>
  <si>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</si>
  <si>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</si>
  <si>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</si>
  <si>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</si>
  <si>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</si>
  <si>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</si>
  <si>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</si>
  <si>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</si>
  <si>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</si>
  <si>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</si>
  <si>
    <t>CEILING</t>
  </si>
  <si>
    <t>CEILING(number, significance)</t>
  </si>
  <si>
    <t>Number ko next specified multiple tak round up karta hai</t>
  </si>
  <si>
    <t>Price/quantity rounding</t>
  </si>
  <si>
    <t xml:space="preserve"> =CEILING(12.3,1) → 13</t>
  </si>
  <si>
    <t>FLOOR,CEILING,MROUND</t>
  </si>
  <si>
    <t>ABS, MOD, POWER, SQRT</t>
  </si>
  <si>
    <t>-ABS</t>
  </si>
  <si>
    <t>TODAY</t>
  </si>
  <si>
    <t>TODAY()</t>
  </si>
  <si>
    <t>Aaj ki date deta hai</t>
  </si>
  <si>
    <t>Current date</t>
  </si>
  <si>
    <t>NOW</t>
  </si>
  <si>
    <t>NOW()</t>
  </si>
  <si>
    <t>Current date + time</t>
  </si>
  <si>
    <t>Live timestamp</t>
  </si>
  <si>
    <t>DATE</t>
  </si>
  <si>
    <t>DATE(year,month,day)</t>
  </si>
  <si>
    <t>Custom date banata hai</t>
  </si>
  <si>
    <t>Date creation</t>
  </si>
  <si>
    <t>DATE(2026,4,9)</t>
  </si>
  <si>
    <t>TIME</t>
  </si>
  <si>
    <t>TIME(hour,minute,second)</t>
  </si>
  <si>
    <t>Time create karta hai</t>
  </si>
  <si>
    <t>Custom time</t>
  </si>
  <si>
    <t>TIME(10,30,0)</t>
  </si>
  <si>
    <t>DAY</t>
  </si>
  <si>
    <t>DAY(date)</t>
  </si>
  <si>
    <t>Day nikaalta hai</t>
  </si>
  <si>
    <t>Extract day</t>
  </si>
  <si>
    <t>DAY(A1)</t>
  </si>
  <si>
    <t>MONTH</t>
  </si>
  <si>
    <t>MONTH(date)</t>
  </si>
  <si>
    <t>Month nikaalta hai</t>
  </si>
  <si>
    <t>Extract month</t>
  </si>
  <si>
    <t>MONTH(A1)</t>
  </si>
  <si>
    <t>YEAR</t>
  </si>
  <si>
    <t>YEAR(date)</t>
  </si>
  <si>
    <t>Year nikaalta hai</t>
  </si>
  <si>
    <t>Extract year</t>
  </si>
  <si>
    <t>YEAR(A1)</t>
  </si>
  <si>
    <t>HOUR</t>
  </si>
  <si>
    <t>HOUR(time)</t>
  </si>
  <si>
    <t>Hour nikaalta hai</t>
  </si>
  <si>
    <t>Time breakdown</t>
  </si>
  <si>
    <t>HOUR(A1)</t>
  </si>
  <si>
    <t>MINUTE</t>
  </si>
  <si>
    <t>MINUTE(time)</t>
  </si>
  <si>
    <t>Minute nikaalta hai</t>
  </si>
  <si>
    <t>MINUTE(A1)</t>
  </si>
  <si>
    <t>SECOND</t>
  </si>
  <si>
    <t>SECOND(time)</t>
  </si>
  <si>
    <t>Seconds nikaalta hai</t>
  </si>
  <si>
    <t>SECOND(A1)</t>
  </si>
  <si>
    <t>WEEKDAY</t>
  </si>
  <si>
    <t>WEEKDAY(date,[type])</t>
  </si>
  <si>
    <t>Week day number deta hai</t>
  </si>
  <si>
    <t>Day identify</t>
  </si>
  <si>
    <t>WEEKDAY(A1,2)</t>
  </si>
  <si>
    <t>WEEKNUM</t>
  </si>
  <si>
    <t>WEEKNUM(date,[type])</t>
  </si>
  <si>
    <t>Week number deta hai</t>
  </si>
  <si>
    <t>Weekly tracking</t>
  </si>
  <si>
    <t>WEEKNUM(A1)</t>
  </si>
  <si>
    <t>ISOWEEKNUM</t>
  </si>
  <si>
    <t>ISOWEEKNUM(date)</t>
  </si>
  <si>
    <t>ISO standard week number</t>
  </si>
  <si>
    <t>International reporting</t>
  </si>
  <si>
    <t>ISOWEEKNUM(A1)</t>
  </si>
  <si>
    <t>EDATE</t>
  </si>
  <si>
    <t>EDATE(start_date,months)</t>
  </si>
  <si>
    <t>Months add/subtract</t>
  </si>
  <si>
    <t>EMI planning</t>
  </si>
  <si>
    <t>EDATE(A1,1)</t>
  </si>
  <si>
    <t>EOMONTH</t>
  </si>
  <si>
    <t>EOMONTH(start_date,months)</t>
  </si>
  <si>
    <t>Month end date</t>
  </si>
  <si>
    <t>Month closing</t>
  </si>
  <si>
    <t>EOMONTH(A1,1)</t>
  </si>
  <si>
    <t>DATEDIF</t>
  </si>
  <si>
    <t>DATEDIF(start,end,unit)</t>
  </si>
  <si>
    <t>Date difference</t>
  </si>
  <si>
    <t>Age calc</t>
  </si>
  <si>
    <t>DATEDIF(A1,B1,"Y")</t>
  </si>
  <si>
    <t>DAYS</t>
  </si>
  <si>
    <t>DAYS(end,start)</t>
  </si>
  <si>
    <t>Total days difference</t>
  </si>
  <si>
    <t>Gap calc</t>
  </si>
  <si>
    <t>DAYS(B1,A1)</t>
  </si>
  <si>
    <t>DAYS360</t>
  </si>
  <si>
    <t>DAYS360(start,end)</t>
  </si>
  <si>
    <t>360-day basis calc</t>
  </si>
  <si>
    <t>DAYS360(A1,B1)</t>
  </si>
  <si>
    <t>NETWORKDAYS</t>
  </si>
  <si>
    <t>NETWORKDAYS(start,end,[holidays])</t>
  </si>
  <si>
    <t>Working days count</t>
  </si>
  <si>
    <t>Office days</t>
  </si>
  <si>
    <t>NETWORKDAYS(A1,B1)</t>
  </si>
  <si>
    <t>NETWORKDAYS.INTL</t>
  </si>
  <si>
    <t>NETWORKDAYS.INTL(start,end,[weekend],[holidays])</t>
  </si>
  <si>
    <t>Custom weekend ke saath working days</t>
  </si>
  <si>
    <t>Shift / custom week</t>
  </si>
  <si>
    <t>NETWORKDAYS.INTL(A1,B1,1)</t>
  </si>
  <si>
    <t>WORKDAY</t>
  </si>
  <si>
    <t>WORKDAY(start,days,[holidays])</t>
  </si>
  <si>
    <t>Future working date</t>
  </si>
  <si>
    <t>Deadline</t>
  </si>
  <si>
    <t>WORKDAY(A1,5)</t>
  </si>
  <si>
    <t>WORKDAY.INTL</t>
  </si>
  <si>
    <t>WORKDAY.INTL(start,days,[weekend],[holidays])</t>
  </si>
  <si>
    <t>Custom weekend ke saath working date</t>
  </si>
  <si>
    <t>Flexible planning</t>
  </si>
  <si>
    <t>WORKDAY.INTL(A1,5,1)</t>
  </si>
  <si>
    <t>YEARFRAC</t>
  </si>
  <si>
    <t>YEARFRAC(start,end,[basis])</t>
  </si>
  <si>
    <t>Years ka fraction</t>
  </si>
  <si>
    <t>Financial calc</t>
  </si>
  <si>
    <t>YEARFRAC(A1,B1)</t>
  </si>
  <si>
    <t>TEXT(value,format_text)</t>
  </si>
  <si>
    <t>Date format change karta hai</t>
  </si>
  <si>
    <t>Custom display</t>
  </si>
  <si>
    <t>TEXT(A1,"dd-mm-yyyy")</t>
  </si>
  <si>
    <t>TIMEVALUE</t>
  </si>
  <si>
    <t>TIMEVALUE(text)</t>
  </si>
  <si>
    <t>Text ko time me convert</t>
  </si>
  <si>
    <t>Time conversion</t>
  </si>
  <si>
    <t>TIMEVALUE("10:30 AM")</t>
  </si>
  <si>
    <t>DATEVALUE</t>
  </si>
  <si>
    <t>DATEVALUE(text)</t>
  </si>
  <si>
    <t>Text ko date me convert</t>
  </si>
  <si>
    <t>Date conversion</t>
  </si>
  <si>
    <t>DATEVALUE("09-Apr-2026")</t>
  </si>
  <si>
    <t>TODAY()+n</t>
  </si>
  <si>
    <t>Future/past date</t>
  </si>
  <si>
    <t>Planning</t>
  </si>
  <si>
    <t>TODAY()+728</t>
  </si>
  <si>
    <t>NOW()+n</t>
  </si>
  <si>
    <t>Future time/date</t>
  </si>
  <si>
    <t>Scheduling</t>
  </si>
  <si>
    <t>NOW()+1</t>
  </si>
  <si>
    <t>Text Split ,Ampersand ,Flashfill ,TextBeforeDelimiter, TextAfterDelimiter</t>
  </si>
  <si>
    <t>Day</t>
  </si>
  <si>
    <t>Year</t>
  </si>
  <si>
    <t>Hour</t>
  </si>
  <si>
    <t>Months</t>
  </si>
  <si>
    <t>Text</t>
  </si>
  <si>
    <t>Current Date</t>
  </si>
  <si>
    <t>Current Time</t>
  </si>
  <si>
    <t>DATE &amp; TIME</t>
  </si>
  <si>
    <t>Shortcut Key</t>
  </si>
  <si>
    <t>Formulae</t>
  </si>
  <si>
    <t>Miunte</t>
  </si>
  <si>
    <t>Second</t>
  </si>
  <si>
    <t>AM/PM</t>
  </si>
  <si>
    <t>Start Date</t>
  </si>
  <si>
    <t>End Date</t>
  </si>
  <si>
    <t>NETWORK DAYS</t>
  </si>
  <si>
    <t>NETWORKDAYS (HOLIDAYS)</t>
  </si>
  <si>
    <t>HOLIDAYS DATE</t>
  </si>
  <si>
    <t>NETWORK DAYS.INTL</t>
  </si>
  <si>
    <t>NETWORK DAYS.INTL (HOLIDAY)</t>
  </si>
  <si>
    <t>DAYS 360</t>
  </si>
  <si>
    <t>Workday</t>
  </si>
  <si>
    <t>Workday (holiday)</t>
  </si>
  <si>
    <t>Workday.intl</t>
  </si>
  <si>
    <t>WORK DAYS.INTL (HOLIDAY)</t>
  </si>
  <si>
    <t>DOB</t>
  </si>
  <si>
    <t>AGE (datedif)</t>
  </si>
  <si>
    <t>Meaning (Hinglish)</t>
  </si>
  <si>
    <t>IF</t>
  </si>
  <si>
    <t>IF(condition,value_if_true,value_if_false)</t>
  </si>
  <si>
    <t>Condition check karta hai</t>
  </si>
  <si>
    <t>Decision making</t>
  </si>
  <si>
    <t>Pass</t>
  </si>
  <si>
    <t>IFS</t>
  </si>
  <si>
    <t>IFS(condition1,value1,condition2,value2,...)</t>
  </si>
  <si>
    <t>Multiple conditions check karta hai</t>
  </si>
  <si>
    <t>Multiple logic</t>
  </si>
  <si>
    <t>A</t>
  </si>
  <si>
    <t>AND</t>
  </si>
  <si>
    <t>AND(condition1,condition2,...)</t>
  </si>
  <si>
    <t>Sab conditions true honi chahiye</t>
  </si>
  <si>
    <t>Multi-condition check</t>
  </si>
  <si>
    <t>OR</t>
  </si>
  <si>
    <t>OR(condition1,condition2,...)</t>
  </si>
  <si>
    <t>Koi ek condition true ho</t>
  </si>
  <si>
    <t>Flexible check</t>
  </si>
  <si>
    <t>NOT</t>
  </si>
  <si>
    <t>NOT(condition)</t>
  </si>
  <si>
    <t>Result ko ulta kar deta hai</t>
  </si>
  <si>
    <t>Reverse logic</t>
  </si>
  <si>
    <t>IFERROR</t>
  </si>
  <si>
    <t>IFERROR(value,value_if_error)</t>
  </si>
  <si>
    <t>Error aaye toh alternate value deta hai</t>
  </si>
  <si>
    <t>Error handling</t>
  </si>
  <si>
    <t>Error</t>
  </si>
  <si>
    <t>IFNA</t>
  </si>
  <si>
    <t>IFNA(value,value_if_na)</t>
  </si>
  <si>
    <t>Sirf #N/A error handle karta hai</t>
  </si>
  <si>
    <t>Lookup errors</t>
  </si>
  <si>
    <t>=IFNA(VLOOKUP(...),"Not Found")</t>
  </si>
  <si>
    <t>SWITCH</t>
  </si>
  <si>
    <t>SWITCH(expression,value1,result1,...)</t>
  </si>
  <si>
    <t>Multiple matching conditions</t>
  </si>
  <si>
    <t>Cleaner IF alternative</t>
  </si>
  <si>
    <t>TRUE()</t>
  </si>
  <si>
    <t>TRUE return karta hai</t>
  </si>
  <si>
    <t>Logical testing</t>
  </si>
  <si>
    <t>FALSE()</t>
  </si>
  <si>
    <t>FALSE return karta hai</t>
  </si>
  <si>
    <t>ISBLANK</t>
  </si>
  <si>
    <t>ISBLANK(value)</t>
  </si>
  <si>
    <t>Blank check karta hai</t>
  </si>
  <si>
    <t>Missing data</t>
  </si>
  <si>
    <t>ISNUMBER</t>
  </si>
  <si>
    <t>ISNUMBER(value)</t>
  </si>
  <si>
    <t>Number check karta hai</t>
  </si>
  <si>
    <t>Data validation</t>
  </si>
  <si>
    <t>ISTEXT</t>
  </si>
  <si>
    <t>ISTEXT(value)</t>
  </si>
  <si>
    <t>Text check karta hai</t>
  </si>
  <si>
    <t>Data type check</t>
  </si>
  <si>
    <t>ISERROR</t>
  </si>
  <si>
    <t>ISERROR(value)</t>
  </si>
  <si>
    <t>Koi bhi error check karta hai</t>
  </si>
  <si>
    <t>Error detection</t>
  </si>
  <si>
    <t>ISNA</t>
  </si>
  <si>
    <t>ISNA(value)</t>
  </si>
  <si>
    <t>#N/A error check karta hai</t>
  </si>
  <si>
    <t>Lookup validation</t>
  </si>
  <si>
    <t>ISLOGICAL</t>
  </si>
  <si>
    <t>ISLOGICAL(value)</t>
  </si>
  <si>
    <t>TRUE/FALSE check karta hai</t>
  </si>
  <si>
    <t>Logical validation</t>
  </si>
  <si>
    <t>ISFORMULA</t>
  </si>
  <si>
    <t>ISFORMULA(reference)</t>
  </si>
  <si>
    <t>Cell me formula hai ya nahi</t>
  </si>
  <si>
    <t>Audit purpose</t>
  </si>
  <si>
    <t>EXACT</t>
  </si>
  <si>
    <t>EXACT(text1,text2)</t>
  </si>
  <si>
    <t>Case-sensitive match</t>
  </si>
  <si>
    <t>Exact comparison</t>
  </si>
  <si>
    <t>XOR</t>
  </si>
  <si>
    <t>XOR(condition1,condition2,...)</t>
  </si>
  <si>
    <t>Odd number of TRUE ho toh TRUE</t>
  </si>
  <si>
    <t>Advanced logic</t>
  </si>
  <si>
    <t>N</t>
  </si>
  <si>
    <t>N(value)</t>
  </si>
  <si>
    <t>TRUE=1, FALSE=0 convert karta hai</t>
  </si>
  <si>
    <t>Logical to number</t>
  </si>
  <si>
    <t>=N(TRUE) -&gt; 1</t>
  </si>
  <si>
    <t>Student Name</t>
  </si>
  <si>
    <t>RATING</t>
  </si>
  <si>
    <t>IF (AND)</t>
  </si>
  <si>
    <t>IF (OR)</t>
  </si>
  <si>
    <t>Grade</t>
  </si>
  <si>
    <t>C.P</t>
  </si>
  <si>
    <t>Marks Range</t>
  </si>
  <si>
    <t>Letter Grade</t>
  </si>
  <si>
    <t>Grade Point</t>
  </si>
  <si>
    <t>Remarks</t>
  </si>
  <si>
    <t>95 - 100</t>
  </si>
  <si>
    <t>A+</t>
  </si>
  <si>
    <t>Outstanding</t>
  </si>
  <si>
    <t>90 - 94</t>
  </si>
  <si>
    <t>Excellent</t>
  </si>
  <si>
    <t>85 - 89</t>
  </si>
  <si>
    <t>A-</t>
  </si>
  <si>
    <t>Very Good</t>
  </si>
  <si>
    <t>80 - 84</t>
  </si>
  <si>
    <t>B+</t>
  </si>
  <si>
    <t>Good</t>
  </si>
  <si>
    <t>75 - 79</t>
  </si>
  <si>
    <t>B</t>
  </si>
  <si>
    <t>Fair</t>
  </si>
  <si>
    <t>70 - 74</t>
  </si>
  <si>
    <t>B-</t>
  </si>
  <si>
    <t>Average</t>
  </si>
  <si>
    <t>65 - 69</t>
  </si>
  <si>
    <t>C+</t>
  </si>
  <si>
    <t>Below Average</t>
  </si>
  <si>
    <t>60 - 64</t>
  </si>
  <si>
    <t>C</t>
  </si>
  <si>
    <t>Satisfactory</t>
  </si>
  <si>
    <t>55 - 59</t>
  </si>
  <si>
    <t>C-</t>
  </si>
  <si>
    <t>&gt; 55 (50 - 54)</t>
  </si>
  <si>
    <t>PN</t>
  </si>
  <si>
    <t>-</t>
  </si>
  <si>
    <t>Passed Non-credit</t>
  </si>
  <si>
    <t>&lt; 50</t>
  </si>
  <si>
    <t>F</t>
  </si>
  <si>
    <t>Fail</t>
  </si>
  <si>
    <t>`</t>
  </si>
  <si>
    <t>GRADE POINT</t>
  </si>
  <si>
    <t>REMARKS</t>
  </si>
  <si>
    <t>GRADE POINT (SWITCH)</t>
  </si>
  <si>
    <t>GRADE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</si>
</sst>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PKR]\ #,##0.00"/>
    <numFmt numFmtId="166" formatCode="dd/mm/yyyy"/>
    <numFmt numFmtId="167" formatCode="&quot;Rs. &quot;#,##0"/>
    <numFmt numFmtId="168" formatCode="&quot;Rs.&quot;\ #,##0"/>
    <numFmt numFmtId="169" formatCode="dd\-mm\-yyyy"/>
    <numFmt numFmtId="170" formatCode="dd"/>
    <numFmt numFmtId="171" formatCode="mm\-dd\-yyyy"/>
  </numFmts>
  <fonts count="32"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Calibri"/>
      <scheme val="minor"/>
    </font>
    <font>
      <sz val="11"/>
      <color rgb="FF000000"/>
      <name val="Calibri"/>
      <scheme val="minor"/>
    </font>
    <font>
      <b/>
      <sz val="11"/>
      <color rgb="FF000000"/>
      <name val="Calibri"/>
      <scheme val="minor"/>
    </font>
    <font>
      <b/>
      <sz val="11"/>
      <color rgb="FFFFFFFF"/>
      <name val="Arial"/>
      <family val="2"/>
    </font>
    <font>
      <b/>
      <sz val="11"/>
      <color rgb="FF1F4E78"/>
      <name val="Calibri"/>
      <scheme val="minor"/>
    </font>
  </fonts>
  <fills count="43">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
      <patternFill patternType="solid">
        <fgColor rgb="FF8BC34A"/>
        <bgColor indexed="64"/>
      </patternFill>
    </fill>
    <fill>
      <patternFill patternType="solid">
        <fgColor rgb="FFD9D2E9"/>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s>
  <borders count="74">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s>
  <cellStyleXfs count="2">
    <xf numFmtId="0" fontId="0" fillId="0" borderId="0"/>
    <xf numFmtId="9" fontId="14" fillId="0" borderId="0" applyFont="0" applyFill="0" applyBorder="0" applyAlignment="0" applyProtection="0"/>
  </cellStyleXfs>
  <cellXfs count="339">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9" fillId="17" borderId="14" xfId="0" applyFont="1" applyFill="1" applyBorder="1" applyAlignment="1">
      <alignment horizontal="center"/>
    </xf>
    <xf numFmtId="0" fontId="19"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0" fontId="22" fillId="19" borderId="45" xfId="0" applyNumberFormat="1" applyFont="1" applyFill="1" applyBorder="1" applyAlignment="1">
      <alignment horizontal="center" vertical="center" wrapText="1"/>
    </xf>
    <xf numFmtId="0" fontId="22" fillId="19" borderId="44" xfId="0" applyNumberFormat="1" applyFont="1" applyFill="1" applyBorder="1" applyAlignment="1">
      <alignment horizontal="center" vertical="center" wrapText="1"/>
    </xf>
    <xf numFmtId="0" fontId="22" fillId="19" borderId="46" xfId="0" applyNumberFormat="1" applyFont="1" applyFill="1" applyBorder="1" applyAlignment="1">
      <alignment horizontal="center" vertical="center" wrapText="1"/>
    </xf>
    <xf numFmtId="0" fontId="11" fillId="20" borderId="47" xfId="0" applyNumberFormat="1" applyFont="1" applyFill="1" applyBorder="1" applyAlignment="1">
      <alignment horizontal="left"/>
    </xf>
    <xf numFmtId="0" fontId="11" fillId="20" borderId="0" xfId="0" applyNumberFormat="1" applyFont="1" applyFill="1" applyBorder="1" applyAlignment="1">
      <alignment horizontal="left"/>
    </xf>
    <xf numFmtId="0" fontId="11" fillId="20" borderId="48" xfId="0" applyNumberFormat="1" applyFont="1" applyFill="1" applyBorder="1" applyAlignment="1">
      <alignment horizontal="left"/>
    </xf>
    <xf numFmtId="0" fontId="22" fillId="24" borderId="14" xfId="0" applyNumberFormat="1" applyFont="1" applyFill="1" applyBorder="1" applyAlignment="1">
      <alignment horizontal="center"/>
    </xf>
    <xf numFmtId="0" fontId="11" fillId="20" borderId="14" xfId="0" applyNumberFormat="1" applyFont="1" applyFill="1" applyBorder="1" applyAlignment="1">
      <alignment horizontal="left"/>
    </xf>
    <xf numFmtId="2" fontId="11" fillId="20" borderId="14" xfId="0" applyNumberFormat="1" applyFont="1" applyFill="1" applyBorder="1" applyAlignment="1">
      <alignment horizontal="left"/>
    </xf>
    <xf numFmtId="1" fontId="24" fillId="21" borderId="14" xfId="0" applyNumberFormat="1" applyFont="1" applyFill="1" applyBorder="1" applyAlignment="1">
      <alignment horizontal="left" vertical="center" wrapText="1"/>
    </xf>
    <xf numFmtId="0" fontId="26" fillId="22" borderId="14" xfId="0" applyNumberFormat="1" applyFont="1" applyFill="1" applyBorder="1" applyAlignment="1">
      <alignment horizontal="left" vertical="center" wrapText="1"/>
    </xf>
    <xf numFmtId="0" fontId="23" fillId="20" borderId="14" xfId="0" applyNumberFormat="1" applyFont="1" applyFill="1" applyBorder="1" applyAlignment="1">
      <alignment horizontal="left" vertical="center" wrapText="1"/>
    </xf>
    <xf numFmtId="0" fontId="25" fillId="20" borderId="14" xfId="0" quotePrefix="1" applyNumberFormat="1" applyFont="1" applyFill="1" applyBorder="1" applyAlignment="1">
      <alignment horizontal="left" vertical="center" wrapText="1"/>
    </xf>
    <xf numFmtId="1" fontId="24" fillId="9" borderId="14" xfId="0" applyNumberFormat="1" applyFont="1" applyFill="1" applyBorder="1" applyAlignment="1">
      <alignment horizontal="left" vertical="center" wrapText="1"/>
    </xf>
    <xf numFmtId="0" fontId="26" fillId="9" borderId="14" xfId="0" applyNumberFormat="1" applyFont="1" applyFill="1" applyBorder="1" applyAlignment="1">
      <alignment horizontal="left" vertical="center" wrapText="1"/>
    </xf>
    <xf numFmtId="0" fontId="23" fillId="9" borderId="14" xfId="0" applyNumberFormat="1" applyFont="1" applyFill="1" applyBorder="1" applyAlignment="1">
      <alignment horizontal="left" vertical="center" wrapText="1"/>
    </xf>
    <xf numFmtId="0" fontId="25" fillId="9" borderId="14" xfId="0" quotePrefix="1" applyNumberFormat="1" applyFont="1" applyFill="1" applyBorder="1" applyAlignment="1">
      <alignment horizontal="left" vertical="center" wrapText="1"/>
    </xf>
    <xf numFmtId="1" fontId="24" fillId="25" borderId="14" xfId="0" applyNumberFormat="1" applyFont="1" applyFill="1" applyBorder="1" applyAlignment="1">
      <alignment horizontal="left" vertical="center" wrapText="1"/>
    </xf>
    <xf numFmtId="0" fontId="26" fillId="25" borderId="14" xfId="0" applyNumberFormat="1" applyFont="1" applyFill="1" applyBorder="1" applyAlignment="1">
      <alignment horizontal="left" vertical="center" wrapText="1"/>
    </xf>
    <xf numFmtId="0" fontId="23" fillId="25" borderId="14" xfId="0" applyNumberFormat="1" applyFont="1" applyFill="1" applyBorder="1" applyAlignment="1">
      <alignment horizontal="left" vertical="center" wrapText="1"/>
    </xf>
    <xf numFmtId="0" fontId="25" fillId="25" borderId="14" xfId="0" quotePrefix="1" applyNumberFormat="1" applyFont="1" applyFill="1" applyBorder="1" applyAlignment="1">
      <alignment horizontal="left" vertical="center" wrapText="1"/>
    </xf>
    <xf numFmtId="1" fontId="24" fillId="26" borderId="14" xfId="0" applyNumberFormat="1" applyFont="1" applyFill="1" applyBorder="1" applyAlignment="1">
      <alignment horizontal="left" vertical="center" wrapText="1"/>
    </xf>
    <xf numFmtId="0" fontId="26" fillId="26" borderId="14" xfId="0" applyNumberFormat="1" applyFont="1" applyFill="1" applyBorder="1" applyAlignment="1">
      <alignment horizontal="left" vertical="center" wrapText="1"/>
    </xf>
    <xf numFmtId="0" fontId="23" fillId="26" borderId="14" xfId="0" applyNumberFormat="1" applyFont="1" applyFill="1" applyBorder="1" applyAlignment="1">
      <alignment horizontal="left" vertical="center" wrapText="1"/>
    </xf>
    <xf numFmtId="0" fontId="25" fillId="26" borderId="14" xfId="0" quotePrefix="1" applyNumberFormat="1" applyFont="1" applyFill="1" applyBorder="1" applyAlignment="1">
      <alignment horizontal="left" vertical="center" wrapText="1"/>
    </xf>
    <xf numFmtId="0" fontId="22" fillId="27" borderId="0" xfId="0" applyFont="1" applyFill="1" applyAlignment="1">
      <alignment horizontal="center" vertical="center"/>
    </xf>
    <xf numFmtId="0" fontId="11" fillId="0" borderId="14" xfId="0" applyFont="1" applyBorder="1" applyAlignment="1">
      <alignment horizontal="center" vertical="center"/>
    </xf>
    <xf numFmtId="0" fontId="11" fillId="28" borderId="14" xfId="0" applyFont="1" applyFill="1" applyBorder="1" applyAlignment="1">
      <alignment horizontal="center" vertical="center"/>
    </xf>
    <xf numFmtId="0" fontId="0" fillId="0" borderId="0" xfId="0" applyFont="1"/>
    <xf numFmtId="1" fontId="24" fillId="21" borderId="31" xfId="0" applyNumberFormat="1" applyFont="1" applyFill="1" applyBorder="1" applyAlignment="1">
      <alignment horizontal="left" vertical="center" wrapText="1"/>
    </xf>
    <xf numFmtId="0" fontId="26" fillId="22" borderId="31" xfId="0" applyNumberFormat="1" applyFont="1" applyFill="1" applyBorder="1" applyAlignment="1">
      <alignment horizontal="left" vertical="center" wrapText="1"/>
    </xf>
    <xf numFmtId="0" fontId="23" fillId="20" borderId="31" xfId="0" applyNumberFormat="1" applyFont="1" applyFill="1" applyBorder="1" applyAlignment="1">
      <alignment horizontal="left" vertical="center" wrapText="1"/>
    </xf>
    <xf numFmtId="0" fontId="25" fillId="20" borderId="31" xfId="0" quotePrefix="1" applyNumberFormat="1" applyFont="1" applyFill="1" applyBorder="1" applyAlignment="1">
      <alignment horizontal="left" vertical="center" wrapText="1"/>
    </xf>
    <xf numFmtId="1" fontId="24" fillId="30" borderId="14" xfId="0" applyNumberFormat="1" applyFont="1" applyFill="1" applyBorder="1" applyAlignment="1">
      <alignment horizontal="left" vertical="center" wrapText="1"/>
    </xf>
    <xf numFmtId="0" fontId="26" fillId="30" borderId="14" xfId="0" applyNumberFormat="1" applyFont="1" applyFill="1" applyBorder="1" applyAlignment="1">
      <alignment horizontal="left" vertical="center" wrapText="1"/>
    </xf>
    <xf numFmtId="0" fontId="23" fillId="30" borderId="14" xfId="0" applyNumberFormat="1" applyFont="1" applyFill="1" applyBorder="1" applyAlignment="1">
      <alignment horizontal="left" vertical="center" wrapText="1"/>
    </xf>
    <xf numFmtId="0" fontId="25" fillId="30" borderId="14" xfId="0" quotePrefix="1" applyNumberFormat="1" applyFont="1" applyFill="1" applyBorder="1" applyAlignment="1">
      <alignment horizontal="left" vertical="center" wrapText="1"/>
    </xf>
    <xf numFmtId="1" fontId="24" fillId="14" borderId="14" xfId="0" applyNumberFormat="1" applyFont="1" applyFill="1" applyBorder="1" applyAlignment="1">
      <alignment horizontal="left" vertical="center" wrapText="1"/>
    </xf>
    <xf numFmtId="0" fontId="26" fillId="14" borderId="14" xfId="0" applyNumberFormat="1" applyFont="1" applyFill="1" applyBorder="1" applyAlignment="1">
      <alignment horizontal="left" vertical="center" wrapText="1"/>
    </xf>
    <xf numFmtId="0" fontId="23" fillId="14" borderId="14" xfId="0" applyNumberFormat="1" applyFont="1" applyFill="1" applyBorder="1" applyAlignment="1">
      <alignment horizontal="left" vertical="center" wrapText="1"/>
    </xf>
    <xf numFmtId="0" fontId="25" fillId="14" borderId="14" xfId="0" quotePrefix="1" applyNumberFormat="1" applyFont="1" applyFill="1" applyBorder="1" applyAlignment="1">
      <alignment horizontal="left" vertical="center" wrapText="1"/>
    </xf>
    <xf numFmtId="14" fontId="11" fillId="20" borderId="14" xfId="0" applyNumberFormat="1" applyFont="1" applyFill="1" applyBorder="1" applyAlignment="1">
      <alignment horizontal="left"/>
    </xf>
    <xf numFmtId="49" fontId="11" fillId="20" borderId="14" xfId="0" applyNumberFormat="1" applyFont="1" applyFill="1" applyBorder="1" applyAlignment="1">
      <alignment horizontal="left"/>
    </xf>
    <xf numFmtId="49" fontId="11" fillId="20" borderId="14" xfId="0" applyNumberFormat="1" applyFont="1" applyFill="1" applyBorder="1" applyAlignment="1">
      <alignment horizontal="left" wrapText="1"/>
    </xf>
    <xf numFmtId="0" fontId="27" fillId="19" borderId="54" xfId="0" applyNumberFormat="1" applyFont="1" applyFill="1" applyBorder="1" applyAlignment="1">
      <alignment horizontal="center"/>
    </xf>
    <xf numFmtId="0" fontId="28" fillId="31" borderId="0" xfId="0" applyNumberFormat="1" applyFont="1" applyFill="1" applyBorder="1" applyAlignment="1">
      <alignment horizontal="left"/>
    </xf>
    <xf numFmtId="0" fontId="27" fillId="19" borderId="56" xfId="0" applyNumberFormat="1" applyFont="1" applyFill="1" applyBorder="1" applyAlignment="1">
      <alignment horizontal="center"/>
    </xf>
    <xf numFmtId="0" fontId="27" fillId="19" borderId="57" xfId="0" applyNumberFormat="1" applyFont="1" applyFill="1" applyBorder="1" applyAlignment="1">
      <alignment horizontal="center"/>
    </xf>
    <xf numFmtId="0" fontId="28" fillId="31" borderId="54" xfId="0" applyNumberFormat="1" applyFont="1" applyFill="1" applyBorder="1" applyAlignment="1">
      <alignment horizontal="left"/>
    </xf>
    <xf numFmtId="0" fontId="28" fillId="31" borderId="60" xfId="0" quotePrefix="1" applyNumberFormat="1" applyFont="1" applyFill="1" applyBorder="1" applyAlignment="1">
      <alignment horizontal="left"/>
    </xf>
    <xf numFmtId="0" fontId="28" fillId="31" borderId="61" xfId="0" quotePrefix="1" applyNumberFormat="1" applyFont="1" applyFill="1" applyBorder="1" applyAlignment="1">
      <alignment horizontal="left"/>
    </xf>
    <xf numFmtId="0" fontId="28" fillId="32" borderId="55" xfId="0" applyNumberFormat="1" applyFont="1" applyFill="1" applyBorder="1" applyAlignment="1">
      <alignment horizontal="left"/>
    </xf>
    <xf numFmtId="0" fontId="28" fillId="32" borderId="0" xfId="0" applyNumberFormat="1" applyFont="1" applyFill="1" applyBorder="1" applyAlignment="1">
      <alignment horizontal="left"/>
    </xf>
    <xf numFmtId="0" fontId="28" fillId="32" borderId="63" xfId="0" quotePrefix="1" applyNumberFormat="1" applyFont="1" applyFill="1" applyBorder="1" applyAlignment="1">
      <alignment horizontal="left"/>
    </xf>
    <xf numFmtId="0" fontId="28" fillId="32" borderId="61" xfId="0" quotePrefix="1" applyNumberFormat="1" applyFont="1" applyFill="1" applyBorder="1" applyAlignment="1">
      <alignment horizontal="left"/>
    </xf>
    <xf numFmtId="0" fontId="28" fillId="33" borderId="0" xfId="0" applyNumberFormat="1" applyFont="1" applyFill="1" applyBorder="1" applyAlignment="1">
      <alignment horizontal="left"/>
    </xf>
    <xf numFmtId="0" fontId="28" fillId="33" borderId="61" xfId="0" quotePrefix="1" applyNumberFormat="1" applyFont="1" applyFill="1" applyBorder="1" applyAlignment="1">
      <alignment horizontal="left"/>
    </xf>
    <xf numFmtId="0" fontId="29" fillId="31" borderId="65" xfId="0" applyNumberFormat="1" applyFont="1" applyFill="1" applyBorder="1" applyAlignment="1">
      <alignment horizontal="left"/>
    </xf>
    <xf numFmtId="0" fontId="29" fillId="31" borderId="66" xfId="0" applyNumberFormat="1" applyFont="1" applyFill="1" applyBorder="1" applyAlignment="1">
      <alignment horizontal="left"/>
    </xf>
    <xf numFmtId="0" fontId="29" fillId="31" borderId="62" xfId="0" applyNumberFormat="1" applyFont="1" applyFill="1" applyBorder="1" applyAlignment="1">
      <alignment horizontal="left"/>
    </xf>
    <xf numFmtId="0" fontId="29" fillId="31" borderId="58" xfId="0" applyNumberFormat="1" applyFont="1" applyFill="1" applyBorder="1" applyAlignment="1">
      <alignment horizontal="left"/>
    </xf>
    <xf numFmtId="0" fontId="29" fillId="32" borderId="66" xfId="0" applyNumberFormat="1" applyFont="1" applyFill="1" applyBorder="1" applyAlignment="1">
      <alignment horizontal="left"/>
    </xf>
    <xf numFmtId="0" fontId="29" fillId="32" borderId="58" xfId="0" applyNumberFormat="1" applyFont="1" applyFill="1" applyBorder="1" applyAlignment="1">
      <alignment horizontal="left"/>
    </xf>
    <xf numFmtId="0" fontId="29" fillId="32" borderId="62" xfId="0" applyNumberFormat="1" applyFont="1" applyFill="1" applyBorder="1" applyAlignment="1">
      <alignment horizontal="left"/>
    </xf>
    <xf numFmtId="0" fontId="29" fillId="32" borderId="65" xfId="0" applyNumberFormat="1" applyFont="1" applyFill="1" applyBorder="1" applyAlignment="1">
      <alignment horizontal="left"/>
    </xf>
    <xf numFmtId="0" fontId="29" fillId="33" borderId="66" xfId="0" applyNumberFormat="1" applyFont="1" applyFill="1" applyBorder="1" applyAlignment="1">
      <alignment horizontal="left"/>
    </xf>
    <xf numFmtId="0" fontId="29" fillId="33" borderId="58" xfId="0" applyNumberFormat="1" applyFont="1" applyFill="1" applyBorder="1" applyAlignment="1">
      <alignment horizontal="left"/>
    </xf>
    <xf numFmtId="0" fontId="11" fillId="0" borderId="14" xfId="0" applyFont="1" applyFill="1" applyBorder="1" applyAlignment="1">
      <alignment horizontal="center" vertical="center"/>
    </xf>
    <xf numFmtId="0" fontId="29" fillId="0" borderId="58" xfId="0" applyNumberFormat="1" applyFont="1" applyFill="1" applyBorder="1" applyAlignment="1">
      <alignment horizontal="left"/>
    </xf>
    <xf numFmtId="0" fontId="29" fillId="0" borderId="66" xfId="0" applyNumberFormat="1" applyFont="1" applyFill="1" applyBorder="1" applyAlignment="1">
      <alignment horizontal="left"/>
    </xf>
    <xf numFmtId="0" fontId="28" fillId="0" borderId="0" xfId="0" applyNumberFormat="1" applyFont="1" applyFill="1" applyBorder="1" applyAlignment="1">
      <alignment horizontal="left"/>
    </xf>
    <xf numFmtId="0" fontId="28" fillId="0" borderId="61" xfId="0" quotePrefix="1" applyNumberFormat="1" applyFont="1" applyFill="1" applyBorder="1" applyAlignment="1">
      <alignment horizontal="left"/>
    </xf>
    <xf numFmtId="0" fontId="29" fillId="0" borderId="59" xfId="0" applyNumberFormat="1" applyFont="1" applyFill="1" applyBorder="1" applyAlignment="1">
      <alignment horizontal="left"/>
    </xf>
    <xf numFmtId="0" fontId="29" fillId="0" borderId="67" xfId="0" applyNumberFormat="1" applyFont="1" applyFill="1" applyBorder="1" applyAlignment="1">
      <alignment horizontal="left"/>
    </xf>
    <xf numFmtId="0" fontId="29" fillId="10" borderId="58" xfId="0" applyNumberFormat="1" applyFont="1" applyFill="1" applyBorder="1" applyAlignment="1">
      <alignment horizontal="left"/>
    </xf>
    <xf numFmtId="0" fontId="29" fillId="10" borderId="66" xfId="0" applyNumberFormat="1" applyFont="1" applyFill="1" applyBorder="1" applyAlignment="1">
      <alignment horizontal="left"/>
    </xf>
    <xf numFmtId="0" fontId="28" fillId="10" borderId="0" xfId="0" applyNumberFormat="1" applyFont="1" applyFill="1" applyBorder="1" applyAlignment="1">
      <alignment horizontal="left"/>
    </xf>
    <xf numFmtId="0" fontId="28" fillId="10" borderId="61" xfId="0" quotePrefix="1" applyNumberFormat="1" applyFont="1" applyFill="1" applyBorder="1" applyAlignment="1">
      <alignment horizontal="left"/>
    </xf>
    <xf numFmtId="0" fontId="29" fillId="8" borderId="62" xfId="0" applyNumberFormat="1" applyFont="1" applyFill="1" applyBorder="1" applyAlignment="1">
      <alignment horizontal="left"/>
    </xf>
    <xf numFmtId="0" fontId="29" fillId="8" borderId="65" xfId="0" applyNumberFormat="1" applyFont="1" applyFill="1" applyBorder="1" applyAlignment="1">
      <alignment horizontal="left"/>
    </xf>
    <xf numFmtId="0" fontId="28" fillId="8" borderId="55" xfId="0" applyNumberFormat="1" applyFont="1" applyFill="1" applyBorder="1" applyAlignment="1">
      <alignment horizontal="left"/>
    </xf>
    <xf numFmtId="0" fontId="28" fillId="8" borderId="63" xfId="0" quotePrefix="1" applyNumberFormat="1" applyFont="1" applyFill="1" applyBorder="1" applyAlignment="1">
      <alignment horizontal="left"/>
    </xf>
    <xf numFmtId="0" fontId="29" fillId="8" borderId="58" xfId="0" applyNumberFormat="1" applyFont="1" applyFill="1" applyBorder="1" applyAlignment="1">
      <alignment horizontal="left"/>
    </xf>
    <xf numFmtId="0" fontId="29" fillId="8" borderId="66" xfId="0" applyNumberFormat="1" applyFont="1" applyFill="1" applyBorder="1" applyAlignment="1">
      <alignment horizontal="left"/>
    </xf>
    <xf numFmtId="0" fontId="28" fillId="8" borderId="0" xfId="0" applyNumberFormat="1" applyFont="1" applyFill="1" applyBorder="1" applyAlignment="1">
      <alignment horizontal="left"/>
    </xf>
    <xf numFmtId="0" fontId="28" fillId="8" borderId="61" xfId="0" quotePrefix="1" applyNumberFormat="1" applyFont="1" applyFill="1" applyBorder="1" applyAlignment="1">
      <alignment horizontal="left"/>
    </xf>
    <xf numFmtId="0" fontId="29" fillId="5" borderId="58" xfId="0" applyNumberFormat="1" applyFont="1" applyFill="1" applyBorder="1" applyAlignment="1">
      <alignment horizontal="left"/>
    </xf>
    <xf numFmtId="0" fontId="29" fillId="5" borderId="66" xfId="0" applyNumberFormat="1" applyFont="1" applyFill="1" applyBorder="1" applyAlignment="1">
      <alignment horizontal="left"/>
    </xf>
    <xf numFmtId="0" fontId="28" fillId="5" borderId="0" xfId="0" applyNumberFormat="1" applyFont="1" applyFill="1" applyBorder="1" applyAlignment="1">
      <alignment horizontal="left"/>
    </xf>
    <xf numFmtId="0" fontId="28" fillId="5" borderId="61" xfId="0" quotePrefix="1" applyNumberFormat="1" applyFont="1" applyFill="1" applyBorder="1" applyAlignment="1">
      <alignment horizontal="left"/>
    </xf>
    <xf numFmtId="0" fontId="29" fillId="5" borderId="62" xfId="0" applyNumberFormat="1" applyFont="1" applyFill="1" applyBorder="1" applyAlignment="1">
      <alignment horizontal="left"/>
    </xf>
    <xf numFmtId="0" fontId="29" fillId="5" borderId="65" xfId="0" applyNumberFormat="1" applyFont="1" applyFill="1" applyBorder="1" applyAlignment="1">
      <alignment horizontal="left"/>
    </xf>
    <xf numFmtId="0" fontId="28" fillId="5" borderId="55" xfId="0" applyNumberFormat="1" applyFont="1" applyFill="1" applyBorder="1" applyAlignment="1">
      <alignment horizontal="left"/>
    </xf>
    <xf numFmtId="0" fontId="28" fillId="5" borderId="63" xfId="0" quotePrefix="1" applyNumberFormat="1" applyFont="1" applyFill="1" applyBorder="1" applyAlignment="1">
      <alignment horizontal="left"/>
    </xf>
    <xf numFmtId="0" fontId="22" fillId="27" borderId="0" xfId="0" applyFont="1" applyFill="1" applyBorder="1" applyAlignment="1">
      <alignment horizontal="center" vertical="center"/>
    </xf>
    <xf numFmtId="0" fontId="22" fillId="27" borderId="0" xfId="0" quotePrefix="1" applyFont="1" applyFill="1" applyAlignment="1">
      <alignment horizontal="center" vertical="center"/>
    </xf>
    <xf numFmtId="0" fontId="0" fillId="0" borderId="0" xfId="0" applyFill="1"/>
    <xf numFmtId="0" fontId="27" fillId="19" borderId="72" xfId="0" applyFont="1" applyFill="1" applyBorder="1" applyAlignment="1">
      <alignment horizontal="center" vertical="center"/>
    </xf>
    <xf numFmtId="0" fontId="28" fillId="36" borderId="72" xfId="0" applyFont="1" applyFill="1" applyBorder="1" applyAlignment="1">
      <alignment horizontal="center" vertical="center"/>
    </xf>
    <xf numFmtId="0" fontId="31" fillId="36" borderId="72" xfId="0" applyFont="1" applyFill="1" applyBorder="1" applyAlignment="1">
      <alignment vertical="center"/>
    </xf>
    <xf numFmtId="0" fontId="28" fillId="36" borderId="72" xfId="0" applyFont="1" applyFill="1" applyBorder="1" applyAlignment="1">
      <alignment vertical="center"/>
    </xf>
    <xf numFmtId="0" fontId="28" fillId="33" borderId="72" xfId="0" applyFont="1" applyFill="1" applyBorder="1" applyAlignment="1">
      <alignment horizontal="center" vertical="center"/>
    </xf>
    <xf numFmtId="0" fontId="31" fillId="33" borderId="72" xfId="0" applyFont="1" applyFill="1" applyBorder="1" applyAlignment="1">
      <alignment vertical="center"/>
    </xf>
    <xf numFmtId="0" fontId="28" fillId="33" borderId="72" xfId="0" applyFont="1" applyFill="1" applyBorder="1" applyAlignment="1">
      <alignment vertical="center"/>
    </xf>
    <xf numFmtId="0" fontId="0" fillId="0" borderId="0" xfId="0" applyAlignment="1">
      <alignment wrapText="1"/>
    </xf>
    <xf numFmtId="0" fontId="15" fillId="7" borderId="14" xfId="0" applyFont="1" applyFill="1" applyBorder="1"/>
    <xf numFmtId="0" fontId="15" fillId="37" borderId="14" xfId="0" applyFont="1" applyFill="1" applyBorder="1"/>
    <xf numFmtId="0" fontId="28" fillId="12" borderId="72" xfId="0" applyFont="1" applyFill="1" applyBorder="1" applyAlignment="1">
      <alignment horizontal="center" vertical="center"/>
    </xf>
    <xf numFmtId="0" fontId="31" fillId="12" borderId="72" xfId="0" applyFont="1" applyFill="1" applyBorder="1" applyAlignment="1">
      <alignment vertical="center"/>
    </xf>
    <xf numFmtId="0" fontId="28" fillId="12" borderId="72" xfId="0" applyFont="1" applyFill="1" applyBorder="1" applyAlignment="1">
      <alignment vertical="center"/>
    </xf>
    <xf numFmtId="14" fontId="0" fillId="7" borderId="19" xfId="0" applyNumberFormat="1" applyFill="1" applyBorder="1" applyAlignment="1">
      <alignment horizontal="center"/>
    </xf>
    <xf numFmtId="14" fontId="0" fillId="7" borderId="21" xfId="0" applyNumberFormat="1" applyFill="1" applyBorder="1" applyAlignment="1">
      <alignment horizontal="center"/>
    </xf>
    <xf numFmtId="18" fontId="0" fillId="7" borderId="19" xfId="0" applyNumberFormat="1" applyFill="1" applyBorder="1" applyAlignment="1">
      <alignment horizontal="center"/>
    </xf>
    <xf numFmtId="169" fontId="0" fillId="7" borderId="19" xfId="0" applyNumberFormat="1" applyFill="1" applyBorder="1" applyAlignment="1">
      <alignment horizontal="center"/>
    </xf>
    <xf numFmtId="169" fontId="0" fillId="7" borderId="21" xfId="0" applyNumberFormat="1" applyFill="1" applyBorder="1" applyAlignment="1">
      <alignment horizontal="center"/>
    </xf>
    <xf numFmtId="170" fontId="0" fillId="7" borderId="21" xfId="0" applyNumberFormat="1" applyFill="1" applyBorder="1" applyAlignment="1">
      <alignment horizontal="center"/>
    </xf>
    <xf numFmtId="0" fontId="28" fillId="9" borderId="72" xfId="0" applyFont="1" applyFill="1" applyBorder="1" applyAlignment="1">
      <alignment horizontal="center" vertical="center"/>
    </xf>
    <xf numFmtId="0" fontId="31" fillId="9" borderId="72" xfId="0" applyFont="1" applyFill="1" applyBorder="1" applyAlignment="1">
      <alignment vertical="center"/>
    </xf>
    <xf numFmtId="0" fontId="28" fillId="9" borderId="72" xfId="0" applyFont="1" applyFill="1" applyBorder="1" applyAlignment="1">
      <alignment vertical="center"/>
    </xf>
    <xf numFmtId="0" fontId="28" fillId="5" borderId="72" xfId="0" applyFont="1" applyFill="1" applyBorder="1" applyAlignment="1">
      <alignment horizontal="center" vertical="center"/>
    </xf>
    <xf numFmtId="0" fontId="31" fillId="5" borderId="72" xfId="0" applyFont="1" applyFill="1" applyBorder="1" applyAlignment="1">
      <alignment vertical="center"/>
    </xf>
    <xf numFmtId="0" fontId="28" fillId="5" borderId="72" xfId="0" applyFont="1" applyFill="1" applyBorder="1" applyAlignment="1">
      <alignment vertical="center"/>
    </xf>
    <xf numFmtId="0" fontId="28" fillId="38" borderId="72" xfId="0" applyFont="1" applyFill="1" applyBorder="1" applyAlignment="1">
      <alignment horizontal="center" vertical="center"/>
    </xf>
    <xf numFmtId="0" fontId="31" fillId="38" borderId="72" xfId="0" applyFont="1" applyFill="1" applyBorder="1" applyAlignment="1">
      <alignment vertical="center"/>
    </xf>
    <xf numFmtId="0" fontId="28" fillId="38" borderId="72" xfId="0" applyFont="1" applyFill="1" applyBorder="1" applyAlignment="1">
      <alignment vertical="center"/>
    </xf>
    <xf numFmtId="0" fontId="28" fillId="39" borderId="72" xfId="0" applyFont="1" applyFill="1" applyBorder="1" applyAlignment="1">
      <alignment horizontal="center" vertical="center"/>
    </xf>
    <xf numFmtId="0" fontId="31" fillId="39" borderId="72" xfId="0" applyFont="1" applyFill="1" applyBorder="1" applyAlignment="1">
      <alignment vertical="center"/>
    </xf>
    <xf numFmtId="0" fontId="28" fillId="39" borderId="72" xfId="0" applyFont="1" applyFill="1" applyBorder="1" applyAlignment="1">
      <alignment vertical="center"/>
    </xf>
    <xf numFmtId="170" fontId="0" fillId="37" borderId="21" xfId="0" applyNumberFormat="1" applyFill="1" applyBorder="1" applyAlignment="1">
      <alignment horizontal="center"/>
    </xf>
    <xf numFmtId="169" fontId="0" fillId="37" borderId="21" xfId="0" applyNumberFormat="1" applyFill="1" applyBorder="1" applyAlignment="1">
      <alignment horizontal="center"/>
    </xf>
    <xf numFmtId="14" fontId="0" fillId="12" borderId="14" xfId="0" applyNumberFormat="1" applyFill="1" applyBorder="1"/>
    <xf numFmtId="22" fontId="0" fillId="12" borderId="14" xfId="0" applyNumberFormat="1" applyFill="1" applyBorder="1"/>
    <xf numFmtId="18" fontId="0" fillId="12" borderId="14" xfId="0" applyNumberFormat="1" applyFill="1" applyBorder="1"/>
    <xf numFmtId="0" fontId="0" fillId="40" borderId="14" xfId="0" applyFill="1" applyBorder="1" applyAlignment="1">
      <alignment horizontal="center"/>
    </xf>
    <xf numFmtId="14" fontId="0" fillId="40" borderId="20" xfId="0" applyNumberFormat="1" applyFill="1" applyBorder="1" applyAlignment="1">
      <alignment horizontal="center"/>
    </xf>
    <xf numFmtId="18" fontId="0" fillId="40" borderId="14" xfId="0" applyNumberFormat="1" applyFill="1" applyBorder="1" applyAlignment="1">
      <alignment horizontal="center"/>
    </xf>
    <xf numFmtId="0" fontId="0" fillId="7" borderId="21" xfId="0" applyNumberFormat="1" applyFill="1" applyBorder="1" applyAlignment="1">
      <alignment horizontal="center"/>
    </xf>
    <xf numFmtId="0" fontId="28" fillId="26" borderId="72" xfId="0" applyFont="1" applyFill="1" applyBorder="1" applyAlignment="1">
      <alignment horizontal="center" vertical="center"/>
    </xf>
    <xf numFmtId="0" fontId="31" fillId="26" borderId="72" xfId="0" applyFont="1" applyFill="1" applyBorder="1" applyAlignment="1">
      <alignment vertical="center"/>
    </xf>
    <xf numFmtId="0" fontId="28" fillId="26" borderId="72" xfId="0" applyFont="1" applyFill="1" applyBorder="1" applyAlignment="1">
      <alignment vertical="center"/>
    </xf>
    <xf numFmtId="0" fontId="28" fillId="10" borderId="72" xfId="0" applyFont="1" applyFill="1" applyBorder="1" applyAlignment="1">
      <alignment horizontal="center" vertical="center"/>
    </xf>
    <xf numFmtId="0" fontId="31" fillId="10" borderId="72" xfId="0" applyFont="1" applyFill="1" applyBorder="1" applyAlignment="1">
      <alignment vertical="center"/>
    </xf>
    <xf numFmtId="0" fontId="28" fillId="10" borderId="72" xfId="0" applyFont="1" applyFill="1" applyBorder="1" applyAlignment="1">
      <alignment vertical="center"/>
    </xf>
    <xf numFmtId="0" fontId="28" fillId="41" borderId="72" xfId="0" applyFont="1" applyFill="1" applyBorder="1" applyAlignment="1">
      <alignment horizontal="center" vertical="center"/>
    </xf>
    <xf numFmtId="0" fontId="31" fillId="41" borderId="72" xfId="0" applyFont="1" applyFill="1" applyBorder="1" applyAlignment="1">
      <alignment vertical="center"/>
    </xf>
    <xf numFmtId="0" fontId="28" fillId="41" borderId="72" xfId="0" applyFont="1" applyFill="1" applyBorder="1" applyAlignment="1">
      <alignment vertical="center"/>
    </xf>
    <xf numFmtId="0" fontId="28" fillId="42" borderId="72" xfId="0" applyFont="1" applyFill="1" applyBorder="1" applyAlignment="1">
      <alignment horizontal="center" vertical="center"/>
    </xf>
    <xf numFmtId="0" fontId="31" fillId="42" borderId="72" xfId="0" applyFont="1" applyFill="1" applyBorder="1" applyAlignment="1">
      <alignment vertical="center"/>
    </xf>
    <xf numFmtId="0" fontId="28" fillId="42" borderId="72" xfId="0" applyFont="1" applyFill="1" applyBorder="1" applyAlignment="1">
      <alignment vertical="center"/>
    </xf>
    <xf numFmtId="22" fontId="0" fillId="7" borderId="21" xfId="0" applyNumberFormat="1" applyFill="1" applyBorder="1" applyAlignment="1">
      <alignment horizontal="center"/>
    </xf>
    <xf numFmtId="171" fontId="0" fillId="7" borderId="21" xfId="0" applyNumberFormat="1" applyFill="1" applyBorder="1" applyAlignment="1">
      <alignment horizontal="center"/>
    </xf>
    <xf numFmtId="0" fontId="0" fillId="37" borderId="21" xfId="0" applyNumberFormat="1" applyFill="1" applyBorder="1" applyAlignment="1">
      <alignment horizontal="center"/>
    </xf>
    <xf numFmtId="0" fontId="31" fillId="36" borderId="72" xfId="0" applyFont="1" applyFill="1" applyBorder="1" applyAlignment="1">
      <alignment horizontal="center" vertical="center"/>
    </xf>
    <xf numFmtId="0" fontId="31" fillId="12" borderId="72" xfId="0" applyFont="1" applyFill="1" applyBorder="1" applyAlignment="1">
      <alignment horizontal="center" vertical="center"/>
    </xf>
    <xf numFmtId="0" fontId="31" fillId="39" borderId="72" xfId="0" applyFont="1" applyFill="1" applyBorder="1" applyAlignment="1">
      <alignment horizontal="center" vertical="center"/>
    </xf>
    <xf numFmtId="0" fontId="31" fillId="38" borderId="72" xfId="0" applyFont="1" applyFill="1" applyBorder="1" applyAlignment="1">
      <alignment horizontal="center" vertical="center"/>
    </xf>
    <xf numFmtId="0" fontId="31" fillId="26" borderId="72" xfId="0" applyFont="1" applyFill="1" applyBorder="1" applyAlignment="1">
      <alignment horizontal="center" vertical="center"/>
    </xf>
    <xf numFmtId="0" fontId="31" fillId="33" borderId="72" xfId="0" applyFont="1" applyFill="1" applyBorder="1" applyAlignment="1">
      <alignment horizontal="center" vertical="center"/>
    </xf>
    <xf numFmtId="0" fontId="31" fillId="9" borderId="72" xfId="0" applyFont="1" applyFill="1" applyBorder="1" applyAlignment="1">
      <alignment horizontal="center" vertical="center"/>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7" borderId="0" xfId="0" applyFont="1" applyFill="1" applyAlignment="1">
      <alignment horizontal="center"/>
    </xf>
    <xf numFmtId="0" fontId="19" fillId="17" borderId="0" xfId="0" applyFont="1" applyFill="1" applyAlignment="1">
      <alignment horizontal="center"/>
    </xf>
    <xf numFmtId="0" fontId="17" fillId="2" borderId="14" xfId="0" applyFont="1" applyFill="1" applyBorder="1" applyAlignment="1">
      <alignment horizontal="center"/>
    </xf>
    <xf numFmtId="0" fontId="20" fillId="18" borderId="14" xfId="0" applyFont="1" applyFill="1" applyBorder="1" applyAlignment="1">
      <alignment horizontal="center"/>
    </xf>
    <xf numFmtId="0" fontId="20" fillId="18" borderId="43" xfId="0" applyFont="1" applyFill="1" applyBorder="1" applyAlignment="1">
      <alignment horizontal="center"/>
    </xf>
    <xf numFmtId="0" fontId="20" fillId="18" borderId="0" xfId="0" applyFont="1" applyFill="1" applyAlignment="1">
      <alignment horizontal="center"/>
    </xf>
    <xf numFmtId="0" fontId="15" fillId="29" borderId="51" xfId="0" applyFont="1" applyFill="1" applyBorder="1" applyAlignment="1">
      <alignment horizontal="center"/>
    </xf>
    <xf numFmtId="0" fontId="15" fillId="29" borderId="52" xfId="0" applyFont="1" applyFill="1" applyBorder="1" applyAlignment="1">
      <alignment horizontal="center"/>
    </xf>
    <xf numFmtId="0" fontId="15" fillId="29" borderId="53" xfId="0" applyFont="1" applyFill="1" applyBorder="1" applyAlignment="1">
      <alignment horizontal="center"/>
    </xf>
    <xf numFmtId="0" fontId="22" fillId="23" borderId="49" xfId="0" applyNumberFormat="1" applyFont="1" applyFill="1" applyBorder="1" applyAlignment="1">
      <alignment horizontal="center"/>
    </xf>
    <xf numFmtId="0" fontId="22" fillId="23" borderId="50" xfId="0" applyNumberFormat="1" applyFont="1" applyFill="1" applyBorder="1" applyAlignment="1">
      <alignment horizontal="center"/>
    </xf>
    <xf numFmtId="0" fontId="21" fillId="16" borderId="0" xfId="0" applyFont="1" applyFill="1" applyAlignment="1">
      <alignment horizontal="center" vertical="center"/>
    </xf>
    <xf numFmtId="0" fontId="29" fillId="34" borderId="64" xfId="0" applyNumberFormat="1" applyFont="1" applyFill="1" applyBorder="1" applyAlignment="1">
      <alignment horizontal="center"/>
    </xf>
    <xf numFmtId="0" fontId="29" fillId="34" borderId="68" xfId="0" applyNumberFormat="1" applyFont="1" applyFill="1" applyBorder="1" applyAlignment="1">
      <alignment horizontal="center"/>
    </xf>
    <xf numFmtId="0" fontId="29" fillId="34" borderId="69" xfId="0" applyNumberFormat="1" applyFont="1" applyFill="1" applyBorder="1" applyAlignment="1">
      <alignment horizontal="center"/>
    </xf>
    <xf numFmtId="0" fontId="22" fillId="27" borderId="28" xfId="0" applyFont="1" applyFill="1" applyBorder="1" applyAlignment="1">
      <alignment horizontal="center" vertical="center"/>
    </xf>
    <xf numFmtId="0" fontId="30" fillId="27" borderId="28" xfId="0" applyFont="1" applyFill="1" applyBorder="1" applyAlignment="1">
      <alignment horizontal="center" vertical="center"/>
    </xf>
    <xf numFmtId="0" fontId="29" fillId="35" borderId="71" xfId="0" applyFont="1" applyFill="1" applyBorder="1" applyAlignment="1">
      <alignment horizontal="center" vertical="center"/>
    </xf>
    <xf numFmtId="0" fontId="29" fillId="35" borderId="70" xfId="0" applyFont="1" applyFill="1" applyBorder="1" applyAlignment="1">
      <alignment horizontal="center" vertical="center"/>
    </xf>
    <xf numFmtId="0" fontId="29" fillId="35" borderId="73" xfId="0" applyFont="1" applyFill="1" applyBorder="1" applyAlignment="1">
      <alignment horizontal="center" vertical="center"/>
    </xf>
    <xf numFmtId="0" fontId="17" fillId="2" borderId="30" xfId="0" applyFont="1" applyFill="1" applyBorder="1" applyAlignment="1">
      <alignment horizontal="center"/>
    </xf>
    <xf numFmtId="0" fontId="17" fillId="2" borderId="42" xfId="0" applyFont="1" applyFill="1" applyBorder="1" applyAlignment="1">
      <alignment horizontal="center"/>
    </xf>
    <xf numFmtId="0" fontId="17" fillId="2" borderId="41" xfId="0" applyFont="1" applyFill="1" applyBorder="1" applyAlignment="1">
      <alignment horizontal="center"/>
    </xf>
    <xf numFmtId="0" fontId="20" fillId="18" borderId="0" xfId="0" applyFont="1" applyFill="1" applyBorder="1" applyAlignment="1">
      <alignment horizontal="center"/>
    </xf>
    <xf numFmtId="2" fontId="0" fillId="8" borderId="14" xfId="0" applyNumberFormat="1" applyFill="1" applyBorder="1" applyAlignment="1">
      <alignment horizontal="center"/>
    </xf>
  </cellXfs>
  <cellStyles count="2">
    <cellStyle name="Normal" xfId="0" builtinId="0"/>
    <cellStyle name="Percent" xfId="1"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32844</xdr:colOff>
      <xdr:row>46</xdr:row>
      <xdr:rowOff>5110</xdr:rowOff>
    </xdr:from>
    <xdr:to>
      <xdr:col>2</xdr:col>
      <xdr:colOff>1156137</xdr:colOff>
      <xdr:row>46</xdr:row>
      <xdr:rowOff>216776</xdr:rowOff>
    </xdr:to>
    <xdr:pic>
      <xdr:nvPicPr>
        <xdr:cNvPr id="3" name="Picture 2">
          <a:extLst>
            <a:ext uri="{FF2B5EF4-FFF2-40B4-BE49-F238E27FC236}">
              <a16:creationId xmlns:a16="http://schemas.microsoft.com/office/drawing/2014/main" id="{33F6791B-7414-4DC5-8AED-7F5471677F78}"/>
            </a:ext>
          </a:extLst>
        </xdr:cNvPr>
        <xdr:cNvPicPr>
          <a:picLocks noChangeAspect="1"/>
        </xdr:cNvPicPr>
      </xdr:nvPicPr>
      <xdr:blipFill>
        <a:blip xmlns:r="http://schemas.openxmlformats.org/officeDocument/2006/relationships" r:embed="rId1"/>
        <a:stretch>
          <a:fillRect/>
        </a:stretch>
      </xdr:blipFill>
      <xdr:spPr>
        <a:xfrm>
          <a:off x="1832741" y="8866644"/>
          <a:ext cx="1123293" cy="211666"/>
        </a:xfrm>
        <a:prstGeom prst="rect">
          <a:avLst/>
        </a:prstGeom>
      </xdr:spPr>
    </xdr:pic>
    <xdr:clientData/>
  </xdr:twoCellAnchor>
  <xdr:twoCellAnchor editAs="oneCell">
    <xdr:from>
      <xdr:col>7</xdr:col>
      <xdr:colOff>83343</xdr:colOff>
      <xdr:row>60</xdr:row>
      <xdr:rowOff>29765</xdr:rowOff>
    </xdr:from>
    <xdr:to>
      <xdr:col>7</xdr:col>
      <xdr:colOff>1190625</xdr:colOff>
      <xdr:row>60</xdr:row>
      <xdr:rowOff>208359</xdr:rowOff>
    </xdr:to>
    <xdr:pic>
      <xdr:nvPicPr>
        <xdr:cNvPr id="4" name="Picture 3">
          <a:extLst>
            <a:ext uri="{FF2B5EF4-FFF2-40B4-BE49-F238E27FC236}">
              <a16:creationId xmlns:a16="http://schemas.microsoft.com/office/drawing/2014/main" id="{DC362064-7AE3-4910-9C0A-A230E379A168}"/>
            </a:ext>
          </a:extLst>
        </xdr:cNvPr>
        <xdr:cNvPicPr>
          <a:picLocks noChangeAspect="1"/>
        </xdr:cNvPicPr>
      </xdr:nvPicPr>
      <xdr:blipFill>
        <a:blip xmlns:r="http://schemas.openxmlformats.org/officeDocument/2006/relationships" r:embed="rId2"/>
        <a:stretch>
          <a:fillRect/>
        </a:stretch>
      </xdr:blipFill>
      <xdr:spPr>
        <a:xfrm>
          <a:off x="7739062" y="12066984"/>
          <a:ext cx="1107282" cy="178594"/>
        </a:xfrm>
        <a:prstGeom prst="rect">
          <a:avLst/>
        </a:prstGeom>
      </xdr:spPr>
    </xdr:pic>
    <xdr:clientData/>
  </xdr:twoCellAnchor>
  <xdr:twoCellAnchor editAs="oneCell">
    <xdr:from>
      <xdr:col>8</xdr:col>
      <xdr:colOff>119061</xdr:colOff>
      <xdr:row>60</xdr:row>
      <xdr:rowOff>35718</xdr:rowOff>
    </xdr:from>
    <xdr:to>
      <xdr:col>8</xdr:col>
      <xdr:colOff>1125140</xdr:colOff>
      <xdr:row>60</xdr:row>
      <xdr:rowOff>203633</xdr:rowOff>
    </xdr:to>
    <xdr:pic>
      <xdr:nvPicPr>
        <xdr:cNvPr id="5" name="Picture 4">
          <a:extLst>
            <a:ext uri="{FF2B5EF4-FFF2-40B4-BE49-F238E27FC236}">
              <a16:creationId xmlns:a16="http://schemas.microsoft.com/office/drawing/2014/main" id="{F1AC0B2A-E086-4F3F-8AA3-384590636B2F}"/>
            </a:ext>
          </a:extLst>
        </xdr:cNvPr>
        <xdr:cNvPicPr>
          <a:picLocks noChangeAspect="1"/>
        </xdr:cNvPicPr>
      </xdr:nvPicPr>
      <xdr:blipFill>
        <a:blip xmlns:r="http://schemas.openxmlformats.org/officeDocument/2006/relationships" r:embed="rId3"/>
        <a:stretch>
          <a:fillRect/>
        </a:stretch>
      </xdr:blipFill>
      <xdr:spPr>
        <a:xfrm>
          <a:off x="9013030" y="12072937"/>
          <a:ext cx="1006079" cy="1679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59" dataDxfId="57" headerRowBorderDxfId="58" tableBorderDxfId="56">
  <autoFilter ref="A1:F38" xr:uid="{2688C5AF-1E0A-4EDD-AF11-5A4BBABB9721}"/>
  <tableColumns count="6">
    <tableColumn id="1" xr3:uid="{B1033A5F-C26D-48E8-B4BE-5F7761A770FB}" name="Date" dataDxfId="55" totalsRowDxfId="54"/>
    <tableColumn id="2" xr3:uid="{AD6BA12D-25CE-4D3E-8E2A-1DD281A3FDA5}" name="Employee Name" dataDxfId="53" totalsRowDxfId="52"/>
    <tableColumn id="3" xr3:uid="{96E1CF2B-482C-42D2-8CEA-C0CE6D69979C}" name="Department" dataDxfId="51" totalsRowDxfId="50"/>
    <tableColumn id="4" xr3:uid="{602E6D48-4D10-4D1E-9636-6A41FF0A4753}" name="Region" dataDxfId="49" totalsRowDxfId="48"/>
    <tableColumn id="5" xr3:uid="{98D904BD-DEE8-4674-A97B-995E27B5AB23}" name="Sales (Rs.)" dataDxfId="47" totalsRowDxfId="46"/>
    <tableColumn id="6" xr3:uid="{F7A5EC06-42D8-4DD0-83BA-C91339988D38}" name="Target (Rs.)" totalsRowFunction="custom" dataDxfId="45" totalsRowDxfId="44">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C1" sqref="C1"/>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1</v>
      </c>
      <c r="E2" s="25">
        <f t="shared" ca="1" si="0"/>
        <v>50</v>
      </c>
      <c r="F2" s="25"/>
      <c r="G2" s="28">
        <f ca="1">COUNT(C2:F2)</f>
        <v>2</v>
      </c>
      <c r="H2" s="28">
        <f ca="1">COUNTA(C2:F2)</f>
        <v>3</v>
      </c>
      <c r="I2" s="29">
        <f ca="1">COUNTBLANK(C2:F2)</f>
        <v>1</v>
      </c>
    </row>
    <row r="3" spans="2:9" ht="33" thickTop="1" thickBot="1" x14ac:dyDescent="0.55000000000000004">
      <c r="B3" s="24" t="s">
        <v>89</v>
      </c>
      <c r="C3" s="25">
        <f t="shared" ca="1" si="0"/>
        <v>13</v>
      </c>
      <c r="D3" s="25">
        <f t="shared" ca="1" si="0"/>
        <v>82</v>
      </c>
      <c r="E3" s="25"/>
      <c r="F3" s="25">
        <f t="shared" ca="1" si="0"/>
        <v>52</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96</v>
      </c>
      <c r="E4" s="25">
        <f t="shared" ca="1" si="0"/>
        <v>20</v>
      </c>
      <c r="F4" s="25"/>
      <c r="G4" s="28">
        <f t="shared" ca="1" si="1"/>
        <v>2</v>
      </c>
      <c r="H4" s="28">
        <f t="shared" ca="1" si="2"/>
        <v>2</v>
      </c>
      <c r="I4" s="29">
        <f t="shared" ca="1" si="3"/>
        <v>2</v>
      </c>
    </row>
    <row r="5" spans="2:9" ht="33" thickTop="1" thickBot="1" x14ac:dyDescent="0.55000000000000004">
      <c r="B5" s="24" t="s">
        <v>59</v>
      </c>
      <c r="C5" s="25">
        <f t="shared" ca="1" si="0"/>
        <v>9</v>
      </c>
      <c r="D5" s="25">
        <f t="shared" ca="1" si="0"/>
        <v>9</v>
      </c>
      <c r="E5" s="25"/>
      <c r="F5" s="25">
        <f t="shared" ca="1" si="0"/>
        <v>45</v>
      </c>
      <c r="G5" s="28">
        <f t="shared" ca="1" si="1"/>
        <v>3</v>
      </c>
      <c r="H5" s="28">
        <f t="shared" ca="1" si="2"/>
        <v>3</v>
      </c>
      <c r="I5" s="29">
        <f t="shared" ca="1" si="3"/>
        <v>1</v>
      </c>
    </row>
    <row r="6" spans="2:9" ht="33" thickTop="1" thickBot="1" x14ac:dyDescent="0.55000000000000004">
      <c r="B6" s="24" t="s">
        <v>76</v>
      </c>
      <c r="C6" s="25">
        <f t="shared" ca="1" si="0"/>
        <v>96</v>
      </c>
      <c r="D6" s="25">
        <f t="shared" ca="1" si="0"/>
        <v>38</v>
      </c>
      <c r="E6" s="25"/>
      <c r="F6" s="25">
        <f t="shared" ca="1" si="0"/>
        <v>13</v>
      </c>
      <c r="G6" s="28">
        <f t="shared" ca="1" si="1"/>
        <v>3</v>
      </c>
      <c r="H6" s="28">
        <f t="shared" ca="1" si="2"/>
        <v>3</v>
      </c>
      <c r="I6" s="29">
        <f t="shared" ca="1" si="3"/>
        <v>1</v>
      </c>
    </row>
    <row r="7" spans="2:9" ht="33" thickTop="1" thickBot="1" x14ac:dyDescent="0.55000000000000004">
      <c r="B7" s="24" t="s">
        <v>142</v>
      </c>
      <c r="C7" s="25"/>
      <c r="D7" s="25">
        <f t="shared" ca="1" si="0"/>
        <v>70</v>
      </c>
      <c r="E7" s="25">
        <f t="shared" ca="1" si="0"/>
        <v>90</v>
      </c>
      <c r="F7" s="25">
        <f t="shared" ca="1" si="0"/>
        <v>46</v>
      </c>
      <c r="G7" s="28">
        <f t="shared" ca="1" si="1"/>
        <v>3</v>
      </c>
      <c r="H7" s="28">
        <f t="shared" ca="1" si="2"/>
        <v>3</v>
      </c>
      <c r="I7" s="29">
        <f t="shared" ca="1" si="3"/>
        <v>1</v>
      </c>
    </row>
    <row r="8" spans="2:9" ht="33" thickTop="1" thickBot="1" x14ac:dyDescent="0.55000000000000004">
      <c r="B8" s="24" t="s">
        <v>152</v>
      </c>
      <c r="C8" s="25">
        <f t="shared" ca="1" si="0"/>
        <v>40</v>
      </c>
      <c r="D8" s="25" t="s">
        <v>468</v>
      </c>
      <c r="E8" s="25" t="s">
        <v>468</v>
      </c>
      <c r="F8" s="25">
        <f t="shared" ca="1" si="0"/>
        <v>10</v>
      </c>
      <c r="G8" s="28">
        <f t="shared" ca="1" si="1"/>
        <v>2</v>
      </c>
      <c r="H8" s="28">
        <f t="shared" ca="1" si="2"/>
        <v>4</v>
      </c>
      <c r="I8" s="29">
        <f t="shared" ca="1" si="3"/>
        <v>0</v>
      </c>
    </row>
    <row r="9" spans="2:9" ht="33" thickTop="1" thickBot="1" x14ac:dyDescent="0.55000000000000004">
      <c r="B9" s="24" t="s">
        <v>156</v>
      </c>
      <c r="C9" s="25">
        <f t="shared" ca="1" si="0"/>
        <v>61</v>
      </c>
      <c r="D9" s="25">
        <f t="shared" ca="1" si="0"/>
        <v>0</v>
      </c>
      <c r="E9" s="25">
        <f t="shared" ca="1" si="0"/>
        <v>44</v>
      </c>
      <c r="F9" s="25">
        <f t="shared" ca="1" si="0"/>
        <v>81</v>
      </c>
      <c r="G9" s="28">
        <f t="shared" ca="1" si="1"/>
        <v>4</v>
      </c>
      <c r="H9" s="28">
        <f t="shared" ca="1" si="2"/>
        <v>4</v>
      </c>
      <c r="I9" s="29">
        <f t="shared" ca="1" si="3"/>
        <v>0</v>
      </c>
    </row>
    <row r="10" spans="2:9" ht="33" thickTop="1" thickBot="1" x14ac:dyDescent="0.55000000000000004">
      <c r="B10" s="24" t="s">
        <v>164</v>
      </c>
      <c r="C10" s="25">
        <f t="shared" ca="1" si="0"/>
        <v>72</v>
      </c>
      <c r="D10" s="25"/>
      <c r="E10" s="25">
        <f t="shared" ca="1" si="0"/>
        <v>96</v>
      </c>
      <c r="F10" s="25"/>
      <c r="G10" s="28">
        <f t="shared" ca="1" si="1"/>
        <v>2</v>
      </c>
      <c r="H10" s="28">
        <f t="shared" ca="1" si="2"/>
        <v>2</v>
      </c>
      <c r="I10" s="29">
        <f t="shared" ca="1" si="3"/>
        <v>2</v>
      </c>
    </row>
    <row r="11" spans="2:9" ht="33" thickTop="1" thickBot="1" x14ac:dyDescent="0.55000000000000004">
      <c r="B11" s="24" t="s">
        <v>171</v>
      </c>
      <c r="C11" s="25">
        <f t="shared" ca="1" si="0"/>
        <v>15</v>
      </c>
      <c r="D11" s="25">
        <f t="shared" ca="1" si="0"/>
        <v>74</v>
      </c>
      <c r="E11" s="25">
        <f t="shared" ca="1" si="0"/>
        <v>85</v>
      </c>
      <c r="F11" s="25">
        <f t="shared" ca="1" si="0"/>
        <v>26</v>
      </c>
      <c r="G11" s="28">
        <f t="shared" ca="1" si="1"/>
        <v>4</v>
      </c>
      <c r="H11" s="28">
        <f t="shared" ca="1" si="2"/>
        <v>4</v>
      </c>
      <c r="I11" s="29">
        <f t="shared" ca="1" si="3"/>
        <v>0</v>
      </c>
    </row>
    <row r="12" spans="2:9" ht="33" thickTop="1" thickBot="1" x14ac:dyDescent="0.55000000000000004">
      <c r="B12" s="24" t="s">
        <v>176</v>
      </c>
      <c r="C12" s="25">
        <f t="shared" ca="1" si="0"/>
        <v>27</v>
      </c>
      <c r="D12" s="25">
        <f t="shared" ca="1" si="0"/>
        <v>86</v>
      </c>
      <c r="E12" s="25">
        <f t="shared" ca="1" si="0"/>
        <v>90</v>
      </c>
      <c r="F12" s="25"/>
      <c r="G12" s="28">
        <f t="shared" ca="1" si="1"/>
        <v>3</v>
      </c>
      <c r="H12" s="28">
        <f t="shared" ca="1" si="2"/>
        <v>3</v>
      </c>
      <c r="I12" s="29">
        <f t="shared" ca="1" si="3"/>
        <v>1</v>
      </c>
    </row>
    <row r="13" spans="2:9" ht="33" thickTop="1" thickBot="1" x14ac:dyDescent="0.55000000000000004">
      <c r="B13" s="24" t="s">
        <v>181</v>
      </c>
      <c r="C13" s="25">
        <f t="shared" ca="1" si="0"/>
        <v>25</v>
      </c>
      <c r="D13" s="25">
        <f t="shared" ca="1" si="0"/>
        <v>56</v>
      </c>
      <c r="E13" s="25"/>
      <c r="F13" s="25">
        <f t="shared" ca="1" si="0"/>
        <v>73</v>
      </c>
      <c r="G13" s="28">
        <f t="shared" ca="1" si="1"/>
        <v>3</v>
      </c>
      <c r="H13" s="28">
        <f t="shared" ca="1" si="2"/>
        <v>3</v>
      </c>
      <c r="I13" s="29">
        <f t="shared" ca="1" si="3"/>
        <v>1</v>
      </c>
    </row>
    <row r="14" spans="2:9" ht="33" thickTop="1" thickBot="1" x14ac:dyDescent="0.55000000000000004">
      <c r="B14" s="24" t="s">
        <v>42</v>
      </c>
      <c r="C14" s="25">
        <f t="shared" ca="1" si="0"/>
        <v>18</v>
      </c>
      <c r="D14" s="25">
        <f t="shared" ca="1" si="0"/>
        <v>31</v>
      </c>
      <c r="E14" s="25" t="s">
        <v>468</v>
      </c>
      <c r="F14" s="25">
        <f t="shared" ca="1" si="0"/>
        <v>88</v>
      </c>
      <c r="G14" s="28">
        <f t="shared" ca="1" si="1"/>
        <v>3</v>
      </c>
      <c r="H14" s="28">
        <f t="shared" ca="1" si="2"/>
        <v>4</v>
      </c>
      <c r="I14" s="29">
        <f t="shared" ca="1" si="3"/>
        <v>0</v>
      </c>
    </row>
    <row r="15" spans="2:9" ht="33" thickTop="1" thickBot="1" x14ac:dyDescent="0.55000000000000004">
      <c r="B15" s="26" t="s">
        <v>196</v>
      </c>
      <c r="C15" s="27" t="s">
        <v>468</v>
      </c>
      <c r="D15" s="27"/>
      <c r="E15" s="27">
        <f t="shared" ca="1" si="0"/>
        <v>55</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43" priority="44" operator="equal">
      <formula>20000</formula>
    </cfRule>
    <cfRule type="cellIs" dxfId="42" priority="45" operator="between">
      <formula>50000</formula>
      <formula>100000</formula>
    </cfRule>
    <cfRule type="cellIs" dxfId="41" priority="46" operator="between">
      <formula>"Rs. 65,984"</formula>
      <formula>"Rs. 121,395"</formula>
    </cfRule>
    <cfRule type="cellIs" dxfId="40" priority="47" operator="lessThan">
      <formula>93689</formula>
    </cfRule>
    <cfRule type="cellIs" dxfId="39" priority="48" operator="greaterThan">
      <formula>93689</formula>
    </cfRule>
    <cfRule type="cellIs" dxfId="38" priority="49" operator="greaterThan">
      <formula>"Rs. 93,689"</formula>
    </cfRule>
  </conditionalFormatting>
  <conditionalFormatting sqref="B2:B53">
    <cfRule type="containsText" dxfId="37" priority="43" operator="containsText" text="Ayesha khan">
      <formula>NOT(ISERROR(SEARCH("Ayesha khan",B2)))</formula>
    </cfRule>
  </conditionalFormatting>
  <conditionalFormatting sqref="A3:A53">
    <cfRule type="timePeriod" dxfId="36" priority="41" timePeriod="yesterday">
      <formula>FLOOR(A3,1)=TODAY()-1</formula>
    </cfRule>
    <cfRule type="timePeriod" dxfId="35" priority="42" timePeriod="yesterday">
      <formula>FLOOR(A3,1)=TODAY()-1</formula>
    </cfRule>
  </conditionalFormatting>
  <conditionalFormatting sqref="A2:A53">
    <cfRule type="timePeriod" dxfId="34" priority="38" timePeriod="nextWeek">
      <formula>AND(ROUNDDOWN(A2,0)-TODAY()&gt;(7-WEEKDAY(TODAY())),ROUNDDOWN(A2,0)-TODAY()&lt;(15-WEEKDAY(TODAY())))</formula>
    </cfRule>
    <cfRule type="timePeriod" dxfId="33" priority="39" timePeriod="yesterday">
      <formula>FLOOR(A2,1)=TODAY()-1</formula>
    </cfRule>
    <cfRule type="timePeriod" dxfId="32" priority="40" timePeriod="today">
      <formula>FLOOR(A2,1)=TODAY()</formula>
    </cfRule>
  </conditionalFormatting>
  <conditionalFormatting sqref="F2:F53">
    <cfRule type="uniqueValues" dxfId="31" priority="36"/>
    <cfRule type="duplicateValues" dxfId="30"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topLeftCell="C22" zoomScale="70" zoomScaleNormal="7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301" t="s">
        <v>528</v>
      </c>
      <c r="D59" s="302"/>
      <c r="E59" s="302"/>
      <c r="F59" s="302"/>
      <c r="G59" s="302"/>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303" t="s">
        <v>534</v>
      </c>
      <c r="B169" s="304"/>
      <c r="C169" s="304"/>
      <c r="D169" s="304"/>
      <c r="E169" s="304"/>
      <c r="F169" s="304"/>
      <c r="G169" s="304"/>
      <c r="H169" s="304"/>
      <c r="I169" s="304"/>
      <c r="J169" s="304"/>
      <c r="K169" s="304"/>
      <c r="L169" s="304"/>
      <c r="M169" s="304"/>
      <c r="N169" s="304"/>
      <c r="O169" s="305"/>
    </row>
    <row r="170" spans="1:15" ht="15.75" thickBot="1" x14ac:dyDescent="0.3">
      <c r="A170" s="306"/>
      <c r="B170" s="307"/>
      <c r="C170" s="307"/>
      <c r="D170" s="307"/>
      <c r="E170" s="307"/>
      <c r="F170" s="307"/>
      <c r="G170" s="307"/>
      <c r="H170" s="307"/>
      <c r="I170" s="307"/>
      <c r="J170" s="307"/>
      <c r="K170" s="307"/>
      <c r="L170" s="307"/>
      <c r="M170" s="307"/>
      <c r="N170" s="307"/>
      <c r="O170" s="308"/>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309" t="s">
        <v>541</v>
      </c>
      <c r="E1" s="310"/>
      <c r="F1" s="310"/>
      <c r="G1" s="310"/>
      <c r="H1" s="310"/>
      <c r="I1" s="310"/>
      <c r="X1" s="311" t="s">
        <v>542</v>
      </c>
      <c r="Y1" s="312"/>
      <c r="Z1" s="312"/>
      <c r="AA1" s="312"/>
      <c r="AB1" s="312"/>
      <c r="AC1" s="313"/>
    </row>
    <row r="2" spans="4:29" x14ac:dyDescent="0.25">
      <c r="D2" s="106" t="s">
        <v>470</v>
      </c>
      <c r="E2" s="106" t="s">
        <v>6</v>
      </c>
      <c r="F2" s="106" t="s">
        <v>36</v>
      </c>
      <c r="G2" s="105" t="s">
        <v>472</v>
      </c>
      <c r="H2" s="134" t="s">
        <v>536</v>
      </c>
      <c r="I2" s="106" t="s">
        <v>537</v>
      </c>
      <c r="K2" s="311" t="s">
        <v>543</v>
      </c>
      <c r="L2" s="312"/>
      <c r="M2" s="312"/>
      <c r="N2" s="312"/>
      <c r="O2" s="312"/>
      <c r="P2" s="312"/>
      <c r="Q2" s="312"/>
      <c r="R2" s="312"/>
      <c r="S2" s="312"/>
      <c r="T2" s="312"/>
      <c r="U2" s="312"/>
      <c r="V2" s="313"/>
      <c r="X2" s="309" t="str">
        <f t="shared" ref="X2:X17" si="0">D1</f>
        <v>OPERATIONS</v>
      </c>
      <c r="Y2" s="310"/>
      <c r="Z2" s="310"/>
      <c r="AA2" s="310"/>
      <c r="AB2" s="310"/>
      <c r="AC2" s="310"/>
    </row>
    <row r="3" spans="4:29" x14ac:dyDescent="0.25">
      <c r="D3" s="105" t="s">
        <v>473</v>
      </c>
      <c r="E3" s="105" t="s">
        <v>93</v>
      </c>
      <c r="F3" s="105" t="s">
        <v>57</v>
      </c>
      <c r="G3" s="105">
        <v>137396</v>
      </c>
      <c r="H3" s="135">
        <f t="shared" ref="H3:H16" ca="1" si="1">(RANDBETWEEN(10,50))/100</f>
        <v>0.38</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0.44</v>
      </c>
      <c r="X4" s="105" t="str">
        <f t="shared" si="0"/>
        <v>Muhammad Ahmed</v>
      </c>
      <c r="Y4" s="105" t="str">
        <f t="shared" si="2"/>
        <v>Operations</v>
      </c>
      <c r="Z4" s="105" t="str">
        <f t="shared" si="2"/>
        <v>South</v>
      </c>
      <c r="AA4" s="105">
        <f t="shared" si="2"/>
        <v>137396</v>
      </c>
      <c r="AB4" s="135">
        <f t="shared" ca="1" si="2"/>
        <v>0.38</v>
      </c>
      <c r="AC4" s="105">
        <f t="shared" si="2"/>
        <v>100</v>
      </c>
    </row>
    <row r="5" spans="4:29" x14ac:dyDescent="0.25">
      <c r="D5" s="105" t="s">
        <v>475</v>
      </c>
      <c r="E5" s="105" t="s">
        <v>93</v>
      </c>
      <c r="F5" s="105" t="s">
        <v>87</v>
      </c>
      <c r="G5" s="105">
        <v>137280</v>
      </c>
      <c r="H5" s="135">
        <f t="shared" ca="1" si="1"/>
        <v>0.48</v>
      </c>
      <c r="X5" s="105" t="str">
        <f t="shared" si="0"/>
        <v>Ayesha Khan</v>
      </c>
      <c r="Y5" s="105" t="str">
        <f t="shared" ref="Y5:Y17" si="3">E4</f>
        <v>Marketing</v>
      </c>
      <c r="Z5" s="105" t="str">
        <f t="shared" ref="Z5:Z17" si="4">F4</f>
        <v>North</v>
      </c>
      <c r="AA5" s="105">
        <f t="shared" ref="AA5:AA17" si="5">G4</f>
        <v>58489</v>
      </c>
      <c r="AB5" s="135">
        <f t="shared" ref="AB5:AB17" ca="1" si="6">H4</f>
        <v>0.44</v>
      </c>
    </row>
    <row r="6" spans="4:29" x14ac:dyDescent="0.25">
      <c r="D6" s="105" t="s">
        <v>476</v>
      </c>
      <c r="E6" s="105" t="s">
        <v>80</v>
      </c>
      <c r="F6" s="105" t="s">
        <v>103</v>
      </c>
      <c r="G6" s="105">
        <v>95502</v>
      </c>
      <c r="H6" s="135">
        <f t="shared" ca="1" si="1"/>
        <v>0.27</v>
      </c>
      <c r="L6" s="311" t="s">
        <v>540</v>
      </c>
      <c r="M6" s="312"/>
      <c r="N6" s="312"/>
      <c r="O6" s="312"/>
      <c r="P6" s="312"/>
      <c r="Q6" s="312"/>
      <c r="R6" s="312"/>
      <c r="S6" s="312"/>
      <c r="T6" s="312"/>
      <c r="U6" s="313"/>
      <c r="X6" s="105" t="str">
        <f t="shared" si="0"/>
        <v>Muhammad Hamza</v>
      </c>
      <c r="Y6" s="105" t="str">
        <f t="shared" si="3"/>
        <v>Operations</v>
      </c>
      <c r="Z6" s="105" t="str">
        <f t="shared" si="4"/>
        <v>West</v>
      </c>
      <c r="AA6" s="105">
        <f t="shared" si="5"/>
        <v>137280</v>
      </c>
      <c r="AB6" s="135">
        <f t="shared" ca="1" si="6"/>
        <v>0.48</v>
      </c>
    </row>
    <row r="7" spans="4:29" x14ac:dyDescent="0.25">
      <c r="D7" s="105" t="s">
        <v>477</v>
      </c>
      <c r="E7" s="105" t="s">
        <v>134</v>
      </c>
      <c r="F7" s="105" t="s">
        <v>74</v>
      </c>
      <c r="G7" s="105">
        <v>68857</v>
      </c>
      <c r="H7" s="135">
        <f t="shared" ca="1" si="1"/>
        <v>0.39</v>
      </c>
      <c r="X7" s="105" t="str">
        <f t="shared" si="0"/>
        <v>Fatima Ali</v>
      </c>
      <c r="Y7" s="105" t="str">
        <f t="shared" si="3"/>
        <v>IT</v>
      </c>
      <c r="Z7" s="105" t="str">
        <f t="shared" si="4"/>
        <v>Central</v>
      </c>
      <c r="AA7" s="105">
        <f t="shared" si="5"/>
        <v>95502</v>
      </c>
      <c r="AB7" s="135">
        <f t="shared" ca="1" si="6"/>
        <v>0.27</v>
      </c>
    </row>
    <row r="8" spans="4:29" x14ac:dyDescent="0.25">
      <c r="D8" s="105" t="s">
        <v>478</v>
      </c>
      <c r="E8" s="105" t="s">
        <v>45</v>
      </c>
      <c r="F8" s="105" t="s">
        <v>123</v>
      </c>
      <c r="G8" s="105">
        <v>66262</v>
      </c>
      <c r="H8" s="135">
        <f t="shared" ca="1" si="1"/>
        <v>0.34</v>
      </c>
      <c r="M8" s="105">
        <v>137196</v>
      </c>
      <c r="N8" s="105">
        <v>137196</v>
      </c>
      <c r="X8" s="105" t="str">
        <f t="shared" si="0"/>
        <v>Hassan Raza</v>
      </c>
      <c r="Y8" s="105" t="str">
        <f t="shared" si="3"/>
        <v>Finance</v>
      </c>
      <c r="Z8" s="105" t="str">
        <f t="shared" si="4"/>
        <v>North</v>
      </c>
      <c r="AA8" s="105">
        <f t="shared" si="5"/>
        <v>68857</v>
      </c>
      <c r="AB8" s="135">
        <f t="shared" ca="1" si="6"/>
        <v>0.39</v>
      </c>
    </row>
    <row r="9" spans="4:29" x14ac:dyDescent="0.25">
      <c r="D9" s="105" t="s">
        <v>479</v>
      </c>
      <c r="E9" s="105" t="s">
        <v>93</v>
      </c>
      <c r="F9" s="105" t="s">
        <v>57</v>
      </c>
      <c r="G9" s="105">
        <v>99078</v>
      </c>
      <c r="H9" s="135">
        <f t="shared" ca="1" si="1"/>
        <v>0.4</v>
      </c>
      <c r="M9" s="105">
        <v>64256</v>
      </c>
      <c r="N9" s="105"/>
      <c r="X9" s="105" t="str">
        <f t="shared" si="0"/>
        <v>Sana Ahmed</v>
      </c>
      <c r="Y9" s="105" t="str">
        <f t="shared" si="3"/>
        <v>Sales</v>
      </c>
      <c r="Z9" s="105" t="str">
        <f t="shared" si="4"/>
        <v>East</v>
      </c>
      <c r="AA9" s="105">
        <f t="shared" si="5"/>
        <v>66262</v>
      </c>
      <c r="AB9" s="135">
        <f t="shared" ca="1" si="6"/>
        <v>0.34</v>
      </c>
    </row>
    <row r="10" spans="4:29" x14ac:dyDescent="0.25">
      <c r="D10" s="105" t="s">
        <v>480</v>
      </c>
      <c r="E10" s="105" t="s">
        <v>80</v>
      </c>
      <c r="F10" s="105" t="s">
        <v>103</v>
      </c>
      <c r="G10" s="105">
        <v>41051</v>
      </c>
      <c r="H10" s="135">
        <f t="shared" ca="1" si="1"/>
        <v>0.43</v>
      </c>
      <c r="M10" s="105">
        <v>137080</v>
      </c>
      <c r="N10" s="105">
        <v>137080</v>
      </c>
      <c r="X10" s="105" t="str">
        <f t="shared" si="0"/>
        <v>Usman Malik</v>
      </c>
      <c r="Y10" s="105" t="str">
        <f t="shared" si="3"/>
        <v>Operations</v>
      </c>
      <c r="Z10" s="105" t="str">
        <f t="shared" si="4"/>
        <v>South</v>
      </c>
      <c r="AA10" s="105">
        <f t="shared" si="5"/>
        <v>99078</v>
      </c>
      <c r="AB10" s="135">
        <f t="shared" ca="1" si="6"/>
        <v>0.4</v>
      </c>
    </row>
    <row r="11" spans="4:29" x14ac:dyDescent="0.25">
      <c r="D11" s="105" t="s">
        <v>481</v>
      </c>
      <c r="E11" s="105" t="s">
        <v>45</v>
      </c>
      <c r="F11" s="105" t="s">
        <v>123</v>
      </c>
      <c r="G11" s="105">
        <v>76621</v>
      </c>
      <c r="H11" s="135">
        <f t="shared" ca="1" si="1"/>
        <v>0.17</v>
      </c>
      <c r="M11" s="105">
        <v>95302</v>
      </c>
      <c r="N11" s="105">
        <v>95302</v>
      </c>
      <c r="X11" s="105" t="str">
        <f t="shared" si="0"/>
        <v>Zainab Siddiqui</v>
      </c>
      <c r="Y11" s="105" t="str">
        <f t="shared" si="3"/>
        <v>IT</v>
      </c>
      <c r="Z11" s="105" t="str">
        <f t="shared" si="4"/>
        <v>Central</v>
      </c>
      <c r="AA11" s="105">
        <f t="shared" si="5"/>
        <v>41051</v>
      </c>
      <c r="AB11" s="135">
        <f t="shared" ca="1" si="6"/>
        <v>0.43</v>
      </c>
    </row>
    <row r="12" spans="4:29" x14ac:dyDescent="0.25">
      <c r="D12" s="105" t="s">
        <v>482</v>
      </c>
      <c r="E12" s="105" t="s">
        <v>45</v>
      </c>
      <c r="F12" s="105" t="s">
        <v>87</v>
      </c>
      <c r="G12" s="105">
        <v>84318</v>
      </c>
      <c r="H12" s="135">
        <f t="shared" ca="1" si="1"/>
        <v>0.31</v>
      </c>
      <c r="M12" s="105">
        <v>68657</v>
      </c>
      <c r="N12" s="105">
        <v>68657</v>
      </c>
      <c r="X12" s="105" t="str">
        <f t="shared" si="0"/>
        <v>Bilal Hussain</v>
      </c>
      <c r="Y12" s="105" t="str">
        <f t="shared" si="3"/>
        <v>Sales</v>
      </c>
      <c r="Z12" s="105" t="str">
        <f t="shared" si="4"/>
        <v>East</v>
      </c>
      <c r="AA12" s="105">
        <f t="shared" si="5"/>
        <v>76621</v>
      </c>
      <c r="AB12" s="135">
        <f t="shared" ca="1" si="6"/>
        <v>0.17</v>
      </c>
    </row>
    <row r="13" spans="4:29" x14ac:dyDescent="0.25">
      <c r="D13" s="136" t="s">
        <v>544</v>
      </c>
      <c r="E13" s="105" t="s">
        <v>134</v>
      </c>
      <c r="F13" s="105" t="s">
        <v>57</v>
      </c>
      <c r="G13" s="105">
        <v>52876</v>
      </c>
      <c r="H13" s="135">
        <f t="shared" ca="1" si="1"/>
        <v>0.27</v>
      </c>
      <c r="M13" s="105">
        <v>66062</v>
      </c>
      <c r="N13" s="105">
        <v>66062</v>
      </c>
      <c r="X13" s="105" t="str">
        <f t="shared" si="0"/>
        <v>Maryam Sheikh</v>
      </c>
      <c r="Y13" s="105" t="str">
        <f t="shared" si="3"/>
        <v>Sales</v>
      </c>
      <c r="Z13" s="105" t="str">
        <f t="shared" si="4"/>
        <v>West</v>
      </c>
      <c r="AA13" s="105">
        <f t="shared" si="5"/>
        <v>84318</v>
      </c>
      <c r="AB13" s="135">
        <f t="shared" ca="1" si="6"/>
        <v>0.31</v>
      </c>
    </row>
    <row r="14" spans="4:29" x14ac:dyDescent="0.25">
      <c r="D14" s="105" t="s">
        <v>484</v>
      </c>
      <c r="E14" s="105" t="s">
        <v>185</v>
      </c>
      <c r="F14" s="105" t="s">
        <v>123</v>
      </c>
      <c r="G14" s="105">
        <v>74871</v>
      </c>
      <c r="H14" s="135">
        <f t="shared" ca="1" si="1"/>
        <v>0.17</v>
      </c>
      <c r="M14" s="105">
        <v>98878</v>
      </c>
      <c r="N14" s="105">
        <v>98878</v>
      </c>
      <c r="X14" s="105" t="str">
        <f t="shared" si="0"/>
        <v>Ali Khan</v>
      </c>
      <c r="Y14" s="105" t="str">
        <f t="shared" si="3"/>
        <v>Finance</v>
      </c>
      <c r="Z14" s="105" t="str">
        <f t="shared" si="4"/>
        <v>South</v>
      </c>
      <c r="AA14" s="105">
        <f t="shared" si="5"/>
        <v>52876</v>
      </c>
      <c r="AB14" s="135">
        <f t="shared" ca="1" si="6"/>
        <v>0.27</v>
      </c>
    </row>
    <row r="15" spans="4:29" x14ac:dyDescent="0.25">
      <c r="D15" s="105" t="s">
        <v>485</v>
      </c>
      <c r="E15" s="105" t="s">
        <v>134</v>
      </c>
      <c r="F15" s="105" t="s">
        <v>123</v>
      </c>
      <c r="G15" s="105">
        <v>56561</v>
      </c>
      <c r="H15" s="135">
        <f t="shared" ca="1" si="1"/>
        <v>0.27</v>
      </c>
      <c r="M15" s="105">
        <v>40851</v>
      </c>
      <c r="N15" s="105">
        <v>40851</v>
      </c>
      <c r="X15" s="105" t="str">
        <f t="shared" si="0"/>
        <v>Hira Shah</v>
      </c>
      <c r="Y15" s="105" t="str">
        <f t="shared" si="3"/>
        <v>Marketing</v>
      </c>
      <c r="Z15" s="105" t="str">
        <f t="shared" si="4"/>
        <v>East</v>
      </c>
      <c r="AA15" s="105">
        <f t="shared" si="5"/>
        <v>74871</v>
      </c>
      <c r="AB15" s="135">
        <f t="shared" ca="1" si="6"/>
        <v>0.17</v>
      </c>
    </row>
    <row r="16" spans="4:29" x14ac:dyDescent="0.25">
      <c r="D16" s="105" t="s">
        <v>486</v>
      </c>
      <c r="E16" s="105" t="s">
        <v>126</v>
      </c>
      <c r="F16" s="105" t="s">
        <v>57</v>
      </c>
      <c r="G16" s="105">
        <v>78627</v>
      </c>
      <c r="H16" s="135">
        <f t="shared" ca="1" si="1"/>
        <v>0.38</v>
      </c>
      <c r="M16" s="105"/>
      <c r="N16" s="105"/>
      <c r="X16" s="105" t="str">
        <f t="shared" si="0"/>
        <v>Abdullah Qureshi</v>
      </c>
      <c r="Y16" s="105" t="str">
        <f t="shared" si="3"/>
        <v>Finance</v>
      </c>
      <c r="Z16" s="105" t="str">
        <f t="shared" si="4"/>
        <v>East</v>
      </c>
      <c r="AA16" s="105">
        <f t="shared" si="5"/>
        <v>56561</v>
      </c>
      <c r="AB16" s="135">
        <f t="shared" ca="1" si="6"/>
        <v>0.27</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0.38</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310" t="s">
        <v>538</v>
      </c>
      <c r="E29" s="310"/>
      <c r="F29" s="310"/>
      <c r="G29" s="310"/>
      <c r="H29" s="310"/>
      <c r="I29" s="310"/>
      <c r="J29" s="310"/>
      <c r="K29" s="310"/>
      <c r="L29" s="310"/>
      <c r="M29" s="310"/>
      <c r="N29" s="310"/>
      <c r="O29" s="310"/>
      <c r="P29" s="310"/>
      <c r="Q29" s="310"/>
      <c r="R29" s="310"/>
      <c r="U29" s="311" t="s">
        <v>539</v>
      </c>
      <c r="V29" s="312"/>
      <c r="W29" s="312"/>
      <c r="X29" s="312"/>
      <c r="Y29" s="312"/>
      <c r="Z29" s="313"/>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E889-3392-483F-BF6D-D6C07987CB32}">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314" t="s">
        <v>545</v>
      </c>
      <c r="B4" s="315"/>
      <c r="C4" s="315"/>
      <c r="D4" s="315"/>
      <c r="E4" s="315"/>
      <c r="F4" s="315"/>
      <c r="H4" s="314" t="s">
        <v>546</v>
      </c>
      <c r="I4" s="315"/>
      <c r="J4" s="315"/>
      <c r="K4" s="315"/>
      <c r="L4" s="315"/>
      <c r="M4" s="315"/>
      <c r="P4" s="314" t="s">
        <v>548</v>
      </c>
      <c r="Q4" s="315"/>
      <c r="R4" s="315"/>
      <c r="S4" s="315"/>
      <c r="T4" s="315"/>
      <c r="U4" s="315"/>
      <c r="W4" s="314" t="s">
        <v>547</v>
      </c>
      <c r="X4" s="315"/>
      <c r="Y4" s="315"/>
      <c r="Z4" s="315"/>
      <c r="AA4" s="315"/>
      <c r="AB4" s="315"/>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29" priority="37" operator="equal">
      <formula>20000</formula>
    </cfRule>
    <cfRule type="cellIs" dxfId="28" priority="38" operator="between">
      <formula>50000</formula>
      <formula>100000</formula>
    </cfRule>
    <cfRule type="cellIs" dxfId="27" priority="39" operator="between">
      <formula>"Rs. 65,984"</formula>
      <formula>"Rs. 121,395"</formula>
    </cfRule>
    <cfRule type="cellIs" dxfId="26" priority="40" operator="lessThan">
      <formula>93689</formula>
    </cfRule>
    <cfRule type="cellIs" dxfId="25" priority="41" operator="greaterThan">
      <formula>93689</formula>
    </cfRule>
    <cfRule type="cellIs" dxfId="24" priority="42" operator="greaterThan">
      <formula>"Rs. 93,689"</formula>
    </cfRule>
  </conditionalFormatting>
  <conditionalFormatting sqref="B7:B56">
    <cfRule type="containsText" dxfId="23" priority="36" operator="containsText" text="Ayesha khan">
      <formula>NOT(ISERROR(SEARCH("Ayesha khan",B7)))</formula>
    </cfRule>
  </conditionalFormatting>
  <conditionalFormatting sqref="A8:A56">
    <cfRule type="timePeriod" dxfId="22" priority="34" timePeriod="yesterday">
      <formula>FLOOR(A8,1)=TODAY()-1</formula>
    </cfRule>
    <cfRule type="timePeriod" dxfId="21" priority="35" timePeriod="yesterday">
      <formula>FLOOR(A8,1)=TODAY()-1</formula>
    </cfRule>
  </conditionalFormatting>
  <conditionalFormatting sqref="A7:A56">
    <cfRule type="timePeriod" dxfId="20" priority="31" timePeriod="nextWeek">
      <formula>AND(ROUNDDOWN(A7,0)-TODAY()&gt;(7-WEEKDAY(TODAY())),ROUNDDOWN(A7,0)-TODAY()&lt;(15-WEEKDAY(TODAY())))</formula>
    </cfRule>
    <cfRule type="timePeriod" dxfId="19" priority="32" timePeriod="yesterday">
      <formula>FLOOR(A7,1)=TODAY()-1</formula>
    </cfRule>
    <cfRule type="timePeriod" dxfId="18" priority="33" timePeriod="today">
      <formula>FLOOR(A7,1)=TODAY()</formula>
    </cfRule>
  </conditionalFormatting>
  <conditionalFormatting sqref="F7:F56">
    <cfRule type="uniqueValues" dxfId="17" priority="29"/>
    <cfRule type="duplicateValues" dxfId="16" priority="30"/>
  </conditionalFormatting>
  <conditionalFormatting sqref="T7:T56">
    <cfRule type="cellIs" dxfId="15" priority="9" operator="equal">
      <formula>20000</formula>
    </cfRule>
    <cfRule type="cellIs" dxfId="14" priority="10" operator="between">
      <formula>50000</formula>
      <formula>100000</formula>
    </cfRule>
    <cfRule type="cellIs" dxfId="13" priority="11" operator="between">
      <formula>"Rs. 65,984"</formula>
      <formula>"Rs. 121,395"</formula>
    </cfRule>
    <cfRule type="cellIs" dxfId="12" priority="12" operator="lessThan">
      <formula>93689</formula>
    </cfRule>
    <cfRule type="cellIs" dxfId="11" priority="13" operator="greaterThan">
      <formula>93689</formula>
    </cfRule>
    <cfRule type="cellIs" dxfId="10" priority="14" operator="greaterThan">
      <formula>"Rs. 93,689"</formula>
    </cfRule>
  </conditionalFormatting>
  <conditionalFormatting sqref="Q7:Q56">
    <cfRule type="containsText" dxfId="9" priority="8" operator="containsText" text="Ayesha khan">
      <formula>NOT(ISERROR(SEARCH("Ayesha khan",Q7)))</formula>
    </cfRule>
  </conditionalFormatting>
  <conditionalFormatting sqref="P8:P56">
    <cfRule type="timePeriod" dxfId="8" priority="6" timePeriod="yesterday">
      <formula>FLOOR(P8,1)=TODAY()-1</formula>
    </cfRule>
    <cfRule type="timePeriod" dxfId="7" priority="7" timePeriod="yesterday">
      <formula>FLOOR(P8,1)=TODAY()-1</formula>
    </cfRule>
  </conditionalFormatting>
  <conditionalFormatting sqref="P7:P56">
    <cfRule type="timePeriod" dxfId="6" priority="3" timePeriod="nextWeek">
      <formula>AND(ROUNDDOWN(P7,0)-TODAY()&gt;(7-WEEKDAY(TODAY())),ROUNDDOWN(P7,0)-TODAY()&lt;(15-WEEKDAY(TODAY())))</formula>
    </cfRule>
    <cfRule type="timePeriod" dxfId="5" priority="4" timePeriod="yesterday">
      <formula>FLOOR(P7,1)=TODAY()-1</formula>
    </cfRule>
    <cfRule type="timePeriod" dxfId="4" priority="5" timePeriod="today">
      <formula>FLOOR(P7,1)=TODAY()</formula>
    </cfRule>
  </conditionalFormatting>
  <conditionalFormatting sqref="U7:U56">
    <cfRule type="uniqueValues" dxfId="3" priority="1"/>
    <cfRule type="duplicateValues" dxfId="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41"/>
  <sheetViews>
    <sheetView zoomScale="160" zoomScaleNormal="160" workbookViewId="0">
      <selection activeCell="B3" sqref="B3:M3"/>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316" t="s">
        <v>553</v>
      </c>
      <c r="C3" s="316"/>
      <c r="D3" s="316"/>
      <c r="E3" s="316"/>
      <c r="F3" s="316"/>
      <c r="G3" s="317">
        <v>400</v>
      </c>
      <c r="H3" s="317"/>
      <c r="I3" s="317"/>
      <c r="J3" s="317"/>
      <c r="K3" s="317"/>
      <c r="L3" s="317"/>
      <c r="M3" s="317"/>
    </row>
    <row r="4" spans="2:13" x14ac:dyDescent="0.25">
      <c r="B4" s="137" t="s">
        <v>470</v>
      </c>
      <c r="C4" s="137" t="s">
        <v>461</v>
      </c>
      <c r="D4" s="137" t="s">
        <v>462</v>
      </c>
      <c r="E4" s="137" t="s">
        <v>463</v>
      </c>
      <c r="F4" s="137" t="s">
        <v>464</v>
      </c>
      <c r="G4" s="137" t="s">
        <v>552</v>
      </c>
      <c r="H4" s="137" t="s">
        <v>536</v>
      </c>
      <c r="I4" s="137" t="s">
        <v>536</v>
      </c>
      <c r="J4" s="137" t="s">
        <v>554</v>
      </c>
      <c r="K4" s="137" t="s">
        <v>555</v>
      </c>
      <c r="L4" s="137" t="s">
        <v>556</v>
      </c>
      <c r="M4" s="137" t="s">
        <v>557</v>
      </c>
    </row>
    <row r="5" spans="2:13" x14ac:dyDescent="0.25">
      <c r="B5" s="105" t="s">
        <v>473</v>
      </c>
      <c r="C5" s="105">
        <v>40</v>
      </c>
      <c r="D5" s="105">
        <v>46</v>
      </c>
      <c r="E5" s="105">
        <v>63</v>
      </c>
      <c r="F5" s="105">
        <v>66</v>
      </c>
      <c r="G5" s="105">
        <v>215</v>
      </c>
      <c r="H5" s="135">
        <f>G5/400</f>
        <v>0.53749999999999998</v>
      </c>
      <c r="I5" s="135">
        <f>G5/$G$3</f>
        <v>0.53749999999999998</v>
      </c>
      <c r="J5" s="135">
        <f>C5/$G5</f>
        <v>0.18604651162790697</v>
      </c>
      <c r="K5" s="135">
        <f t="shared" ref="K5:M5" si="0">D5/$G5</f>
        <v>0.21395348837209302</v>
      </c>
      <c r="L5" s="135">
        <f t="shared" si="0"/>
        <v>0.2930232558139535</v>
      </c>
      <c r="M5" s="135">
        <f t="shared" si="0"/>
        <v>0.30697674418604654</v>
      </c>
    </row>
    <row r="6" spans="2:13" x14ac:dyDescent="0.25">
      <c r="B6" s="105" t="s">
        <v>474</v>
      </c>
      <c r="C6" s="105">
        <v>9</v>
      </c>
      <c r="D6" s="105">
        <v>13</v>
      </c>
      <c r="E6" s="105">
        <v>98</v>
      </c>
      <c r="F6" s="105">
        <v>19</v>
      </c>
      <c r="G6" s="105">
        <v>139</v>
      </c>
      <c r="H6" s="135">
        <f t="shared" ref="H6:H19" si="1">G6/400</f>
        <v>0.34749999999999998</v>
      </c>
      <c r="I6" s="135">
        <f t="shared" ref="I6:I19" si="2">G6/$G$3</f>
        <v>0.34749999999999998</v>
      </c>
      <c r="J6" s="135">
        <f>C6/$G6</f>
        <v>6.4748201438848921E-2</v>
      </c>
      <c r="K6" s="135">
        <f t="shared" ref="K6:K19" si="3">D6/$G6</f>
        <v>9.3525179856115109E-2</v>
      </c>
      <c r="L6" s="135">
        <f t="shared" ref="L6:L19" si="4">E6/$G6</f>
        <v>0.70503597122302153</v>
      </c>
      <c r="M6" s="135">
        <f t="shared" ref="M6:M19" si="5">F6/$G6</f>
        <v>0.1366906474820144</v>
      </c>
    </row>
    <row r="7" spans="2:13" x14ac:dyDescent="0.25">
      <c r="B7" s="105" t="s">
        <v>475</v>
      </c>
      <c r="C7" s="105">
        <v>82</v>
      </c>
      <c r="D7" s="105">
        <v>43</v>
      </c>
      <c r="E7" s="105">
        <v>63</v>
      </c>
      <c r="F7" s="105">
        <v>84</v>
      </c>
      <c r="G7" s="105">
        <v>272</v>
      </c>
      <c r="H7" s="135">
        <f>G7/400</f>
        <v>0.68</v>
      </c>
      <c r="I7" s="135">
        <f t="shared" si="2"/>
        <v>0.68</v>
      </c>
      <c r="J7" s="135">
        <f t="shared" ref="J7:J19" si="6">C7/$G7</f>
        <v>0.3014705882352941</v>
      </c>
      <c r="K7" s="135">
        <f t="shared" si="3"/>
        <v>0.15808823529411764</v>
      </c>
      <c r="L7" s="135">
        <f t="shared" si="4"/>
        <v>0.23161764705882354</v>
      </c>
      <c r="M7" s="135">
        <f t="shared" si="5"/>
        <v>0.30882352941176472</v>
      </c>
    </row>
    <row r="8" spans="2:13" x14ac:dyDescent="0.25">
      <c r="B8" s="105" t="s">
        <v>476</v>
      </c>
      <c r="C8" s="105">
        <v>32</v>
      </c>
      <c r="D8" s="105">
        <v>48</v>
      </c>
      <c r="E8" s="105">
        <v>26</v>
      </c>
      <c r="F8" s="105">
        <v>81</v>
      </c>
      <c r="G8" s="105">
        <v>187</v>
      </c>
      <c r="H8" s="135">
        <f t="shared" si="1"/>
        <v>0.46750000000000003</v>
      </c>
      <c r="I8" s="135">
        <f t="shared" si="2"/>
        <v>0.46750000000000003</v>
      </c>
      <c r="J8" s="135">
        <f t="shared" si="6"/>
        <v>0.17112299465240641</v>
      </c>
      <c r="K8" s="135">
        <f t="shared" si="3"/>
        <v>0.25668449197860965</v>
      </c>
      <c r="L8" s="135">
        <f t="shared" si="4"/>
        <v>0.13903743315508021</v>
      </c>
      <c r="M8" s="135">
        <f t="shared" si="5"/>
        <v>0.43315508021390375</v>
      </c>
    </row>
    <row r="9" spans="2:13" x14ac:dyDescent="0.25">
      <c r="B9" s="105" t="s">
        <v>477</v>
      </c>
      <c r="C9" s="105">
        <v>20</v>
      </c>
      <c r="D9" s="105">
        <v>3</v>
      </c>
      <c r="E9" s="105">
        <v>76</v>
      </c>
      <c r="F9" s="105">
        <v>78</v>
      </c>
      <c r="G9" s="105">
        <v>177</v>
      </c>
      <c r="H9" s="135">
        <f t="shared" si="1"/>
        <v>0.4425</v>
      </c>
      <c r="I9" s="135">
        <f t="shared" si="2"/>
        <v>0.4425</v>
      </c>
      <c r="J9" s="135">
        <f t="shared" si="6"/>
        <v>0.11299435028248588</v>
      </c>
      <c r="K9" s="135">
        <f t="shared" si="3"/>
        <v>1.6949152542372881E-2</v>
      </c>
      <c r="L9" s="135">
        <f t="shared" si="4"/>
        <v>0.42937853107344631</v>
      </c>
      <c r="M9" s="135">
        <f t="shared" si="5"/>
        <v>0.44067796610169491</v>
      </c>
    </row>
    <row r="10" spans="2:13" x14ac:dyDescent="0.25">
      <c r="B10" s="105" t="s">
        <v>478</v>
      </c>
      <c r="C10" s="105">
        <v>80</v>
      </c>
      <c r="D10" s="105">
        <v>46</v>
      </c>
      <c r="E10" s="105">
        <v>0</v>
      </c>
      <c r="F10" s="105">
        <v>76</v>
      </c>
      <c r="G10" s="105">
        <v>202</v>
      </c>
      <c r="H10" s="135">
        <f t="shared" si="1"/>
        <v>0.505</v>
      </c>
      <c r="I10" s="135">
        <f t="shared" si="2"/>
        <v>0.505</v>
      </c>
      <c r="J10" s="135">
        <f t="shared" si="6"/>
        <v>0.39603960396039606</v>
      </c>
      <c r="K10" s="135">
        <f t="shared" si="3"/>
        <v>0.22772277227722773</v>
      </c>
      <c r="L10" s="135">
        <f t="shared" si="4"/>
        <v>0</v>
      </c>
      <c r="M10" s="135">
        <f t="shared" si="5"/>
        <v>0.37623762376237624</v>
      </c>
    </row>
    <row r="11" spans="2:13" x14ac:dyDescent="0.25">
      <c r="B11" s="105" t="s">
        <v>479</v>
      </c>
      <c r="C11" s="105">
        <v>62</v>
      </c>
      <c r="D11" s="105">
        <v>40</v>
      </c>
      <c r="E11" s="105">
        <v>40</v>
      </c>
      <c r="F11" s="105">
        <v>76</v>
      </c>
      <c r="G11" s="105">
        <v>218</v>
      </c>
      <c r="H11" s="135">
        <f t="shared" si="1"/>
        <v>0.54500000000000004</v>
      </c>
      <c r="I11" s="135">
        <f t="shared" si="2"/>
        <v>0.54500000000000004</v>
      </c>
      <c r="J11" s="135">
        <f t="shared" si="6"/>
        <v>0.28440366972477066</v>
      </c>
      <c r="K11" s="135">
        <f t="shared" si="3"/>
        <v>0.1834862385321101</v>
      </c>
      <c r="L11" s="135">
        <f t="shared" si="4"/>
        <v>0.1834862385321101</v>
      </c>
      <c r="M11" s="135">
        <f t="shared" si="5"/>
        <v>0.34862385321100919</v>
      </c>
    </row>
    <row r="12" spans="2:13" x14ac:dyDescent="0.25">
      <c r="B12" s="105" t="s">
        <v>549</v>
      </c>
      <c r="C12" s="105">
        <v>11</v>
      </c>
      <c r="D12" s="105">
        <v>88</v>
      </c>
      <c r="E12" s="105">
        <v>23</v>
      </c>
      <c r="F12" s="105">
        <v>77</v>
      </c>
      <c r="G12" s="105">
        <v>199</v>
      </c>
      <c r="H12" s="135">
        <f t="shared" si="1"/>
        <v>0.4975</v>
      </c>
      <c r="I12" s="135">
        <f t="shared" si="2"/>
        <v>0.4975</v>
      </c>
      <c r="J12" s="135">
        <f t="shared" si="6"/>
        <v>5.5276381909547742E-2</v>
      </c>
      <c r="K12" s="135">
        <f t="shared" si="3"/>
        <v>0.44221105527638194</v>
      </c>
      <c r="L12" s="135">
        <f t="shared" si="4"/>
        <v>0.11557788944723618</v>
      </c>
      <c r="M12" s="135">
        <f t="shared" si="5"/>
        <v>0.38693467336683418</v>
      </c>
    </row>
    <row r="13" spans="2:13" x14ac:dyDescent="0.25">
      <c r="B13" s="105" t="s">
        <v>481</v>
      </c>
      <c r="C13" s="105">
        <v>62</v>
      </c>
      <c r="D13" s="105">
        <v>61</v>
      </c>
      <c r="E13" s="105">
        <v>93</v>
      </c>
      <c r="F13" s="105">
        <v>95</v>
      </c>
      <c r="G13" s="105">
        <v>311</v>
      </c>
      <c r="H13" s="135">
        <f t="shared" si="1"/>
        <v>0.77749999999999997</v>
      </c>
      <c r="I13" s="135">
        <f t="shared" si="2"/>
        <v>0.77749999999999997</v>
      </c>
      <c r="J13" s="135">
        <f t="shared" si="6"/>
        <v>0.19935691318327975</v>
      </c>
      <c r="K13" s="135">
        <f t="shared" si="3"/>
        <v>0.19614147909967847</v>
      </c>
      <c r="L13" s="135">
        <f t="shared" si="4"/>
        <v>0.29903536977491962</v>
      </c>
      <c r="M13" s="135">
        <f t="shared" si="5"/>
        <v>0.30546623794212219</v>
      </c>
    </row>
    <row r="14" spans="2:13" x14ac:dyDescent="0.25">
      <c r="B14" s="105" t="s">
        <v>482</v>
      </c>
      <c r="C14" s="105">
        <v>7</v>
      </c>
      <c r="D14" s="105">
        <v>63</v>
      </c>
      <c r="E14" s="105">
        <v>37</v>
      </c>
      <c r="F14" s="105">
        <v>80</v>
      </c>
      <c r="G14" s="105">
        <v>187</v>
      </c>
      <c r="H14" s="135">
        <f t="shared" si="1"/>
        <v>0.46750000000000003</v>
      </c>
      <c r="I14" s="135">
        <f t="shared" si="2"/>
        <v>0.46750000000000003</v>
      </c>
      <c r="J14" s="135">
        <f t="shared" si="6"/>
        <v>3.7433155080213901E-2</v>
      </c>
      <c r="K14" s="135">
        <f t="shared" si="3"/>
        <v>0.33689839572192515</v>
      </c>
      <c r="L14" s="135">
        <f t="shared" si="4"/>
        <v>0.19786096256684493</v>
      </c>
      <c r="M14" s="135">
        <f t="shared" si="5"/>
        <v>0.42780748663101603</v>
      </c>
    </row>
    <row r="15" spans="2:13" x14ac:dyDescent="0.25">
      <c r="B15" s="105" t="s">
        <v>550</v>
      </c>
      <c r="C15" s="105">
        <v>97</v>
      </c>
      <c r="D15" s="105">
        <v>47</v>
      </c>
      <c r="E15" s="105">
        <v>26</v>
      </c>
      <c r="F15" s="105">
        <v>99</v>
      </c>
      <c r="G15" s="105">
        <v>269</v>
      </c>
      <c r="H15" s="135">
        <f t="shared" si="1"/>
        <v>0.67249999999999999</v>
      </c>
      <c r="I15" s="135">
        <f t="shared" si="2"/>
        <v>0.67249999999999999</v>
      </c>
      <c r="J15" s="135">
        <f t="shared" si="6"/>
        <v>0.36059479553903345</v>
      </c>
      <c r="K15" s="135">
        <f t="shared" si="3"/>
        <v>0.17472118959107807</v>
      </c>
      <c r="L15" s="135">
        <f t="shared" si="4"/>
        <v>9.6654275092936809E-2</v>
      </c>
      <c r="M15" s="135">
        <f t="shared" si="5"/>
        <v>0.36802973977695169</v>
      </c>
    </row>
    <row r="16" spans="2:13" x14ac:dyDescent="0.25">
      <c r="B16" s="105" t="s">
        <v>484</v>
      </c>
      <c r="C16" s="105">
        <v>6</v>
      </c>
      <c r="D16" s="105">
        <v>63</v>
      </c>
      <c r="E16" s="105">
        <v>68</v>
      </c>
      <c r="F16" s="105">
        <v>39</v>
      </c>
      <c r="G16" s="105">
        <v>176</v>
      </c>
      <c r="H16" s="135">
        <f t="shared" si="1"/>
        <v>0.44</v>
      </c>
      <c r="I16" s="135">
        <f t="shared" si="2"/>
        <v>0.44</v>
      </c>
      <c r="J16" s="135">
        <f t="shared" si="6"/>
        <v>3.4090909090909088E-2</v>
      </c>
      <c r="K16" s="135">
        <f t="shared" si="3"/>
        <v>0.35795454545454547</v>
      </c>
      <c r="L16" s="135">
        <f t="shared" si="4"/>
        <v>0.38636363636363635</v>
      </c>
      <c r="M16" s="135">
        <f t="shared" si="5"/>
        <v>0.22159090909090909</v>
      </c>
    </row>
    <row r="17" spans="2:13" x14ac:dyDescent="0.25">
      <c r="B17" s="105" t="s">
        <v>551</v>
      </c>
      <c r="C17" s="105">
        <v>18</v>
      </c>
      <c r="D17" s="105">
        <v>26</v>
      </c>
      <c r="E17" s="105">
        <v>40</v>
      </c>
      <c r="F17" s="105">
        <v>5</v>
      </c>
      <c r="G17" s="105">
        <v>89</v>
      </c>
      <c r="H17" s="135">
        <f t="shared" si="1"/>
        <v>0.2225</v>
      </c>
      <c r="I17" s="135">
        <f t="shared" si="2"/>
        <v>0.2225</v>
      </c>
      <c r="J17" s="135">
        <f t="shared" si="6"/>
        <v>0.20224719101123595</v>
      </c>
      <c r="K17" s="135">
        <f t="shared" si="3"/>
        <v>0.29213483146067415</v>
      </c>
      <c r="L17" s="135">
        <f t="shared" si="4"/>
        <v>0.449438202247191</v>
      </c>
      <c r="M17" s="135">
        <f t="shared" si="5"/>
        <v>5.6179775280898875E-2</v>
      </c>
    </row>
    <row r="18" spans="2:13" x14ac:dyDescent="0.25">
      <c r="B18" s="105" t="s">
        <v>486</v>
      </c>
      <c r="C18" s="105">
        <v>40</v>
      </c>
      <c r="D18" s="105">
        <v>77</v>
      </c>
      <c r="E18" s="105">
        <v>69</v>
      </c>
      <c r="F18" s="105">
        <v>40</v>
      </c>
      <c r="G18" s="105">
        <v>226</v>
      </c>
      <c r="H18" s="135">
        <f t="shared" si="1"/>
        <v>0.56499999999999995</v>
      </c>
      <c r="I18" s="135">
        <f t="shared" si="2"/>
        <v>0.56499999999999995</v>
      </c>
      <c r="J18" s="135">
        <f t="shared" si="6"/>
        <v>0.17699115044247787</v>
      </c>
      <c r="K18" s="135">
        <f t="shared" si="3"/>
        <v>0.34070796460176989</v>
      </c>
      <c r="L18" s="135">
        <f t="shared" si="4"/>
        <v>0.30530973451327431</v>
      </c>
      <c r="M18" s="135">
        <f t="shared" si="5"/>
        <v>0.17699115044247787</v>
      </c>
    </row>
    <row r="19" spans="2:13" ht="15.75" thickBot="1" x14ac:dyDescent="0.3">
      <c r="B19" s="139" t="s">
        <v>487</v>
      </c>
      <c r="C19" s="139">
        <v>52</v>
      </c>
      <c r="D19" s="139">
        <v>81</v>
      </c>
      <c r="E19" s="139">
        <v>39</v>
      </c>
      <c r="F19" s="139">
        <v>11</v>
      </c>
      <c r="G19" s="139">
        <v>183</v>
      </c>
      <c r="H19" s="140">
        <f t="shared" si="1"/>
        <v>0.45750000000000002</v>
      </c>
      <c r="I19" s="140">
        <f t="shared" si="2"/>
        <v>0.45750000000000002</v>
      </c>
      <c r="J19" s="135">
        <f t="shared" si="6"/>
        <v>0.28415300546448086</v>
      </c>
      <c r="K19" s="135">
        <f t="shared" si="3"/>
        <v>0.44262295081967212</v>
      </c>
      <c r="L19" s="135">
        <f t="shared" si="4"/>
        <v>0.21311475409836064</v>
      </c>
      <c r="M19" s="135">
        <f t="shared" si="5"/>
        <v>6.0109289617486336E-2</v>
      </c>
    </row>
    <row r="25" spans="2:13" x14ac:dyDescent="0.25">
      <c r="B25" s="316" t="s">
        <v>553</v>
      </c>
      <c r="C25" s="316"/>
      <c r="D25" s="316"/>
      <c r="E25" s="316"/>
      <c r="F25" s="316"/>
      <c r="G25" s="318">
        <v>400</v>
      </c>
      <c r="H25" s="319"/>
      <c r="I25" s="319"/>
    </row>
    <row r="26" spans="2:13" x14ac:dyDescent="0.25">
      <c r="B26" s="137" t="s">
        <v>470</v>
      </c>
      <c r="C26" s="137" t="s">
        <v>461</v>
      </c>
      <c r="D26" s="137" t="s">
        <v>462</v>
      </c>
      <c r="E26" s="137" t="s">
        <v>463</v>
      </c>
      <c r="F26" s="137" t="s">
        <v>464</v>
      </c>
      <c r="G26" s="137" t="s">
        <v>552</v>
      </c>
      <c r="H26" s="137" t="s">
        <v>536</v>
      </c>
      <c r="I26" s="138" t="s">
        <v>558</v>
      </c>
    </row>
    <row r="27" spans="2:13" x14ac:dyDescent="0.25">
      <c r="B27" s="105" t="s">
        <v>473</v>
      </c>
      <c r="C27" s="105">
        <v>40</v>
      </c>
      <c r="D27" s="105">
        <v>46</v>
      </c>
      <c r="E27" s="105">
        <v>63</v>
      </c>
      <c r="F27" s="105">
        <v>66</v>
      </c>
      <c r="G27" s="105">
        <v>215</v>
      </c>
      <c r="H27" s="135">
        <f>G27/400</f>
        <v>0.53749999999999998</v>
      </c>
      <c r="I27" s="141">
        <f>RANK(H27,$H$27:$H$41,0)</f>
        <v>6</v>
      </c>
    </row>
    <row r="28" spans="2:13" x14ac:dyDescent="0.25">
      <c r="B28" s="105" t="s">
        <v>474</v>
      </c>
      <c r="C28" s="105">
        <v>9</v>
      </c>
      <c r="D28" s="105">
        <v>13</v>
      </c>
      <c r="E28" s="105">
        <v>98</v>
      </c>
      <c r="F28" s="105">
        <v>19</v>
      </c>
      <c r="G28" s="105">
        <v>139</v>
      </c>
      <c r="H28" s="135">
        <f t="shared" ref="H28:H41" si="7">G28/400</f>
        <v>0.34749999999999998</v>
      </c>
      <c r="I28" s="141">
        <f t="shared" ref="I28:I41" si="8">RANK(H28,$H$27:$H$41,0)</f>
        <v>14</v>
      </c>
    </row>
    <row r="29" spans="2:13" x14ac:dyDescent="0.25">
      <c r="B29" s="105" t="s">
        <v>475</v>
      </c>
      <c r="C29" s="105">
        <v>82</v>
      </c>
      <c r="D29" s="105">
        <v>43</v>
      </c>
      <c r="E29" s="105">
        <v>63</v>
      </c>
      <c r="F29" s="105">
        <v>84</v>
      </c>
      <c r="G29" s="105">
        <v>272</v>
      </c>
      <c r="H29" s="135">
        <f t="shared" si="7"/>
        <v>0.68</v>
      </c>
      <c r="I29" s="141">
        <f t="shared" si="8"/>
        <v>2</v>
      </c>
    </row>
    <row r="30" spans="2:13" x14ac:dyDescent="0.25">
      <c r="B30" s="105" t="s">
        <v>476</v>
      </c>
      <c r="C30" s="105">
        <v>32</v>
      </c>
      <c r="D30" s="105">
        <v>48</v>
      </c>
      <c r="E30" s="105">
        <v>26</v>
      </c>
      <c r="F30" s="105">
        <v>81</v>
      </c>
      <c r="G30" s="105">
        <v>187</v>
      </c>
      <c r="H30" s="135">
        <f t="shared" si="7"/>
        <v>0.46750000000000003</v>
      </c>
      <c r="I30" s="141">
        <f t="shared" si="8"/>
        <v>9</v>
      </c>
    </row>
    <row r="31" spans="2:13" x14ac:dyDescent="0.25">
      <c r="B31" s="105" t="s">
        <v>477</v>
      </c>
      <c r="C31" s="105">
        <v>20</v>
      </c>
      <c r="D31" s="105">
        <v>3</v>
      </c>
      <c r="E31" s="105">
        <v>76</v>
      </c>
      <c r="F31" s="105">
        <v>78</v>
      </c>
      <c r="G31" s="105">
        <v>177</v>
      </c>
      <c r="H31" s="135">
        <f t="shared" si="7"/>
        <v>0.4425</v>
      </c>
      <c r="I31" s="141">
        <f t="shared" si="8"/>
        <v>12</v>
      </c>
    </row>
    <row r="32" spans="2:13" x14ac:dyDescent="0.25">
      <c r="B32" s="105" t="s">
        <v>478</v>
      </c>
      <c r="C32" s="105">
        <v>80</v>
      </c>
      <c r="D32" s="105">
        <v>46</v>
      </c>
      <c r="E32" s="105">
        <v>0</v>
      </c>
      <c r="F32" s="105">
        <v>76</v>
      </c>
      <c r="G32" s="105">
        <v>202</v>
      </c>
      <c r="H32" s="135">
        <f t="shared" si="7"/>
        <v>0.505</v>
      </c>
      <c r="I32" s="141">
        <f t="shared" si="8"/>
        <v>7</v>
      </c>
    </row>
    <row r="33" spans="2:9" x14ac:dyDescent="0.25">
      <c r="B33" s="105" t="s">
        <v>479</v>
      </c>
      <c r="C33" s="105">
        <v>62</v>
      </c>
      <c r="D33" s="105">
        <v>40</v>
      </c>
      <c r="E33" s="105">
        <v>40</v>
      </c>
      <c r="F33" s="105">
        <v>76</v>
      </c>
      <c r="G33" s="105">
        <v>218</v>
      </c>
      <c r="H33" s="135">
        <f t="shared" si="7"/>
        <v>0.54500000000000004</v>
      </c>
      <c r="I33" s="141">
        <f t="shared" si="8"/>
        <v>5</v>
      </c>
    </row>
    <row r="34" spans="2:9" x14ac:dyDescent="0.25">
      <c r="B34" s="105" t="s">
        <v>549</v>
      </c>
      <c r="C34" s="105">
        <v>11</v>
      </c>
      <c r="D34" s="105">
        <v>88</v>
      </c>
      <c r="E34" s="105">
        <v>23</v>
      </c>
      <c r="F34" s="105">
        <v>77</v>
      </c>
      <c r="G34" s="105">
        <v>199</v>
      </c>
      <c r="H34" s="135">
        <f t="shared" si="7"/>
        <v>0.4975</v>
      </c>
      <c r="I34" s="141">
        <f t="shared" si="8"/>
        <v>8</v>
      </c>
    </row>
    <row r="35" spans="2:9" x14ac:dyDescent="0.25">
      <c r="B35" s="105" t="s">
        <v>481</v>
      </c>
      <c r="C35" s="105">
        <v>62</v>
      </c>
      <c r="D35" s="105">
        <v>61</v>
      </c>
      <c r="E35" s="105">
        <v>93</v>
      </c>
      <c r="F35" s="105">
        <v>95</v>
      </c>
      <c r="G35" s="105">
        <v>311</v>
      </c>
      <c r="H35" s="135">
        <f t="shared" si="7"/>
        <v>0.77749999999999997</v>
      </c>
      <c r="I35" s="141">
        <f t="shared" si="8"/>
        <v>1</v>
      </c>
    </row>
    <row r="36" spans="2:9" x14ac:dyDescent="0.25">
      <c r="B36" s="105" t="s">
        <v>482</v>
      </c>
      <c r="C36" s="105">
        <v>7</v>
      </c>
      <c r="D36" s="105">
        <v>63</v>
      </c>
      <c r="E36" s="105">
        <v>37</v>
      </c>
      <c r="F36" s="105">
        <v>80</v>
      </c>
      <c r="G36" s="105">
        <v>187</v>
      </c>
      <c r="H36" s="135">
        <f t="shared" si="7"/>
        <v>0.46750000000000003</v>
      </c>
      <c r="I36" s="141">
        <f t="shared" si="8"/>
        <v>9</v>
      </c>
    </row>
    <row r="37" spans="2:9" x14ac:dyDescent="0.25">
      <c r="B37" s="105" t="s">
        <v>550</v>
      </c>
      <c r="C37" s="105">
        <v>97</v>
      </c>
      <c r="D37" s="105">
        <v>47</v>
      </c>
      <c r="E37" s="105">
        <v>26</v>
      </c>
      <c r="F37" s="105">
        <v>99</v>
      </c>
      <c r="G37" s="105">
        <v>269</v>
      </c>
      <c r="H37" s="135">
        <f t="shared" si="7"/>
        <v>0.67249999999999999</v>
      </c>
      <c r="I37" s="141">
        <f t="shared" si="8"/>
        <v>3</v>
      </c>
    </row>
    <row r="38" spans="2:9" x14ac:dyDescent="0.25">
      <c r="B38" s="105" t="s">
        <v>484</v>
      </c>
      <c r="C38" s="105">
        <v>6</v>
      </c>
      <c r="D38" s="105">
        <v>63</v>
      </c>
      <c r="E38" s="105">
        <v>68</v>
      </c>
      <c r="F38" s="105">
        <v>39</v>
      </c>
      <c r="G38" s="105">
        <v>176</v>
      </c>
      <c r="H38" s="135">
        <f t="shared" si="7"/>
        <v>0.44</v>
      </c>
      <c r="I38" s="141">
        <f t="shared" si="8"/>
        <v>13</v>
      </c>
    </row>
    <row r="39" spans="2:9" x14ac:dyDescent="0.25">
      <c r="B39" s="105" t="s">
        <v>551</v>
      </c>
      <c r="C39" s="105">
        <v>18</v>
      </c>
      <c r="D39" s="105">
        <v>26</v>
      </c>
      <c r="E39" s="105">
        <v>40</v>
      </c>
      <c r="F39" s="105">
        <v>5</v>
      </c>
      <c r="G39" s="105">
        <v>89</v>
      </c>
      <c r="H39" s="135">
        <f t="shared" si="7"/>
        <v>0.2225</v>
      </c>
      <c r="I39" s="141">
        <f t="shared" si="8"/>
        <v>15</v>
      </c>
    </row>
    <row r="40" spans="2:9" x14ac:dyDescent="0.25">
      <c r="B40" s="105" t="s">
        <v>486</v>
      </c>
      <c r="C40" s="105">
        <v>40</v>
      </c>
      <c r="D40" s="105">
        <v>77</v>
      </c>
      <c r="E40" s="105">
        <v>69</v>
      </c>
      <c r="F40" s="105">
        <v>40</v>
      </c>
      <c r="G40" s="105">
        <v>226</v>
      </c>
      <c r="H40" s="135">
        <f t="shared" si="7"/>
        <v>0.56499999999999995</v>
      </c>
      <c r="I40" s="141">
        <f t="shared" si="8"/>
        <v>4</v>
      </c>
    </row>
    <row r="41" spans="2:9" ht="15.75" thickBot="1" x14ac:dyDescent="0.3">
      <c r="B41" s="139" t="s">
        <v>487</v>
      </c>
      <c r="C41" s="139">
        <v>52</v>
      </c>
      <c r="D41" s="139">
        <v>81</v>
      </c>
      <c r="E41" s="139">
        <v>39</v>
      </c>
      <c r="F41" s="139">
        <v>11</v>
      </c>
      <c r="G41" s="139">
        <v>183</v>
      </c>
      <c r="H41" s="140">
        <f t="shared" si="7"/>
        <v>0.45750000000000002</v>
      </c>
      <c r="I41" s="141">
        <f t="shared" si="8"/>
        <v>11</v>
      </c>
    </row>
  </sheetData>
  <mergeCells count="4">
    <mergeCell ref="B3:F3"/>
    <mergeCell ref="G3:M3"/>
    <mergeCell ref="B25:F25"/>
    <mergeCell ref="G25:I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D35D-42B3-4FB6-B1C2-2E99B2FC7CC6}">
  <dimension ref="B2:G31"/>
  <sheetViews>
    <sheetView showGridLines="0" zoomScaleNormal="100" workbookViewId="0">
      <selection activeCell="F16" sqref="F16"/>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142" t="s">
        <v>559</v>
      </c>
      <c r="C3" s="143" t="s">
        <v>560</v>
      </c>
      <c r="D3" s="143" t="s">
        <v>561</v>
      </c>
      <c r="E3" s="143" t="s">
        <v>645</v>
      </c>
      <c r="F3" s="143" t="s">
        <v>562</v>
      </c>
      <c r="G3" s="144" t="s">
        <v>563</v>
      </c>
    </row>
    <row r="4" spans="2:7" x14ac:dyDescent="0.25">
      <c r="B4" s="163">
        <v>1</v>
      </c>
      <c r="C4" s="164" t="s">
        <v>564</v>
      </c>
      <c r="D4" s="165" t="s">
        <v>565</v>
      </c>
      <c r="E4" s="165" t="s">
        <v>566</v>
      </c>
      <c r="F4" s="165" t="s">
        <v>567</v>
      </c>
      <c r="G4" s="166" t="s">
        <v>648</v>
      </c>
    </row>
    <row r="5" spans="2:7" x14ac:dyDescent="0.25">
      <c r="B5" s="163">
        <v>2</v>
      </c>
      <c r="C5" s="164" t="s">
        <v>568</v>
      </c>
      <c r="D5" s="165" t="s">
        <v>569</v>
      </c>
      <c r="E5" s="165" t="s">
        <v>570</v>
      </c>
      <c r="F5" s="165" t="s">
        <v>571</v>
      </c>
      <c r="G5" s="166" t="s">
        <v>649</v>
      </c>
    </row>
    <row r="6" spans="2:7" x14ac:dyDescent="0.25">
      <c r="B6" s="163">
        <v>3</v>
      </c>
      <c r="C6" s="164" t="s">
        <v>572</v>
      </c>
      <c r="D6" s="165" t="s">
        <v>573</v>
      </c>
      <c r="E6" s="165" t="s">
        <v>574</v>
      </c>
      <c r="F6" s="165" t="s">
        <v>575</v>
      </c>
      <c r="G6" s="166" t="s">
        <v>653</v>
      </c>
    </row>
    <row r="7" spans="2:7" x14ac:dyDescent="0.25">
      <c r="B7" s="151">
        <v>4</v>
      </c>
      <c r="C7" s="152" t="s">
        <v>576</v>
      </c>
      <c r="D7" s="153" t="s">
        <v>577</v>
      </c>
      <c r="E7" s="153" t="s">
        <v>578</v>
      </c>
      <c r="F7" s="153" t="s">
        <v>579</v>
      </c>
      <c r="G7" s="154" t="s">
        <v>654</v>
      </c>
    </row>
    <row r="8" spans="2:7" x14ac:dyDescent="0.25">
      <c r="B8" s="151">
        <v>5</v>
      </c>
      <c r="C8" s="152" t="s">
        <v>580</v>
      </c>
      <c r="D8" s="153" t="s">
        <v>581</v>
      </c>
      <c r="E8" s="153" t="s">
        <v>582</v>
      </c>
      <c r="F8" s="153" t="s">
        <v>583</v>
      </c>
      <c r="G8" s="154" t="s">
        <v>655</v>
      </c>
    </row>
    <row r="9" spans="2:7" x14ac:dyDescent="0.25">
      <c r="B9" s="155">
        <v>6</v>
      </c>
      <c r="C9" s="156" t="s">
        <v>584</v>
      </c>
      <c r="D9" s="157" t="s">
        <v>585</v>
      </c>
      <c r="E9" s="157" t="s">
        <v>586</v>
      </c>
      <c r="F9" s="157" t="s">
        <v>587</v>
      </c>
      <c r="G9" s="158" t="s">
        <v>656</v>
      </c>
    </row>
    <row r="10" spans="2:7" x14ac:dyDescent="0.25">
      <c r="B10" s="155">
        <v>7</v>
      </c>
      <c r="C10" s="156" t="s">
        <v>588</v>
      </c>
      <c r="D10" s="157" t="s">
        <v>589</v>
      </c>
      <c r="E10" s="157" t="s">
        <v>590</v>
      </c>
      <c r="F10" s="157" t="s">
        <v>591</v>
      </c>
      <c r="G10" s="158" t="s">
        <v>657</v>
      </c>
    </row>
    <row r="11" spans="2:7" x14ac:dyDescent="0.25">
      <c r="B11" s="155">
        <v>8</v>
      </c>
      <c r="C11" s="156" t="s">
        <v>592</v>
      </c>
      <c r="D11" s="157" t="s">
        <v>593</v>
      </c>
      <c r="E11" s="157" t="s">
        <v>594</v>
      </c>
      <c r="F11" s="157" t="s">
        <v>595</v>
      </c>
      <c r="G11" s="158" t="s">
        <v>650</v>
      </c>
    </row>
    <row r="12" spans="2:7" x14ac:dyDescent="0.25">
      <c r="B12" s="159">
        <v>9</v>
      </c>
      <c r="C12" s="160" t="s">
        <v>596</v>
      </c>
      <c r="D12" s="161" t="s">
        <v>597</v>
      </c>
      <c r="E12" s="161" t="s">
        <v>598</v>
      </c>
      <c r="F12" s="161" t="s">
        <v>599</v>
      </c>
      <c r="G12" s="162" t="s">
        <v>658</v>
      </c>
    </row>
    <row r="13" spans="2:7" x14ac:dyDescent="0.25">
      <c r="B13" s="159">
        <v>10</v>
      </c>
      <c r="C13" s="160" t="s">
        <v>600</v>
      </c>
      <c r="D13" s="161" t="s">
        <v>601</v>
      </c>
      <c r="E13" s="161" t="s">
        <v>602</v>
      </c>
      <c r="F13" s="161" t="s">
        <v>603</v>
      </c>
      <c r="G13" s="162" t="s">
        <v>659</v>
      </c>
    </row>
    <row r="14" spans="2:7" ht="25.5" x14ac:dyDescent="0.25">
      <c r="B14" s="159">
        <v>11</v>
      </c>
      <c r="C14" s="160" t="s">
        <v>604</v>
      </c>
      <c r="D14" s="161" t="s">
        <v>605</v>
      </c>
      <c r="E14" s="161" t="s">
        <v>606</v>
      </c>
      <c r="F14" s="161" t="s">
        <v>607</v>
      </c>
      <c r="G14" s="162" t="s">
        <v>660</v>
      </c>
    </row>
    <row r="15" spans="2:7" x14ac:dyDescent="0.25">
      <c r="B15" s="175">
        <v>12</v>
      </c>
      <c r="C15" s="176" t="s">
        <v>608</v>
      </c>
      <c r="D15" s="177" t="s">
        <v>609</v>
      </c>
      <c r="E15" s="177" t="s">
        <v>610</v>
      </c>
      <c r="F15" s="177" t="s">
        <v>611</v>
      </c>
      <c r="G15" s="178" t="s">
        <v>651</v>
      </c>
    </row>
    <row r="16" spans="2:7" x14ac:dyDescent="0.25">
      <c r="B16" s="175">
        <v>13</v>
      </c>
      <c r="C16" s="176" t="s">
        <v>612</v>
      </c>
      <c r="D16" s="177" t="s">
        <v>613</v>
      </c>
      <c r="E16" s="177" t="s">
        <v>614</v>
      </c>
      <c r="F16" s="177" t="s">
        <v>615</v>
      </c>
      <c r="G16" s="178" t="s">
        <v>652</v>
      </c>
    </row>
    <row r="17" spans="2:7" ht="25.5" x14ac:dyDescent="0.25">
      <c r="B17" s="179">
        <v>14</v>
      </c>
      <c r="C17" s="180" t="s">
        <v>616</v>
      </c>
      <c r="D17" s="181" t="s">
        <v>617</v>
      </c>
      <c r="E17" s="181" t="s">
        <v>618</v>
      </c>
      <c r="F17" s="181" t="s">
        <v>619</v>
      </c>
      <c r="G17" s="182" t="s">
        <v>661</v>
      </c>
    </row>
    <row r="18" spans="2:7" ht="25.5" x14ac:dyDescent="0.25">
      <c r="B18" s="179">
        <v>15</v>
      </c>
      <c r="C18" s="180" t="s">
        <v>620</v>
      </c>
      <c r="D18" s="181" t="s">
        <v>621</v>
      </c>
      <c r="E18" s="181" t="s">
        <v>622</v>
      </c>
      <c r="F18" s="181" t="s">
        <v>623</v>
      </c>
      <c r="G18" s="182" t="s">
        <v>662</v>
      </c>
    </row>
    <row r="19" spans="2:7" x14ac:dyDescent="0.25">
      <c r="B19" s="151">
        <v>16</v>
      </c>
      <c r="C19" s="152" t="s">
        <v>624</v>
      </c>
      <c r="D19" s="153" t="s">
        <v>625</v>
      </c>
      <c r="E19" s="153" t="s">
        <v>626</v>
      </c>
      <c r="F19" s="153" t="s">
        <v>627</v>
      </c>
      <c r="G19" s="154" t="s">
        <v>663</v>
      </c>
    </row>
    <row r="20" spans="2:7" x14ac:dyDescent="0.25">
      <c r="B20" s="151">
        <v>17</v>
      </c>
      <c r="C20" s="152" t="s">
        <v>628</v>
      </c>
      <c r="D20" s="153" t="s">
        <v>629</v>
      </c>
      <c r="E20" s="153" t="s">
        <v>630</v>
      </c>
      <c r="F20" s="153" t="s">
        <v>631</v>
      </c>
      <c r="G20" s="154" t="s">
        <v>666</v>
      </c>
    </row>
    <row r="21" spans="2:7" x14ac:dyDescent="0.25">
      <c r="B21" s="151">
        <v>18</v>
      </c>
      <c r="C21" s="152" t="s">
        <v>632</v>
      </c>
      <c r="D21" s="153" t="s">
        <v>633</v>
      </c>
      <c r="E21" s="153" t="s">
        <v>634</v>
      </c>
      <c r="F21" s="153" t="s">
        <v>635</v>
      </c>
      <c r="G21" s="154" t="s">
        <v>664</v>
      </c>
    </row>
    <row r="22" spans="2:7" x14ac:dyDescent="0.25">
      <c r="B22" s="151" t="s">
        <v>636</v>
      </c>
      <c r="C22" s="152" t="s">
        <v>637</v>
      </c>
      <c r="D22" s="153" t="s">
        <v>638</v>
      </c>
      <c r="E22" s="153" t="s">
        <v>639</v>
      </c>
      <c r="F22" s="153" t="s">
        <v>640</v>
      </c>
      <c r="G22" s="154" t="s">
        <v>665</v>
      </c>
    </row>
    <row r="23" spans="2:7" ht="15.75" thickBot="1" x14ac:dyDescent="0.3">
      <c r="B23" s="171">
        <v>20</v>
      </c>
      <c r="C23" s="172" t="s">
        <v>641</v>
      </c>
      <c r="D23" s="173" t="s">
        <v>642</v>
      </c>
      <c r="E23" s="173" t="s">
        <v>643</v>
      </c>
      <c r="F23" s="173" t="s">
        <v>644</v>
      </c>
      <c r="G23" s="174" t="s">
        <v>535</v>
      </c>
    </row>
    <row r="24" spans="2:7" ht="15.75" thickBot="1" x14ac:dyDescent="0.3">
      <c r="B24" s="320" t="s">
        <v>734</v>
      </c>
      <c r="C24" s="321"/>
      <c r="D24" s="321"/>
      <c r="E24" s="321"/>
      <c r="F24" s="321"/>
      <c r="G24" s="322"/>
    </row>
    <row r="31" spans="2:7" x14ac:dyDescent="0.25">
      <c r="G31" s="238"/>
    </row>
  </sheetData>
  <mergeCells count="1">
    <mergeCell ref="B24:G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D473-BB1A-4083-B1E9-1F028EFD68A4}">
  <sheetPr>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323" t="s">
        <v>564</v>
      </c>
      <c r="C2" s="324"/>
      <c r="D2" s="145"/>
      <c r="E2" s="323" t="s">
        <v>568</v>
      </c>
      <c r="F2" s="324"/>
      <c r="H2" s="323" t="s">
        <v>572</v>
      </c>
      <c r="I2" s="324"/>
    </row>
    <row r="3" spans="2:9" x14ac:dyDescent="0.25">
      <c r="B3" s="148" t="s">
        <v>646</v>
      </c>
      <c r="C3" s="148" t="s">
        <v>647</v>
      </c>
      <c r="D3" s="146"/>
      <c r="E3" s="148" t="s">
        <v>667</v>
      </c>
      <c r="F3" s="148" t="s">
        <v>668</v>
      </c>
      <c r="H3" s="148" t="s">
        <v>667</v>
      </c>
      <c r="I3" s="148" t="s">
        <v>668</v>
      </c>
    </row>
    <row r="4" spans="2:9" x14ac:dyDescent="0.25">
      <c r="B4" s="149" t="s">
        <v>669</v>
      </c>
      <c r="C4" s="150" t="str">
        <f>LEFT(B4,3)</f>
        <v>Mr.</v>
      </c>
      <c r="D4" s="146"/>
      <c r="E4" s="149" t="s">
        <v>678</v>
      </c>
      <c r="F4" s="149" t="str">
        <f>RIGHT(E4,3)</f>
        <v>MNO</v>
      </c>
      <c r="H4" s="149" t="s">
        <v>678</v>
      </c>
      <c r="I4" s="149" t="str">
        <f>MID(H4,5,4)</f>
        <v>7842</v>
      </c>
    </row>
    <row r="5" spans="2:9" x14ac:dyDescent="0.25">
      <c r="B5" s="149" t="s">
        <v>670</v>
      </c>
      <c r="C5" s="150" t="str">
        <f t="shared" ref="C5:C12" si="0">LEFT(B5,3)</f>
        <v>Mr.</v>
      </c>
      <c r="D5" s="146"/>
      <c r="E5" s="149" t="s">
        <v>679</v>
      </c>
      <c r="F5" s="149" t="str">
        <f t="shared" ref="F5:F12" si="1">RIGHT(E5,3)</f>
        <v>KLM</v>
      </c>
      <c r="H5" s="149" t="s">
        <v>679</v>
      </c>
      <c r="I5" s="149" t="str">
        <f t="shared" ref="I5:I12" si="2">MID(H5,5,4)</f>
        <v>8492</v>
      </c>
    </row>
    <row r="6" spans="2:9" x14ac:dyDescent="0.25">
      <c r="B6" s="149" t="s">
        <v>671</v>
      </c>
      <c r="C6" s="150" t="str">
        <f t="shared" si="0"/>
        <v>Mr.</v>
      </c>
      <c r="D6" s="146"/>
      <c r="E6" s="149" t="s">
        <v>680</v>
      </c>
      <c r="F6" s="149" t="str">
        <f t="shared" si="1"/>
        <v>YZQ</v>
      </c>
      <c r="H6" s="149" t="s">
        <v>680</v>
      </c>
      <c r="I6" s="149" t="str">
        <f t="shared" si="2"/>
        <v>2345</v>
      </c>
    </row>
    <row r="7" spans="2:9" x14ac:dyDescent="0.25">
      <c r="B7" s="149" t="s">
        <v>672</v>
      </c>
      <c r="C7" s="150" t="str">
        <f t="shared" si="0"/>
        <v>Mr.</v>
      </c>
      <c r="D7" s="146"/>
      <c r="E7" s="149" t="s">
        <v>681</v>
      </c>
      <c r="F7" s="149" t="str">
        <f t="shared" si="1"/>
        <v>PQR</v>
      </c>
      <c r="H7" s="149" t="s">
        <v>681</v>
      </c>
      <c r="I7" s="149" t="str">
        <f t="shared" si="2"/>
        <v>6789</v>
      </c>
    </row>
    <row r="8" spans="2:9" x14ac:dyDescent="0.25">
      <c r="B8" s="149" t="s">
        <v>673</v>
      </c>
      <c r="C8" s="150" t="str">
        <f t="shared" si="0"/>
        <v>Ms.</v>
      </c>
      <c r="D8" s="146"/>
      <c r="E8" s="149" t="s">
        <v>682</v>
      </c>
      <c r="F8" s="149" t="str">
        <f t="shared" si="1"/>
        <v>ABC</v>
      </c>
      <c r="H8" s="149" t="s">
        <v>682</v>
      </c>
      <c r="I8" s="149" t="str">
        <f t="shared" si="2"/>
        <v>4532</v>
      </c>
    </row>
    <row r="9" spans="2:9" x14ac:dyDescent="0.25">
      <c r="B9" s="149" t="s">
        <v>674</v>
      </c>
      <c r="C9" s="150" t="str">
        <f t="shared" si="0"/>
        <v>Mr.</v>
      </c>
      <c r="D9" s="146"/>
      <c r="E9" s="149" t="s">
        <v>683</v>
      </c>
      <c r="F9" s="149" t="str">
        <f t="shared" si="1"/>
        <v>DEF</v>
      </c>
      <c r="H9" s="149" t="s">
        <v>683</v>
      </c>
      <c r="I9" s="149" t="str">
        <f t="shared" si="2"/>
        <v>9102</v>
      </c>
    </row>
    <row r="10" spans="2:9" x14ac:dyDescent="0.25">
      <c r="B10" s="149" t="s">
        <v>675</v>
      </c>
      <c r="C10" s="150" t="str">
        <f t="shared" si="0"/>
        <v>Ms.</v>
      </c>
      <c r="D10" s="146"/>
      <c r="E10" s="149" t="s">
        <v>684</v>
      </c>
      <c r="F10" s="149" t="str">
        <f t="shared" si="1"/>
        <v>GHI</v>
      </c>
      <c r="H10" s="149" t="s">
        <v>684</v>
      </c>
      <c r="I10" s="149" t="str">
        <f t="shared" si="2"/>
        <v>3217</v>
      </c>
    </row>
    <row r="11" spans="2:9" x14ac:dyDescent="0.25">
      <c r="B11" s="149" t="s">
        <v>676</v>
      </c>
      <c r="C11" s="150" t="str">
        <f t="shared" si="0"/>
        <v>Mr.</v>
      </c>
      <c r="D11" s="146"/>
      <c r="E11" s="149" t="s">
        <v>685</v>
      </c>
      <c r="F11" s="149" t="str">
        <f t="shared" si="1"/>
        <v>JKL</v>
      </c>
      <c r="H11" s="149" t="s">
        <v>685</v>
      </c>
      <c r="I11" s="149" t="str">
        <f t="shared" si="2"/>
        <v>7654</v>
      </c>
    </row>
    <row r="12" spans="2:9" x14ac:dyDescent="0.25">
      <c r="B12" s="149" t="s">
        <v>677</v>
      </c>
      <c r="C12" s="150" t="str">
        <f t="shared" si="0"/>
        <v>Ms.</v>
      </c>
      <c r="D12" s="147"/>
      <c r="E12" s="149" t="s">
        <v>686</v>
      </c>
      <c r="F12" s="149" t="str">
        <f t="shared" si="1"/>
        <v>STU</v>
      </c>
      <c r="H12" s="149" t="s">
        <v>686</v>
      </c>
      <c r="I12" s="149" t="str">
        <f t="shared" si="2"/>
        <v>1876</v>
      </c>
    </row>
    <row r="15" spans="2:9" ht="15.75" thickBot="1" x14ac:dyDescent="0.3"/>
    <row r="16" spans="2:9" x14ac:dyDescent="0.25">
      <c r="B16" s="323" t="s">
        <v>687</v>
      </c>
      <c r="C16" s="324"/>
      <c r="E16" s="323" t="s">
        <v>580</v>
      </c>
      <c r="F16" s="324"/>
    </row>
    <row r="17" spans="2:9" x14ac:dyDescent="0.25">
      <c r="B17" s="148" t="s">
        <v>667</v>
      </c>
      <c r="C17" s="148"/>
      <c r="E17" s="148" t="s">
        <v>646</v>
      </c>
      <c r="F17" s="148"/>
    </row>
    <row r="18" spans="2:9" x14ac:dyDescent="0.25">
      <c r="B18" s="149" t="s">
        <v>678</v>
      </c>
      <c r="C18" s="149">
        <f>LEN(B18)</f>
        <v>12</v>
      </c>
      <c r="E18" s="149" t="s">
        <v>688</v>
      </c>
      <c r="F18" s="150" t="str">
        <f>TRIM(E18)</f>
        <v>Mr. Oneeb Arif</v>
      </c>
    </row>
    <row r="19" spans="2:9" x14ac:dyDescent="0.25">
      <c r="B19" s="149" t="s">
        <v>679</v>
      </c>
      <c r="C19" s="149">
        <f t="shared" ref="C19:C26" si="3">LEN(B19)</f>
        <v>12</v>
      </c>
      <c r="E19" s="149" t="s">
        <v>689</v>
      </c>
      <c r="F19" s="150" t="str">
        <f t="shared" ref="F19:F26" si="4">TRIM(E19)</f>
        <v>Mr. Bilal Ahmed</v>
      </c>
    </row>
    <row r="20" spans="2:9" x14ac:dyDescent="0.25">
      <c r="B20" s="149" t="s">
        <v>680</v>
      </c>
      <c r="C20" s="149">
        <f t="shared" si="3"/>
        <v>12</v>
      </c>
      <c r="E20" s="149" t="s">
        <v>694</v>
      </c>
      <c r="F20" s="150" t="str">
        <f t="shared" si="4"/>
        <v>Mr. Muneer Khan</v>
      </c>
    </row>
    <row r="21" spans="2:9" x14ac:dyDescent="0.25">
      <c r="B21" s="149" t="s">
        <v>681</v>
      </c>
      <c r="C21" s="149">
        <f t="shared" si="3"/>
        <v>12</v>
      </c>
      <c r="E21" s="149" t="s">
        <v>690</v>
      </c>
      <c r="F21" s="150" t="str">
        <f t="shared" si="4"/>
        <v>Mr. Affan Ahmed</v>
      </c>
    </row>
    <row r="22" spans="2:9" x14ac:dyDescent="0.25">
      <c r="B22" s="149" t="s">
        <v>682</v>
      </c>
      <c r="C22" s="149">
        <f t="shared" si="3"/>
        <v>12</v>
      </c>
      <c r="E22" s="149" t="s">
        <v>693</v>
      </c>
      <c r="F22" s="150" t="str">
        <f t="shared" si="4"/>
        <v>Ms. Ayesha Malik</v>
      </c>
    </row>
    <row r="23" spans="2:9" x14ac:dyDescent="0.25">
      <c r="B23" s="149" t="s">
        <v>683</v>
      </c>
      <c r="C23" s="149">
        <f t="shared" si="3"/>
        <v>12</v>
      </c>
      <c r="E23" s="149" t="s">
        <v>692</v>
      </c>
      <c r="F23" s="150" t="str">
        <f t="shared" si="4"/>
        <v>Mr. Abdul Wasay</v>
      </c>
    </row>
    <row r="24" spans="2:9" x14ac:dyDescent="0.25">
      <c r="B24" s="149" t="s">
        <v>684</v>
      </c>
      <c r="C24" s="149">
        <f t="shared" si="3"/>
        <v>12</v>
      </c>
      <c r="E24" s="149" t="s">
        <v>675</v>
      </c>
      <c r="F24" s="150" t="str">
        <f t="shared" si="4"/>
        <v>Ms. Fatima Raza</v>
      </c>
    </row>
    <row r="25" spans="2:9" x14ac:dyDescent="0.25">
      <c r="B25" s="149" t="s">
        <v>685</v>
      </c>
      <c r="C25" s="149">
        <f t="shared" si="3"/>
        <v>12</v>
      </c>
      <c r="E25" s="149" t="s">
        <v>676</v>
      </c>
      <c r="F25" s="150" t="str">
        <f t="shared" si="4"/>
        <v>Mr. Hamza Sheikh</v>
      </c>
    </row>
    <row r="26" spans="2:9" x14ac:dyDescent="0.25">
      <c r="B26" s="149" t="s">
        <v>686</v>
      </c>
      <c r="C26" s="149">
        <f t="shared" si="3"/>
        <v>12</v>
      </c>
      <c r="E26" s="149" t="s">
        <v>691</v>
      </c>
      <c r="F26" s="150" t="str">
        <f t="shared" si="4"/>
        <v>Ms. Zainab Ali</v>
      </c>
    </row>
    <row r="31" spans="2:9" ht="15.75" thickBot="1" x14ac:dyDescent="0.3"/>
    <row r="32" spans="2:9" x14ac:dyDescent="0.25">
      <c r="B32" s="323" t="s">
        <v>588</v>
      </c>
      <c r="C32" s="324"/>
      <c r="E32" s="323" t="s">
        <v>584</v>
      </c>
      <c r="F32" s="324"/>
      <c r="H32" s="323" t="s">
        <v>592</v>
      </c>
      <c r="I32" s="324"/>
    </row>
    <row r="33" spans="2:25" x14ac:dyDescent="0.25">
      <c r="B33" s="148" t="s">
        <v>646</v>
      </c>
      <c r="C33" s="148" t="s">
        <v>695</v>
      </c>
      <c r="E33" s="148" t="s">
        <v>646</v>
      </c>
      <c r="F33" s="148" t="s">
        <v>696</v>
      </c>
      <c r="H33" s="148" t="s">
        <v>646</v>
      </c>
      <c r="I33" s="148" t="s">
        <v>697</v>
      </c>
    </row>
    <row r="34" spans="2:25" x14ac:dyDescent="0.25">
      <c r="B34" s="149" t="s">
        <v>669</v>
      </c>
      <c r="C34" s="150" t="str">
        <f>LOWER(B34)</f>
        <v>mr. oneeb arif</v>
      </c>
      <c r="E34" s="149" t="s">
        <v>669</v>
      </c>
      <c r="F34" s="150" t="str">
        <f>UPPER(E34)</f>
        <v>MR. ONEEB ARIF</v>
      </c>
      <c r="H34" s="149" t="s">
        <v>698</v>
      </c>
      <c r="I34" s="149" t="str">
        <f>PROPER(H34)</f>
        <v>Mr. Oneeb Arif</v>
      </c>
    </row>
    <row r="35" spans="2:25" x14ac:dyDescent="0.25">
      <c r="B35" s="149" t="s">
        <v>670</v>
      </c>
      <c r="C35" s="150" t="str">
        <f t="shared" ref="C35:C42" si="5">LOWER(B35)</f>
        <v>mr. bilal ahmed</v>
      </c>
      <c r="E35" s="149" t="s">
        <v>670</v>
      </c>
      <c r="F35" s="150" t="str">
        <f t="shared" ref="F35:F42" si="6">UPPER(E35)</f>
        <v>MR. BILAL AHMED</v>
      </c>
      <c r="H35" s="149" t="s">
        <v>699</v>
      </c>
      <c r="I35" s="149" t="str">
        <f t="shared" ref="I35:I42" si="7">PROPER(H35)</f>
        <v>Mr. Bilal Ahmed</v>
      </c>
    </row>
    <row r="36" spans="2:25" x14ac:dyDescent="0.25">
      <c r="B36" s="149" t="s">
        <v>671</v>
      </c>
      <c r="C36" s="150" t="str">
        <f t="shared" si="5"/>
        <v>mr. muneer khan</v>
      </c>
      <c r="E36" s="149" t="s">
        <v>671</v>
      </c>
      <c r="F36" s="150" t="str">
        <f t="shared" si="6"/>
        <v>MR. MUNEER KHAN</v>
      </c>
      <c r="H36" s="149" t="s">
        <v>700</v>
      </c>
      <c r="I36" s="149" t="str">
        <f t="shared" si="7"/>
        <v>Mr. Muneer Khan</v>
      </c>
    </row>
    <row r="37" spans="2:25" x14ac:dyDescent="0.25">
      <c r="B37" s="149" t="s">
        <v>672</v>
      </c>
      <c r="C37" s="150" t="str">
        <f t="shared" si="5"/>
        <v>mr. affan ahmed</v>
      </c>
      <c r="E37" s="149" t="s">
        <v>672</v>
      </c>
      <c r="F37" s="150" t="str">
        <f t="shared" si="6"/>
        <v>MR. AFFAN AHMED</v>
      </c>
      <c r="H37" s="149" t="s">
        <v>701</v>
      </c>
      <c r="I37" s="149" t="str">
        <f t="shared" si="7"/>
        <v>Mr. Affan Ahmed</v>
      </c>
    </row>
    <row r="38" spans="2:25" x14ac:dyDescent="0.25">
      <c r="B38" s="149" t="s">
        <v>673</v>
      </c>
      <c r="C38" s="150" t="str">
        <f t="shared" si="5"/>
        <v>ms. ayesha malik</v>
      </c>
      <c r="E38" s="149" t="s">
        <v>673</v>
      </c>
      <c r="F38" s="150" t="str">
        <f t="shared" si="6"/>
        <v>MS. AYESHA MALIK</v>
      </c>
      <c r="H38" s="149" t="s">
        <v>702</v>
      </c>
      <c r="I38" s="149" t="str">
        <f t="shared" si="7"/>
        <v>Ms. Ayesha Malik</v>
      </c>
    </row>
    <row r="39" spans="2:25" x14ac:dyDescent="0.25">
      <c r="B39" s="149" t="s">
        <v>674</v>
      </c>
      <c r="C39" s="150" t="str">
        <f t="shared" si="5"/>
        <v>mr. abdul wasay</v>
      </c>
      <c r="E39" s="149" t="s">
        <v>674</v>
      </c>
      <c r="F39" s="150" t="str">
        <f t="shared" si="6"/>
        <v>MR. ABDUL WASAY</v>
      </c>
      <c r="H39" s="149" t="s">
        <v>703</v>
      </c>
      <c r="I39" s="149" t="str">
        <f t="shared" si="7"/>
        <v>Mr. Abdul Wasay</v>
      </c>
    </row>
    <row r="40" spans="2:25" x14ac:dyDescent="0.25">
      <c r="B40" s="149" t="s">
        <v>675</v>
      </c>
      <c r="C40" s="150" t="str">
        <f t="shared" si="5"/>
        <v>ms. fatima raza</v>
      </c>
      <c r="E40" s="149" t="s">
        <v>675</v>
      </c>
      <c r="F40" s="150" t="str">
        <f t="shared" si="6"/>
        <v>MS. FATIMA RAZA</v>
      </c>
      <c r="H40" s="149" t="s">
        <v>704</v>
      </c>
      <c r="I40" s="149" t="str">
        <f t="shared" si="7"/>
        <v>Ms. Fatima Raza</v>
      </c>
    </row>
    <row r="41" spans="2:25" x14ac:dyDescent="0.25">
      <c r="B41" s="149" t="s">
        <v>676</v>
      </c>
      <c r="C41" s="150" t="str">
        <f t="shared" si="5"/>
        <v>mr. hamza sheikh</v>
      </c>
      <c r="E41" s="149" t="s">
        <v>676</v>
      </c>
      <c r="F41" s="150" t="str">
        <f t="shared" si="6"/>
        <v>MR. HAMZA SHEIKH</v>
      </c>
      <c r="H41" s="149" t="s">
        <v>705</v>
      </c>
      <c r="I41" s="149" t="str">
        <f t="shared" si="7"/>
        <v>Mr. Hamza Sheikh</v>
      </c>
    </row>
    <row r="42" spans="2:25" x14ac:dyDescent="0.25">
      <c r="B42" s="149" t="s">
        <v>677</v>
      </c>
      <c r="C42" s="150" t="str">
        <f t="shared" si="5"/>
        <v>ms. zainab ali</v>
      </c>
      <c r="E42" s="149" t="s">
        <v>677</v>
      </c>
      <c r="F42" s="150" t="str">
        <f t="shared" si="6"/>
        <v>MS. ZAINAB ALI</v>
      </c>
      <c r="H42" s="149" t="s">
        <v>706</v>
      </c>
      <c r="I42" s="149" t="str">
        <f t="shared" si="7"/>
        <v>Ms. Zainab Ali</v>
      </c>
    </row>
    <row r="45" spans="2:25" ht="18" customHeight="1" x14ac:dyDescent="0.25">
      <c r="B45" s="325" t="s">
        <v>732</v>
      </c>
      <c r="C45" s="325"/>
      <c r="D45" s="325"/>
      <c r="E45" s="170"/>
      <c r="F45" s="170"/>
      <c r="G45" s="325" t="s">
        <v>719</v>
      </c>
      <c r="H45" s="325"/>
      <c r="I45" s="325"/>
      <c r="J45" s="170"/>
      <c r="K45" s="325" t="s">
        <v>707</v>
      </c>
      <c r="L45" s="325"/>
      <c r="M45" s="325"/>
      <c r="O45" s="325" t="s">
        <v>730</v>
      </c>
      <c r="P45" s="325"/>
      <c r="Q45" s="325"/>
      <c r="S45" s="325" t="s">
        <v>731</v>
      </c>
      <c r="T45" s="325"/>
      <c r="U45" s="325"/>
      <c r="W45" s="325" t="s">
        <v>733</v>
      </c>
      <c r="X45" s="325"/>
      <c r="Y45" s="325"/>
    </row>
    <row r="46" spans="2:25" ht="18" customHeight="1" x14ac:dyDescent="0.25">
      <c r="B46" s="167" t="s">
        <v>710</v>
      </c>
      <c r="C46" s="167" t="s">
        <v>708</v>
      </c>
      <c r="D46" s="167" t="s">
        <v>709</v>
      </c>
      <c r="E46" s="170"/>
      <c r="F46" s="170"/>
      <c r="G46" s="167" t="s">
        <v>708</v>
      </c>
      <c r="H46" s="167" t="s">
        <v>709</v>
      </c>
      <c r="I46" s="167" t="s">
        <v>710</v>
      </c>
      <c r="J46" s="170"/>
      <c r="K46" s="167" t="s">
        <v>708</v>
      </c>
      <c r="L46" s="167" t="s">
        <v>709</v>
      </c>
      <c r="M46" s="167" t="s">
        <v>710</v>
      </c>
      <c r="O46" s="167" t="s">
        <v>708</v>
      </c>
      <c r="P46" s="167" t="s">
        <v>709</v>
      </c>
      <c r="Q46" s="167" t="s">
        <v>710</v>
      </c>
      <c r="S46" s="167" t="s">
        <v>708</v>
      </c>
      <c r="T46" s="167" t="s">
        <v>709</v>
      </c>
      <c r="U46" s="167" t="s">
        <v>710</v>
      </c>
      <c r="W46" s="167" t="s">
        <v>708</v>
      </c>
      <c r="X46" s="167" t="s">
        <v>709</v>
      </c>
      <c r="Y46" s="167" t="s">
        <v>710</v>
      </c>
    </row>
    <row r="47" spans="2:25" ht="18" customHeight="1" x14ac:dyDescent="0.25">
      <c r="B47" s="169" t="s">
        <v>720</v>
      </c>
      <c r="C47" s="168"/>
      <c r="D47" s="168"/>
      <c r="E47" s="170"/>
      <c r="F47" s="170"/>
      <c r="G47" s="168" t="s">
        <v>711</v>
      </c>
      <c r="H47" s="168" t="s">
        <v>712</v>
      </c>
      <c r="I47" s="169" t="s">
        <v>720</v>
      </c>
      <c r="J47" s="170"/>
      <c r="K47" s="168" t="s">
        <v>711</v>
      </c>
      <c r="L47" s="168" t="s">
        <v>712</v>
      </c>
      <c r="M47" s="169" t="str">
        <f>_xlfn.TEXTJOIN(" ",TRUE,K47,L47)</f>
        <v>Oneeb Arif</v>
      </c>
      <c r="O47" s="168" t="s">
        <v>711</v>
      </c>
      <c r="P47" s="168" t="s">
        <v>712</v>
      </c>
      <c r="Q47" s="169" t="str">
        <f>CONCATENATE(O47," ",P47)</f>
        <v>Oneeb Arif</v>
      </c>
      <c r="S47" s="168" t="s">
        <v>711</v>
      </c>
      <c r="T47" s="168" t="s">
        <v>712</v>
      </c>
      <c r="U47" s="169" t="str">
        <f>_xlfn.CONCAT(S47,T47)</f>
        <v>OneebArif</v>
      </c>
      <c r="W47" s="168" t="s">
        <v>711</v>
      </c>
      <c r="X47" s="168" t="s">
        <v>712</v>
      </c>
      <c r="Y47" s="169" t="str">
        <f>W47&amp;" "&amp;X47</f>
        <v>Oneeb Arif</v>
      </c>
    </row>
    <row r="48" spans="2:25" ht="18" customHeight="1" x14ac:dyDescent="0.25">
      <c r="B48" s="169" t="s">
        <v>721</v>
      </c>
      <c r="C48" s="168" t="s">
        <v>171</v>
      </c>
      <c r="D48" s="168" t="s">
        <v>60</v>
      </c>
      <c r="E48" s="170"/>
      <c r="F48" s="170"/>
      <c r="G48" s="168" t="s">
        <v>171</v>
      </c>
      <c r="H48" s="168" t="s">
        <v>60</v>
      </c>
      <c r="I48" s="169" t="s">
        <v>721</v>
      </c>
      <c r="J48" s="170"/>
      <c r="K48" s="168" t="s">
        <v>171</v>
      </c>
      <c r="L48" s="168" t="s">
        <v>60</v>
      </c>
      <c r="M48" s="169" t="str">
        <f t="shared" ref="M48:M56" si="8">_xlfn.TEXTJOIN(" ",TRUE,K48,L48)</f>
        <v>Bilal Ahmed</v>
      </c>
      <c r="O48" s="168" t="s">
        <v>171</v>
      </c>
      <c r="P48" s="168" t="s">
        <v>60</v>
      </c>
      <c r="Q48" s="169" t="str">
        <f t="shared" ref="Q48:Q56" si="9">CONCATENATE(O48," ",P48)</f>
        <v>Bilal Ahmed</v>
      </c>
      <c r="S48" s="168" t="s">
        <v>171</v>
      </c>
      <c r="T48" s="168" t="s">
        <v>60</v>
      </c>
      <c r="U48" s="169" t="str">
        <f t="shared" ref="U48:U56" si="10">_xlfn.CONCAT(S48,"-",T48)</f>
        <v>Bilal-Ahmed</v>
      </c>
      <c r="W48" s="168" t="s">
        <v>171</v>
      </c>
      <c r="X48" s="168" t="s">
        <v>60</v>
      </c>
      <c r="Y48" s="169" t="str">
        <f t="shared" ref="Y48:Y56" si="11">W48&amp;" "&amp;X48</f>
        <v>Bilal Ahmed</v>
      </c>
    </row>
    <row r="49" spans="2:25" ht="18" customHeight="1" x14ac:dyDescent="0.25">
      <c r="B49" s="169" t="s">
        <v>722</v>
      </c>
      <c r="C49" s="168"/>
      <c r="D49" s="168"/>
      <c r="E49" s="170"/>
      <c r="F49" s="170"/>
      <c r="G49" s="168" t="s">
        <v>713</v>
      </c>
      <c r="H49" s="168" t="s">
        <v>201</v>
      </c>
      <c r="I49" s="169" t="s">
        <v>722</v>
      </c>
      <c r="J49" s="170"/>
      <c r="K49" s="168" t="s">
        <v>713</v>
      </c>
      <c r="L49" s="168" t="s">
        <v>201</v>
      </c>
      <c r="M49" s="169" t="str">
        <f t="shared" si="8"/>
        <v>Muneer Khan</v>
      </c>
      <c r="O49" s="168" t="s">
        <v>713</v>
      </c>
      <c r="P49" s="168" t="s">
        <v>201</v>
      </c>
      <c r="Q49" s="169" t="str">
        <f t="shared" si="9"/>
        <v>Muneer Khan</v>
      </c>
      <c r="S49" s="168" t="s">
        <v>713</v>
      </c>
      <c r="T49" s="168" t="s">
        <v>201</v>
      </c>
      <c r="U49" s="169" t="str">
        <f t="shared" si="10"/>
        <v>Muneer-Khan</v>
      </c>
      <c r="W49" s="168" t="s">
        <v>713</v>
      </c>
      <c r="X49" s="168" t="s">
        <v>201</v>
      </c>
      <c r="Y49" s="169" t="str">
        <f t="shared" si="11"/>
        <v>Muneer Khan</v>
      </c>
    </row>
    <row r="50" spans="2:25" ht="18" customHeight="1" x14ac:dyDescent="0.25">
      <c r="B50" s="169" t="s">
        <v>723</v>
      </c>
      <c r="C50" s="168"/>
      <c r="D50" s="168"/>
      <c r="E50" s="170"/>
      <c r="F50" s="170"/>
      <c r="G50" s="168" t="s">
        <v>714</v>
      </c>
      <c r="H50" s="168" t="s">
        <v>60</v>
      </c>
      <c r="I50" s="169" t="s">
        <v>723</v>
      </c>
      <c r="J50" s="170"/>
      <c r="K50" s="168" t="s">
        <v>714</v>
      </c>
      <c r="L50" s="168" t="s">
        <v>60</v>
      </c>
      <c r="M50" s="169" t="str">
        <f t="shared" si="8"/>
        <v>Affan Ahmed</v>
      </c>
      <c r="O50" s="168" t="s">
        <v>714</v>
      </c>
      <c r="P50" s="168" t="s">
        <v>60</v>
      </c>
      <c r="Q50" s="169" t="str">
        <f t="shared" si="9"/>
        <v>Affan Ahmed</v>
      </c>
      <c r="S50" s="168" t="s">
        <v>714</v>
      </c>
      <c r="T50" s="168" t="s">
        <v>60</v>
      </c>
      <c r="U50" s="169" t="str">
        <f t="shared" si="10"/>
        <v>Affan-Ahmed</v>
      </c>
      <c r="W50" s="168" t="s">
        <v>714</v>
      </c>
      <c r="X50" s="168" t="s">
        <v>60</v>
      </c>
      <c r="Y50" s="169" t="str">
        <f t="shared" si="11"/>
        <v>Affan Ahmed</v>
      </c>
    </row>
    <row r="51" spans="2:25" ht="18" customHeight="1" x14ac:dyDescent="0.25">
      <c r="B51" s="169" t="s">
        <v>724</v>
      </c>
      <c r="C51" s="168"/>
      <c r="D51" s="168"/>
      <c r="E51" s="170"/>
      <c r="F51" s="170"/>
      <c r="G51" s="168" t="s">
        <v>176</v>
      </c>
      <c r="H51" s="168" t="s">
        <v>191</v>
      </c>
      <c r="I51" s="169" t="s">
        <v>724</v>
      </c>
      <c r="J51" s="170"/>
      <c r="K51" s="168" t="s">
        <v>176</v>
      </c>
      <c r="L51" s="168" t="s">
        <v>191</v>
      </c>
      <c r="M51" s="169" t="str">
        <f t="shared" si="8"/>
        <v>Ayesha Malik</v>
      </c>
      <c r="O51" s="168" t="s">
        <v>176</v>
      </c>
      <c r="P51" s="168" t="s">
        <v>191</v>
      </c>
      <c r="Q51" s="169" t="str">
        <f t="shared" si="9"/>
        <v>Ayesha Malik</v>
      </c>
      <c r="S51" s="168" t="s">
        <v>176</v>
      </c>
      <c r="T51" s="168" t="s">
        <v>191</v>
      </c>
      <c r="U51" s="169" t="str">
        <f t="shared" si="10"/>
        <v>Ayesha-Malik</v>
      </c>
      <c r="W51" s="168" t="s">
        <v>176</v>
      </c>
      <c r="X51" s="168" t="s">
        <v>191</v>
      </c>
      <c r="Y51" s="169" t="str">
        <f t="shared" si="11"/>
        <v>Ayesha Malik</v>
      </c>
    </row>
    <row r="52" spans="2:25" ht="18" customHeight="1" x14ac:dyDescent="0.25">
      <c r="B52" s="169" t="s">
        <v>725</v>
      </c>
      <c r="C52" s="168"/>
      <c r="D52" s="168"/>
      <c r="E52" s="170"/>
      <c r="F52" s="170"/>
      <c r="G52" s="168" t="s">
        <v>715</v>
      </c>
      <c r="H52" s="168" t="s">
        <v>716</v>
      </c>
      <c r="I52" s="169" t="s">
        <v>725</v>
      </c>
      <c r="J52" s="170"/>
      <c r="K52" s="168" t="s">
        <v>715</v>
      </c>
      <c r="L52" s="168" t="s">
        <v>716</v>
      </c>
      <c r="M52" s="169" t="str">
        <f t="shared" si="8"/>
        <v>Abdul Wasay</v>
      </c>
      <c r="O52" s="168" t="s">
        <v>715</v>
      </c>
      <c r="P52" s="168" t="s">
        <v>716</v>
      </c>
      <c r="Q52" s="169" t="str">
        <f t="shared" si="9"/>
        <v>Abdul Wasay</v>
      </c>
      <c r="S52" s="168" t="s">
        <v>715</v>
      </c>
      <c r="T52" s="168" t="s">
        <v>716</v>
      </c>
      <c r="U52" s="169" t="str">
        <f t="shared" si="10"/>
        <v>Abdul-Wasay</v>
      </c>
      <c r="W52" s="168" t="s">
        <v>715</v>
      </c>
      <c r="X52" s="168" t="s">
        <v>716</v>
      </c>
      <c r="Y52" s="169" t="str">
        <f t="shared" si="11"/>
        <v>Abdul Wasay</v>
      </c>
    </row>
    <row r="53" spans="2:25" ht="18" customHeight="1" x14ac:dyDescent="0.25">
      <c r="B53" s="169" t="s">
        <v>726</v>
      </c>
      <c r="C53" s="168"/>
      <c r="D53" s="168"/>
      <c r="E53" s="170"/>
      <c r="F53" s="170"/>
      <c r="G53" s="168" t="s">
        <v>196</v>
      </c>
      <c r="H53" s="168" t="s">
        <v>77</v>
      </c>
      <c r="I53" s="169" t="s">
        <v>726</v>
      </c>
      <c r="J53" s="170"/>
      <c r="K53" s="168" t="s">
        <v>196</v>
      </c>
      <c r="L53" s="168" t="s">
        <v>77</v>
      </c>
      <c r="M53" s="169" t="str">
        <f t="shared" si="8"/>
        <v>Fatima Raza</v>
      </c>
      <c r="O53" s="168" t="s">
        <v>196</v>
      </c>
      <c r="P53" s="168" t="s">
        <v>77</v>
      </c>
      <c r="Q53" s="169" t="str">
        <f t="shared" si="9"/>
        <v>Fatima Raza</v>
      </c>
      <c r="S53" s="168" t="s">
        <v>196</v>
      </c>
      <c r="T53" s="168" t="s">
        <v>77</v>
      </c>
      <c r="U53" s="169" t="str">
        <f t="shared" si="10"/>
        <v>Fatima-Raza</v>
      </c>
      <c r="W53" s="168" t="s">
        <v>196</v>
      </c>
      <c r="X53" s="168" t="s">
        <v>77</v>
      </c>
      <c r="Y53" s="169" t="str">
        <f t="shared" si="11"/>
        <v>Fatima Raza</v>
      </c>
    </row>
    <row r="54" spans="2:25" ht="18" customHeight="1" x14ac:dyDescent="0.25">
      <c r="B54" s="169" t="s">
        <v>727</v>
      </c>
      <c r="C54" s="168"/>
      <c r="D54" s="168"/>
      <c r="E54" s="170"/>
      <c r="F54" s="170"/>
      <c r="G54" s="168" t="s">
        <v>59</v>
      </c>
      <c r="H54" s="168" t="s">
        <v>290</v>
      </c>
      <c r="I54" s="169" t="s">
        <v>727</v>
      </c>
      <c r="J54" s="170"/>
      <c r="K54" s="168" t="s">
        <v>59</v>
      </c>
      <c r="L54" s="168" t="s">
        <v>290</v>
      </c>
      <c r="M54" s="169" t="str">
        <f t="shared" si="8"/>
        <v>Hamza Sheikh</v>
      </c>
      <c r="O54" s="168" t="s">
        <v>59</v>
      </c>
      <c r="P54" s="168" t="s">
        <v>290</v>
      </c>
      <c r="Q54" s="169" t="str">
        <f t="shared" si="9"/>
        <v>Hamza Sheikh</v>
      </c>
      <c r="S54" s="168" t="s">
        <v>59</v>
      </c>
      <c r="T54" s="168" t="s">
        <v>290</v>
      </c>
      <c r="U54" s="169" t="str">
        <f t="shared" si="10"/>
        <v>Hamza-Sheikh</v>
      </c>
      <c r="W54" s="168" t="s">
        <v>59</v>
      </c>
      <c r="X54" s="168" t="s">
        <v>290</v>
      </c>
      <c r="Y54" s="169" t="str">
        <f t="shared" si="11"/>
        <v>Hamza Sheikh</v>
      </c>
    </row>
    <row r="55" spans="2:25" ht="18" customHeight="1" x14ac:dyDescent="0.25">
      <c r="B55" s="169" t="s">
        <v>728</v>
      </c>
      <c r="C55" s="168"/>
      <c r="D55" s="168"/>
      <c r="E55" s="170"/>
      <c r="F55" s="170"/>
      <c r="G55" s="168" t="s">
        <v>717</v>
      </c>
      <c r="H55" s="168" t="s">
        <v>42</v>
      </c>
      <c r="I55" s="169" t="s">
        <v>728</v>
      </c>
      <c r="J55" s="170"/>
      <c r="K55" s="168" t="s">
        <v>717</v>
      </c>
      <c r="L55" s="168" t="s">
        <v>42</v>
      </c>
      <c r="M55" s="169" t="str">
        <f t="shared" si="8"/>
        <v>Zainab Ali</v>
      </c>
      <c r="O55" s="168" t="s">
        <v>717</v>
      </c>
      <c r="P55" s="168" t="s">
        <v>42</v>
      </c>
      <c r="Q55" s="169" t="str">
        <f t="shared" si="9"/>
        <v>Zainab Ali</v>
      </c>
      <c r="S55" s="168" t="s">
        <v>717</v>
      </c>
      <c r="T55" s="168" t="s">
        <v>42</v>
      </c>
      <c r="U55" s="169" t="str">
        <f t="shared" si="10"/>
        <v>Zainab-Ali</v>
      </c>
      <c r="W55" s="168" t="s">
        <v>717</v>
      </c>
      <c r="X55" s="168" t="s">
        <v>42</v>
      </c>
      <c r="Y55" s="169" t="str">
        <f t="shared" si="11"/>
        <v>Zainab Ali</v>
      </c>
    </row>
    <row r="56" spans="2:25" ht="18" customHeight="1" x14ac:dyDescent="0.25">
      <c r="B56" s="169" t="s">
        <v>729</v>
      </c>
      <c r="C56" s="168"/>
      <c r="D56" s="168"/>
      <c r="E56" s="170"/>
      <c r="F56" s="170"/>
      <c r="G56" s="168" t="s">
        <v>216</v>
      </c>
      <c r="H56" s="168" t="s">
        <v>718</v>
      </c>
      <c r="I56" s="169" t="s">
        <v>729</v>
      </c>
      <c r="J56" s="170"/>
      <c r="K56" s="168" t="s">
        <v>216</v>
      </c>
      <c r="L56" s="168" t="s">
        <v>718</v>
      </c>
      <c r="M56" s="169" t="str">
        <f t="shared" si="8"/>
        <v>Usman Tariq</v>
      </c>
      <c r="O56" s="168" t="s">
        <v>216</v>
      </c>
      <c r="P56" s="168" t="s">
        <v>718</v>
      </c>
      <c r="Q56" s="169" t="str">
        <f t="shared" si="9"/>
        <v>Usman Tariq</v>
      </c>
      <c r="S56" s="168" t="s">
        <v>216</v>
      </c>
      <c r="T56" s="168" t="s">
        <v>718</v>
      </c>
      <c r="U56" s="169" t="str">
        <f t="shared" si="10"/>
        <v>Usman-Tariq</v>
      </c>
      <c r="W56" s="168" t="s">
        <v>216</v>
      </c>
      <c r="X56" s="168" t="s">
        <v>718</v>
      </c>
      <c r="Y56" s="169" t="str">
        <f t="shared" si="11"/>
        <v>Usman Tariq</v>
      </c>
    </row>
    <row r="57" spans="2:25" ht="18" customHeight="1" x14ac:dyDescent="0.25">
      <c r="B57" s="170"/>
      <c r="C57" s="170"/>
      <c r="D57" s="170"/>
      <c r="E57" s="170"/>
      <c r="F57" s="170"/>
      <c r="G57" s="170"/>
      <c r="H57" s="170"/>
      <c r="I57" s="170"/>
      <c r="J57" s="170"/>
      <c r="K57" s="170"/>
      <c r="L57" s="170"/>
    </row>
    <row r="58" spans="2:25" ht="18" customHeight="1" x14ac:dyDescent="0.25">
      <c r="B58" s="170"/>
      <c r="C58" s="170"/>
      <c r="D58" s="170"/>
      <c r="E58" s="170"/>
      <c r="F58" s="170"/>
      <c r="G58" s="170"/>
      <c r="H58" s="170"/>
      <c r="I58" s="170"/>
      <c r="J58" s="170"/>
      <c r="K58" s="170"/>
      <c r="L58" s="170"/>
    </row>
    <row r="59" spans="2:25" ht="18" customHeight="1" x14ac:dyDescent="0.25">
      <c r="B59" s="170"/>
      <c r="C59" s="170"/>
      <c r="D59" s="170"/>
      <c r="E59" s="170"/>
      <c r="F59" s="170"/>
      <c r="G59" s="325" t="s">
        <v>735</v>
      </c>
      <c r="H59" s="325"/>
      <c r="I59" s="325"/>
      <c r="J59" s="170"/>
      <c r="K59" s="170"/>
      <c r="L59" s="170"/>
    </row>
    <row r="60" spans="2:25" ht="18" customHeight="1" x14ac:dyDescent="0.25">
      <c r="E60" s="170"/>
      <c r="G60" s="167" t="s">
        <v>710</v>
      </c>
      <c r="H60" s="167" t="s">
        <v>736</v>
      </c>
      <c r="I60" s="167" t="s">
        <v>737</v>
      </c>
    </row>
    <row r="61" spans="2:25" ht="18" customHeight="1" x14ac:dyDescent="0.25">
      <c r="E61" s="170"/>
      <c r="G61" s="169" t="s">
        <v>720</v>
      </c>
      <c r="H61" s="168"/>
      <c r="I61" s="168"/>
    </row>
    <row r="62" spans="2:25" ht="18" customHeight="1" x14ac:dyDescent="0.25">
      <c r="E62" s="170"/>
      <c r="G62" s="169" t="s">
        <v>721</v>
      </c>
      <c r="H62" s="168" t="s">
        <v>171</v>
      </c>
      <c r="I62" s="168" t="s">
        <v>60</v>
      </c>
    </row>
    <row r="63" spans="2:25" ht="18" customHeight="1" x14ac:dyDescent="0.25">
      <c r="E63" s="170"/>
      <c r="G63" s="169" t="s">
        <v>722</v>
      </c>
      <c r="H63" s="168"/>
      <c r="I63" s="168"/>
    </row>
    <row r="64" spans="2:25" ht="18" customHeight="1" x14ac:dyDescent="0.25">
      <c r="E64" s="170"/>
      <c r="G64" s="169" t="s">
        <v>723</v>
      </c>
      <c r="H64" s="168"/>
      <c r="I64" s="168"/>
    </row>
    <row r="65" spans="2:12" ht="18" customHeight="1" x14ac:dyDescent="0.25">
      <c r="E65" s="170"/>
      <c r="G65" s="169" t="s">
        <v>724</v>
      </c>
      <c r="H65" s="168"/>
      <c r="I65" s="168"/>
    </row>
    <row r="66" spans="2:12" ht="18" customHeight="1" x14ac:dyDescent="0.25">
      <c r="E66" s="170"/>
      <c r="G66" s="169" t="s">
        <v>725</v>
      </c>
      <c r="H66" s="168"/>
      <c r="I66" s="168"/>
    </row>
    <row r="67" spans="2:12" ht="18" customHeight="1" x14ac:dyDescent="0.25">
      <c r="E67" s="170"/>
      <c r="G67" s="169" t="s">
        <v>726</v>
      </c>
      <c r="H67" s="168"/>
      <c r="I67" s="168"/>
    </row>
    <row r="68" spans="2:12" ht="18" customHeight="1" x14ac:dyDescent="0.25">
      <c r="E68" s="170"/>
      <c r="G68" s="169" t="s">
        <v>727</v>
      </c>
      <c r="H68" s="168"/>
      <c r="I68" s="168"/>
    </row>
    <row r="69" spans="2:12" ht="18" customHeight="1" x14ac:dyDescent="0.25">
      <c r="E69" s="170"/>
      <c r="G69" s="169" t="s">
        <v>728</v>
      </c>
      <c r="H69" s="168"/>
      <c r="I69" s="168"/>
    </row>
    <row r="70" spans="2:12" ht="18" customHeight="1" x14ac:dyDescent="0.25">
      <c r="E70" s="170"/>
      <c r="G70" s="169" t="s">
        <v>729</v>
      </c>
      <c r="H70" s="168"/>
      <c r="I70" s="168"/>
    </row>
    <row r="71" spans="2:12" ht="18" customHeight="1" x14ac:dyDescent="0.25">
      <c r="E71" s="170"/>
      <c r="I71" s="170"/>
    </row>
    <row r="74" spans="2:12" ht="15.75" thickBot="1" x14ac:dyDescent="0.3"/>
    <row r="75" spans="2:12" x14ac:dyDescent="0.25">
      <c r="B75" s="323" t="s">
        <v>738</v>
      </c>
      <c r="C75" s="324"/>
      <c r="E75" s="323" t="s">
        <v>741</v>
      </c>
      <c r="F75" s="324"/>
      <c r="H75" s="323" t="s">
        <v>740</v>
      </c>
      <c r="I75" s="324"/>
      <c r="K75" s="323" t="s">
        <v>742</v>
      </c>
      <c r="L75" s="324"/>
    </row>
    <row r="76" spans="2:12" x14ac:dyDescent="0.25">
      <c r="B76" s="148" t="s">
        <v>667</v>
      </c>
      <c r="C76" s="148" t="s">
        <v>739</v>
      </c>
      <c r="E76" s="148" t="s">
        <v>667</v>
      </c>
      <c r="F76" s="148" t="s">
        <v>739</v>
      </c>
      <c r="H76" s="148" t="s">
        <v>667</v>
      </c>
      <c r="I76" s="148" t="s">
        <v>739</v>
      </c>
      <c r="K76" s="148" t="s">
        <v>535</v>
      </c>
      <c r="L76" s="148" t="s">
        <v>739</v>
      </c>
    </row>
    <row r="77" spans="2:12" x14ac:dyDescent="0.25">
      <c r="B77" s="149" t="s">
        <v>678</v>
      </c>
      <c r="C77" s="149" t="str">
        <f>SUBSTITUTE(B77,"-","@")</f>
        <v>AXP@7842@MNO</v>
      </c>
      <c r="E77" s="149" t="s">
        <v>678</v>
      </c>
      <c r="F77" s="149">
        <f>FIND("A",E77)</f>
        <v>1</v>
      </c>
      <c r="H77" s="149" t="s">
        <v>678</v>
      </c>
      <c r="I77" s="149" t="str">
        <f>REPLACE(H77,5,4,2026)</f>
        <v>AXP-2026-MNO</v>
      </c>
      <c r="K77" s="149" t="s">
        <v>678</v>
      </c>
      <c r="L77" s="149">
        <f>SEARCH("o",K77)</f>
        <v>12</v>
      </c>
    </row>
    <row r="78" spans="2:12" x14ac:dyDescent="0.25">
      <c r="B78" s="149" t="s">
        <v>679</v>
      </c>
      <c r="C78" s="149" t="str">
        <f t="shared" ref="C78:C85" si="12">SUBSTITUTE(B78,"-","@")</f>
        <v>BTR@8492@KLM</v>
      </c>
      <c r="E78" s="149" t="s">
        <v>679</v>
      </c>
      <c r="F78" s="149" t="e">
        <f t="shared" ref="F78:F85" si="13">FIND("A",E78)</f>
        <v>#VALUE!</v>
      </c>
      <c r="H78" s="149" t="s">
        <v>679</v>
      </c>
      <c r="I78" s="149" t="str">
        <f t="shared" ref="I78:I85" si="14">REPLACE(H78,5,4,2026)</f>
        <v>BTR-2026-KLM</v>
      </c>
      <c r="K78" s="149" t="s">
        <v>679</v>
      </c>
      <c r="L78" s="149" t="e">
        <f t="shared" ref="L78:L85" si="15">SEARCH("o",K78)</f>
        <v>#VALUE!</v>
      </c>
    </row>
    <row r="79" spans="2:12" x14ac:dyDescent="0.25">
      <c r="B79" s="149" t="s">
        <v>680</v>
      </c>
      <c r="C79" s="149" t="str">
        <f t="shared" si="12"/>
        <v>COS@2345@YZQ</v>
      </c>
      <c r="E79" s="149" t="s">
        <v>680</v>
      </c>
      <c r="F79" s="149" t="e">
        <f t="shared" si="13"/>
        <v>#VALUE!</v>
      </c>
      <c r="H79" s="149" t="s">
        <v>680</v>
      </c>
      <c r="I79" s="149" t="str">
        <f t="shared" si="14"/>
        <v>COS-2026-YZQ</v>
      </c>
      <c r="K79" s="149" t="s">
        <v>680</v>
      </c>
      <c r="L79" s="149">
        <f t="shared" si="15"/>
        <v>2</v>
      </c>
    </row>
    <row r="80" spans="2:12" x14ac:dyDescent="0.25">
      <c r="B80" s="149" t="s">
        <v>681</v>
      </c>
      <c r="C80" s="149" t="str">
        <f t="shared" si="12"/>
        <v>DYN@6789@PQR</v>
      </c>
      <c r="E80" s="149" t="s">
        <v>681</v>
      </c>
      <c r="F80" s="149" t="e">
        <f t="shared" si="13"/>
        <v>#VALUE!</v>
      </c>
      <c r="H80" s="149" t="s">
        <v>681</v>
      </c>
      <c r="I80" s="149" t="str">
        <f t="shared" si="14"/>
        <v>DYN-2026-PQR</v>
      </c>
      <c r="K80" s="149" t="s">
        <v>681</v>
      </c>
      <c r="L80" s="149" t="e">
        <f t="shared" si="15"/>
        <v>#VALUE!</v>
      </c>
    </row>
    <row r="81" spans="2:12" x14ac:dyDescent="0.25">
      <c r="B81" s="149" t="s">
        <v>682</v>
      </c>
      <c r="C81" s="149" t="str">
        <f t="shared" si="12"/>
        <v>EIM@4532@ABC</v>
      </c>
      <c r="E81" s="149" t="s">
        <v>682</v>
      </c>
      <c r="F81" s="149">
        <f>FIND("A",E81)</f>
        <v>10</v>
      </c>
      <c r="H81" s="149" t="s">
        <v>682</v>
      </c>
      <c r="I81" s="149" t="str">
        <f t="shared" si="14"/>
        <v>EIM-2026-ABC</v>
      </c>
      <c r="K81" s="149" t="s">
        <v>682</v>
      </c>
      <c r="L81" s="149" t="e">
        <f t="shared" si="15"/>
        <v>#VALUE!</v>
      </c>
    </row>
    <row r="82" spans="2:12" x14ac:dyDescent="0.25">
      <c r="B82" s="149" t="s">
        <v>683</v>
      </c>
      <c r="C82" s="149" t="str">
        <f t="shared" si="12"/>
        <v>FVK@9102@DEF</v>
      </c>
      <c r="E82" s="149" t="s">
        <v>683</v>
      </c>
      <c r="F82" s="149" t="e">
        <f t="shared" si="13"/>
        <v>#VALUE!</v>
      </c>
      <c r="H82" s="149" t="s">
        <v>683</v>
      </c>
      <c r="I82" s="149" t="str">
        <f t="shared" si="14"/>
        <v>FVK-2026-DEF</v>
      </c>
      <c r="K82" s="149" t="s">
        <v>683</v>
      </c>
      <c r="L82" s="149" t="e">
        <f t="shared" si="15"/>
        <v>#VALUE!</v>
      </c>
    </row>
    <row r="83" spans="2:12" x14ac:dyDescent="0.25">
      <c r="B83" s="149" t="s">
        <v>684</v>
      </c>
      <c r="C83" s="149" t="str">
        <f t="shared" si="12"/>
        <v>GWL@3217@GHI</v>
      </c>
      <c r="E83" s="149" t="s">
        <v>684</v>
      </c>
      <c r="F83" s="149" t="e">
        <f t="shared" si="13"/>
        <v>#VALUE!</v>
      </c>
      <c r="H83" s="149" t="s">
        <v>684</v>
      </c>
      <c r="I83" s="149" t="str">
        <f t="shared" si="14"/>
        <v>GWL-2026-GHI</v>
      </c>
      <c r="K83" s="149" t="s">
        <v>684</v>
      </c>
      <c r="L83" s="149" t="e">
        <f t="shared" si="15"/>
        <v>#VALUE!</v>
      </c>
    </row>
    <row r="84" spans="2:12" x14ac:dyDescent="0.25">
      <c r="B84" s="149" t="s">
        <v>685</v>
      </c>
      <c r="C84" s="149" t="str">
        <f t="shared" si="12"/>
        <v>HZS@7654@JKL</v>
      </c>
      <c r="E84" s="149" t="s">
        <v>685</v>
      </c>
      <c r="F84" s="149" t="e">
        <f t="shared" si="13"/>
        <v>#VALUE!</v>
      </c>
      <c r="H84" s="149" t="s">
        <v>685</v>
      </c>
      <c r="I84" s="149" t="str">
        <f t="shared" si="14"/>
        <v>HZS-2026-JKL</v>
      </c>
      <c r="K84" s="149" t="s">
        <v>685</v>
      </c>
      <c r="L84" s="149" t="e">
        <f t="shared" si="15"/>
        <v>#VALUE!</v>
      </c>
    </row>
    <row r="85" spans="2:12" x14ac:dyDescent="0.25">
      <c r="B85" s="149" t="s">
        <v>686</v>
      </c>
      <c r="C85" s="149" t="str">
        <f t="shared" si="12"/>
        <v>JQP@1876@STU</v>
      </c>
      <c r="E85" s="149" t="s">
        <v>686</v>
      </c>
      <c r="F85" s="149" t="e">
        <f t="shared" si="13"/>
        <v>#VALUE!</v>
      </c>
      <c r="H85" s="149" t="s">
        <v>686</v>
      </c>
      <c r="I85" s="149" t="str">
        <f t="shared" si="14"/>
        <v>JQP-2026-STU</v>
      </c>
      <c r="K85" s="149" t="s">
        <v>686</v>
      </c>
      <c r="L85" s="149" t="e">
        <f t="shared" si="15"/>
        <v>#VALUE!</v>
      </c>
    </row>
    <row r="89" spans="2:12" ht="15.75" thickBot="1" x14ac:dyDescent="0.3"/>
    <row r="90" spans="2:12" ht="15.75" thickBot="1" x14ac:dyDescent="0.3">
      <c r="B90" s="323" t="s">
        <v>628</v>
      </c>
      <c r="C90" s="324"/>
    </row>
    <row r="91" spans="2:12" x14ac:dyDescent="0.25">
      <c r="B91" s="148" t="s">
        <v>743</v>
      </c>
      <c r="C91" s="148" t="s">
        <v>744</v>
      </c>
      <c r="D91" s="148" t="s">
        <v>745</v>
      </c>
      <c r="F91" s="323" t="s">
        <v>746</v>
      </c>
      <c r="G91" s="324"/>
      <c r="I91" s="323" t="s">
        <v>748</v>
      </c>
      <c r="J91" s="324"/>
    </row>
    <row r="92" spans="2:12" ht="30" x14ac:dyDescent="0.25">
      <c r="B92" s="183">
        <v>46309</v>
      </c>
      <c r="C92" s="149" t="str">
        <f>TEXT(B92,"D DDD")</f>
        <v>14 Wed</v>
      </c>
      <c r="D92" s="149" t="str">
        <f>TEXT(B92,"MMMM")</f>
        <v>October</v>
      </c>
      <c r="F92" s="184" t="s">
        <v>747</v>
      </c>
      <c r="G92" s="149">
        <f>VALUE(F92)</f>
        <v>12345</v>
      </c>
      <c r="I92" s="185" t="s">
        <v>749</v>
      </c>
      <c r="J92" s="149" t="str">
        <f>CLEAN(I92)</f>
        <v>OneebArif</v>
      </c>
    </row>
    <row r="93" spans="2:12" x14ac:dyDescent="0.25">
      <c r="B93" s="183">
        <v>46310</v>
      </c>
      <c r="C93" s="149" t="str">
        <f t="shared" ref="C93:C100" si="16">TEXT(B93,"DDDD")</f>
        <v>Thursday</v>
      </c>
      <c r="D93" s="149" t="str">
        <f t="shared" ref="D93:D100" si="17">TEXT(B93,"MMMM")</f>
        <v>October</v>
      </c>
    </row>
    <row r="94" spans="2:12" x14ac:dyDescent="0.25">
      <c r="B94" s="183">
        <v>46311</v>
      </c>
      <c r="C94" s="149" t="str">
        <f t="shared" si="16"/>
        <v>Friday</v>
      </c>
      <c r="D94" s="149" t="str">
        <f t="shared" si="17"/>
        <v>October</v>
      </c>
    </row>
    <row r="95" spans="2:12" x14ac:dyDescent="0.25">
      <c r="B95" s="183">
        <v>46312</v>
      </c>
      <c r="C95" s="149" t="str">
        <f t="shared" si="16"/>
        <v>Saturday</v>
      </c>
      <c r="D95" s="149" t="str">
        <f t="shared" si="17"/>
        <v>October</v>
      </c>
    </row>
    <row r="96" spans="2:12" ht="15.75" thickBot="1" x14ac:dyDescent="0.3">
      <c r="B96" s="183">
        <v>46313</v>
      </c>
      <c r="C96" s="149" t="str">
        <f t="shared" si="16"/>
        <v>Sunday</v>
      </c>
      <c r="D96" s="149" t="str">
        <f t="shared" si="17"/>
        <v>October</v>
      </c>
    </row>
    <row r="97" spans="2:10" x14ac:dyDescent="0.25">
      <c r="B97" s="183">
        <v>46314</v>
      </c>
      <c r="C97" s="149" t="str">
        <f t="shared" si="16"/>
        <v>Monday</v>
      </c>
      <c r="D97" s="149" t="str">
        <f t="shared" si="17"/>
        <v>October</v>
      </c>
      <c r="F97" s="323" t="s">
        <v>637</v>
      </c>
      <c r="G97" s="324"/>
      <c r="I97" s="323" t="s">
        <v>641</v>
      </c>
      <c r="J97" s="324"/>
    </row>
    <row r="98" spans="2:10" x14ac:dyDescent="0.25">
      <c r="B98" s="183">
        <v>46315</v>
      </c>
      <c r="C98" s="149" t="str">
        <f t="shared" si="16"/>
        <v>Tuesday</v>
      </c>
      <c r="D98" s="149" t="str">
        <f t="shared" si="17"/>
        <v>October</v>
      </c>
      <c r="F98" s="184" t="s">
        <v>750</v>
      </c>
      <c r="G98" s="149" t="str">
        <f>CHAR(F98)</f>
        <v>A</v>
      </c>
      <c r="I98" s="184" t="s">
        <v>751</v>
      </c>
      <c r="J98" s="149" t="str">
        <f>REPT(I98,5)</f>
        <v>%$%$%$%$%$</v>
      </c>
    </row>
    <row r="99" spans="2:10" x14ac:dyDescent="0.25">
      <c r="B99" s="183">
        <v>46316</v>
      </c>
      <c r="C99" s="149" t="str">
        <f t="shared" si="16"/>
        <v>Wednesday</v>
      </c>
      <c r="D99" s="149" t="str">
        <f t="shared" si="17"/>
        <v>October</v>
      </c>
    </row>
    <row r="100" spans="2:10" x14ac:dyDescent="0.25">
      <c r="B100" s="183">
        <v>46317</v>
      </c>
      <c r="C100" s="149" t="str">
        <f t="shared" si="16"/>
        <v>Thursday</v>
      </c>
      <c r="D100" s="149" t="str">
        <f t="shared" si="17"/>
        <v>October</v>
      </c>
    </row>
  </sheetData>
  <mergeCells count="24">
    <mergeCell ref="F97:G97"/>
    <mergeCell ref="I97:J97"/>
    <mergeCell ref="W45:Y45"/>
    <mergeCell ref="B32:C32"/>
    <mergeCell ref="E32:F32"/>
    <mergeCell ref="H32:I32"/>
    <mergeCell ref="B45:D45"/>
    <mergeCell ref="G45:I45"/>
    <mergeCell ref="K45:M45"/>
    <mergeCell ref="O45:Q45"/>
    <mergeCell ref="S45:U45"/>
    <mergeCell ref="B90:C90"/>
    <mergeCell ref="G59:I59"/>
    <mergeCell ref="B75:C75"/>
    <mergeCell ref="E75:F75"/>
    <mergeCell ref="K75:L75"/>
    <mergeCell ref="H75:I75"/>
    <mergeCell ref="F91:G91"/>
    <mergeCell ref="I91:J91"/>
    <mergeCell ref="E2:F2"/>
    <mergeCell ref="B2:C2"/>
    <mergeCell ref="H2:I2"/>
    <mergeCell ref="B16:C16"/>
    <mergeCell ref="E16:F1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3611-4A04-4C13-950D-B1A57B926186}">
  <dimension ref="B3:G34"/>
  <sheetViews>
    <sheetView workbookViewId="0">
      <selection activeCell="E33" sqref="E33"/>
    </sheetView>
  </sheetViews>
  <sheetFormatPr defaultRowHeight="15" x14ac:dyDescent="0.25"/>
  <cols>
    <col min="1" max="1" width="9.140625" customWidth="1"/>
    <col min="2" max="2" width="8.5703125" customWidth="1"/>
    <col min="3" max="3" width="18.140625" customWidth="1"/>
    <col min="4" max="4" width="36.140625" customWidth="1"/>
    <col min="5" max="5" width="52.85546875" bestFit="1" customWidth="1"/>
    <col min="6" max="6" width="28.5703125" customWidth="1"/>
    <col min="7" max="7" width="41.85546875" customWidth="1"/>
  </cols>
  <sheetData>
    <row r="3" spans="2:7" x14ac:dyDescent="0.25">
      <c r="B3" s="188" t="s">
        <v>559</v>
      </c>
      <c r="C3" s="186" t="s">
        <v>560</v>
      </c>
      <c r="D3" s="186" t="s">
        <v>561</v>
      </c>
      <c r="E3" s="186" t="s">
        <v>752</v>
      </c>
      <c r="F3" s="186" t="s">
        <v>562</v>
      </c>
      <c r="G3" s="189" t="s">
        <v>563</v>
      </c>
    </row>
    <row r="4" spans="2:7" x14ac:dyDescent="0.25">
      <c r="B4" s="201">
        <v>1</v>
      </c>
      <c r="C4" s="199" t="s">
        <v>753</v>
      </c>
      <c r="D4" s="190" t="s">
        <v>754</v>
      </c>
      <c r="E4" s="190" t="s">
        <v>755</v>
      </c>
      <c r="F4" s="190" t="s">
        <v>756</v>
      </c>
      <c r="G4" s="191" t="s">
        <v>757</v>
      </c>
    </row>
    <row r="5" spans="2:7" x14ac:dyDescent="0.25">
      <c r="B5" s="202">
        <v>2</v>
      </c>
      <c r="C5" s="200" t="s">
        <v>758</v>
      </c>
      <c r="D5" s="187" t="s">
        <v>759</v>
      </c>
      <c r="E5" s="187" t="s">
        <v>760</v>
      </c>
      <c r="F5" s="187" t="s">
        <v>761</v>
      </c>
      <c r="G5" s="192" t="s">
        <v>762</v>
      </c>
    </row>
    <row r="6" spans="2:7" x14ac:dyDescent="0.25">
      <c r="B6" s="202">
        <v>3</v>
      </c>
      <c r="C6" s="200" t="s">
        <v>763</v>
      </c>
      <c r="D6" s="187" t="s">
        <v>764</v>
      </c>
      <c r="E6" s="187" t="s">
        <v>765</v>
      </c>
      <c r="F6" s="187" t="s">
        <v>766</v>
      </c>
      <c r="G6" s="192" t="s">
        <v>767</v>
      </c>
    </row>
    <row r="7" spans="2:7" x14ac:dyDescent="0.25">
      <c r="B7" s="202">
        <v>4</v>
      </c>
      <c r="C7" s="200" t="s">
        <v>768</v>
      </c>
      <c r="D7" s="187" t="s">
        <v>769</v>
      </c>
      <c r="E7" s="187" t="s">
        <v>770</v>
      </c>
      <c r="F7" s="187" t="s">
        <v>771</v>
      </c>
      <c r="G7" s="192" t="s">
        <v>772</v>
      </c>
    </row>
    <row r="8" spans="2:7" x14ac:dyDescent="0.25">
      <c r="B8" s="202">
        <v>5</v>
      </c>
      <c r="C8" s="200" t="s">
        <v>773</v>
      </c>
      <c r="D8" s="187" t="s">
        <v>774</v>
      </c>
      <c r="E8" s="187" t="s">
        <v>775</v>
      </c>
      <c r="F8" s="187" t="s">
        <v>776</v>
      </c>
      <c r="G8" s="192" t="s">
        <v>777</v>
      </c>
    </row>
    <row r="9" spans="2:7" x14ac:dyDescent="0.25">
      <c r="B9" s="202">
        <v>6</v>
      </c>
      <c r="C9" s="200" t="s">
        <v>778</v>
      </c>
      <c r="D9" s="187" t="s">
        <v>779</v>
      </c>
      <c r="E9" s="187" t="s">
        <v>780</v>
      </c>
      <c r="F9" s="187" t="s">
        <v>781</v>
      </c>
      <c r="G9" s="192" t="s">
        <v>782</v>
      </c>
    </row>
    <row r="10" spans="2:7" x14ac:dyDescent="0.25">
      <c r="B10" s="202">
        <v>7</v>
      </c>
      <c r="C10" s="200" t="s">
        <v>783</v>
      </c>
      <c r="D10" s="187" t="s">
        <v>784</v>
      </c>
      <c r="E10" s="187" t="s">
        <v>785</v>
      </c>
      <c r="F10" s="187" t="s">
        <v>786</v>
      </c>
      <c r="G10" s="192" t="s">
        <v>787</v>
      </c>
    </row>
    <row r="11" spans="2:7" x14ac:dyDescent="0.25">
      <c r="B11" s="202">
        <v>8</v>
      </c>
      <c r="C11" s="200" t="s">
        <v>788</v>
      </c>
      <c r="D11" s="187" t="s">
        <v>789</v>
      </c>
      <c r="E11" s="187" t="s">
        <v>790</v>
      </c>
      <c r="F11" s="187" t="s">
        <v>791</v>
      </c>
      <c r="G11" s="192" t="s">
        <v>792</v>
      </c>
    </row>
    <row r="12" spans="2:7" x14ac:dyDescent="0.25">
      <c r="B12" s="202">
        <v>9</v>
      </c>
      <c r="C12" s="200" t="s">
        <v>793</v>
      </c>
      <c r="D12" s="187" t="s">
        <v>794</v>
      </c>
      <c r="E12" s="187" t="s">
        <v>795</v>
      </c>
      <c r="F12" s="187" t="s">
        <v>796</v>
      </c>
      <c r="G12" s="192" t="s">
        <v>797</v>
      </c>
    </row>
    <row r="13" spans="2:7" x14ac:dyDescent="0.25">
      <c r="B13" s="205">
        <v>10</v>
      </c>
      <c r="C13" s="206" t="s">
        <v>798</v>
      </c>
      <c r="D13" s="193" t="s">
        <v>799</v>
      </c>
      <c r="E13" s="193" t="s">
        <v>800</v>
      </c>
      <c r="F13" s="193" t="s">
        <v>801</v>
      </c>
      <c r="G13" s="195" t="s">
        <v>802</v>
      </c>
    </row>
    <row r="14" spans="2:7" x14ac:dyDescent="0.25">
      <c r="B14" s="204">
        <v>11</v>
      </c>
      <c r="C14" s="203" t="s">
        <v>803</v>
      </c>
      <c r="D14" s="194" t="s">
        <v>804</v>
      </c>
      <c r="E14" s="194" t="s">
        <v>805</v>
      </c>
      <c r="F14" s="194" t="s">
        <v>806</v>
      </c>
      <c r="G14" s="196" t="s">
        <v>807</v>
      </c>
    </row>
    <row r="15" spans="2:7" x14ac:dyDescent="0.25">
      <c r="B15" s="204">
        <v>12</v>
      </c>
      <c r="C15" s="203" t="s">
        <v>808</v>
      </c>
      <c r="D15" s="194" t="s">
        <v>809</v>
      </c>
      <c r="E15" s="194" t="s">
        <v>810</v>
      </c>
      <c r="F15" s="194" t="s">
        <v>811</v>
      </c>
      <c r="G15" s="196" t="s">
        <v>812</v>
      </c>
    </row>
    <row r="16" spans="2:7" x14ac:dyDescent="0.25">
      <c r="B16" s="216">
        <v>13</v>
      </c>
      <c r="C16" s="217" t="s">
        <v>813</v>
      </c>
      <c r="D16" s="218" t="s">
        <v>814</v>
      </c>
      <c r="E16" s="218" t="s">
        <v>815</v>
      </c>
      <c r="F16" s="218" t="s">
        <v>816</v>
      </c>
      <c r="G16" s="219" t="s">
        <v>817</v>
      </c>
    </row>
    <row r="17" spans="2:7" x14ac:dyDescent="0.25">
      <c r="B17" s="216">
        <v>14</v>
      </c>
      <c r="C17" s="217" t="s">
        <v>818</v>
      </c>
      <c r="D17" s="218" t="s">
        <v>819</v>
      </c>
      <c r="E17" s="218" t="s">
        <v>820</v>
      </c>
      <c r="F17" s="218" t="s">
        <v>821</v>
      </c>
      <c r="G17" s="219" t="s">
        <v>822</v>
      </c>
    </row>
    <row r="18" spans="2:7" x14ac:dyDescent="0.25">
      <c r="B18" s="204">
        <v>15</v>
      </c>
      <c r="C18" s="203" t="s">
        <v>823</v>
      </c>
      <c r="D18" s="194" t="s">
        <v>824</v>
      </c>
      <c r="E18" s="194" t="s">
        <v>825</v>
      </c>
      <c r="F18" s="194" t="s">
        <v>826</v>
      </c>
      <c r="G18" s="196" t="s">
        <v>827</v>
      </c>
    </row>
    <row r="19" spans="2:7" x14ac:dyDescent="0.25">
      <c r="B19" s="228">
        <v>16</v>
      </c>
      <c r="C19" s="229" t="s">
        <v>828</v>
      </c>
      <c r="D19" s="230" t="s">
        <v>829</v>
      </c>
      <c r="E19" s="230" t="s">
        <v>830</v>
      </c>
      <c r="F19" s="230" t="s">
        <v>831</v>
      </c>
      <c r="G19" s="231" t="s">
        <v>832</v>
      </c>
    </row>
    <row r="20" spans="2:7" x14ac:dyDescent="0.25">
      <c r="B20" s="232">
        <v>17</v>
      </c>
      <c r="C20" s="233" t="s">
        <v>833</v>
      </c>
      <c r="D20" s="234" t="s">
        <v>834</v>
      </c>
      <c r="E20" s="234" t="s">
        <v>835</v>
      </c>
      <c r="F20" s="234" t="s">
        <v>836</v>
      </c>
      <c r="G20" s="235" t="s">
        <v>837</v>
      </c>
    </row>
    <row r="21" spans="2:7" x14ac:dyDescent="0.25">
      <c r="B21" s="228">
        <v>18</v>
      </c>
      <c r="C21" s="229" t="s">
        <v>838</v>
      </c>
      <c r="D21" s="230" t="s">
        <v>839</v>
      </c>
      <c r="E21" s="230" t="s">
        <v>840</v>
      </c>
      <c r="F21" s="230" t="s">
        <v>841</v>
      </c>
      <c r="G21" s="231" t="s">
        <v>842</v>
      </c>
    </row>
    <row r="22" spans="2:7" x14ac:dyDescent="0.25">
      <c r="B22" s="208">
        <v>19</v>
      </c>
      <c r="C22" s="207" t="s">
        <v>843</v>
      </c>
      <c r="D22" s="197" t="s">
        <v>844</v>
      </c>
      <c r="E22" s="197" t="s">
        <v>845</v>
      </c>
      <c r="F22" s="197" t="s">
        <v>846</v>
      </c>
      <c r="G22" s="198" t="s">
        <v>847</v>
      </c>
    </row>
    <row r="23" spans="2:7" x14ac:dyDescent="0.25">
      <c r="B23" s="208">
        <v>20</v>
      </c>
      <c r="C23" s="207" t="s">
        <v>848</v>
      </c>
      <c r="D23" s="197" t="s">
        <v>849</v>
      </c>
      <c r="E23" s="197" t="s">
        <v>850</v>
      </c>
      <c r="F23" s="197" t="s">
        <v>851</v>
      </c>
      <c r="G23" s="198" t="s">
        <v>852</v>
      </c>
    </row>
    <row r="24" spans="2:7" x14ac:dyDescent="0.25">
      <c r="B24" s="208">
        <v>21</v>
      </c>
      <c r="C24" s="207" t="s">
        <v>853</v>
      </c>
      <c r="D24" s="197" t="s">
        <v>854</v>
      </c>
      <c r="E24" s="197" t="s">
        <v>855</v>
      </c>
      <c r="F24" s="197" t="s">
        <v>856</v>
      </c>
      <c r="G24" s="198" t="s">
        <v>857</v>
      </c>
    </row>
    <row r="25" spans="2:7" x14ac:dyDescent="0.25">
      <c r="B25" s="208">
        <v>22</v>
      </c>
      <c r="C25" s="207" t="s">
        <v>858</v>
      </c>
      <c r="D25" s="197" t="s">
        <v>859</v>
      </c>
      <c r="E25" s="197" t="s">
        <v>860</v>
      </c>
      <c r="F25" s="197" t="s">
        <v>861</v>
      </c>
      <c r="G25" s="198" t="s">
        <v>862</v>
      </c>
    </row>
    <row r="26" spans="2:7" x14ac:dyDescent="0.25">
      <c r="B26" s="220">
        <v>23</v>
      </c>
      <c r="C26" s="221" t="s">
        <v>863</v>
      </c>
      <c r="D26" s="222" t="s">
        <v>864</v>
      </c>
      <c r="E26" s="222" t="s">
        <v>865</v>
      </c>
      <c r="F26" s="222" t="s">
        <v>866</v>
      </c>
      <c r="G26" s="223" t="s">
        <v>867</v>
      </c>
    </row>
    <row r="27" spans="2:7" x14ac:dyDescent="0.25">
      <c r="B27" s="224">
        <v>24</v>
      </c>
      <c r="C27" s="225" t="s">
        <v>868</v>
      </c>
      <c r="D27" s="226" t="s">
        <v>869</v>
      </c>
      <c r="E27" s="226" t="s">
        <v>870</v>
      </c>
      <c r="F27" s="226" t="s">
        <v>871</v>
      </c>
      <c r="G27" s="227" t="s">
        <v>872</v>
      </c>
    </row>
    <row r="28" spans="2:7" x14ac:dyDescent="0.25">
      <c r="B28" s="224">
        <v>25</v>
      </c>
      <c r="C28" s="225" t="s">
        <v>873</v>
      </c>
      <c r="D28" s="226" t="s">
        <v>874</v>
      </c>
      <c r="E28" s="226" t="s">
        <v>875</v>
      </c>
      <c r="F28" s="226" t="s">
        <v>876</v>
      </c>
      <c r="G28" s="227" t="s">
        <v>877</v>
      </c>
    </row>
    <row r="29" spans="2:7" x14ac:dyDescent="0.25">
      <c r="B29" s="210">
        <v>26</v>
      </c>
      <c r="C29" s="211" t="s">
        <v>878</v>
      </c>
      <c r="D29" s="212" t="s">
        <v>879</v>
      </c>
      <c r="E29" s="212" t="s">
        <v>880</v>
      </c>
      <c r="F29" s="212" t="s">
        <v>881</v>
      </c>
      <c r="G29" s="213" t="s">
        <v>882</v>
      </c>
    </row>
    <row r="30" spans="2:7" x14ac:dyDescent="0.25">
      <c r="B30" s="210">
        <v>27</v>
      </c>
      <c r="C30" s="211" t="s">
        <v>883</v>
      </c>
      <c r="D30" s="212" t="s">
        <v>884</v>
      </c>
      <c r="E30" s="212" t="s">
        <v>885</v>
      </c>
      <c r="F30" s="212" t="s">
        <v>886</v>
      </c>
      <c r="G30" s="213" t="s">
        <v>887</v>
      </c>
    </row>
    <row r="31" spans="2:7" x14ac:dyDescent="0.25">
      <c r="B31" s="210">
        <v>28</v>
      </c>
      <c r="C31" s="211" t="s">
        <v>888</v>
      </c>
      <c r="D31" s="212" t="s">
        <v>889</v>
      </c>
      <c r="E31" s="212" t="s">
        <v>890</v>
      </c>
      <c r="F31" s="212" t="s">
        <v>891</v>
      </c>
      <c r="G31" s="213" t="s">
        <v>892</v>
      </c>
    </row>
    <row r="32" spans="2:7" x14ac:dyDescent="0.25">
      <c r="B32" s="214">
        <v>29</v>
      </c>
      <c r="C32" s="215" t="s">
        <v>893</v>
      </c>
      <c r="D32" s="212" t="s">
        <v>894</v>
      </c>
      <c r="E32" s="212" t="s">
        <v>895</v>
      </c>
      <c r="F32" s="212" t="s">
        <v>896</v>
      </c>
      <c r="G32" s="213" t="s">
        <v>897</v>
      </c>
    </row>
    <row r="33" spans="2:7" x14ac:dyDescent="0.25">
      <c r="B33" s="214">
        <v>30</v>
      </c>
      <c r="C33" s="215" t="s">
        <v>907</v>
      </c>
      <c r="D33" s="212" t="s">
        <v>908</v>
      </c>
      <c r="E33" s="212" t="s">
        <v>909</v>
      </c>
      <c r="F33" s="212" t="s">
        <v>910</v>
      </c>
      <c r="G33" s="213" t="s">
        <v>911</v>
      </c>
    </row>
    <row r="34" spans="2:7" x14ac:dyDescent="0.25">
      <c r="B34" s="326" t="s">
        <v>898</v>
      </c>
      <c r="C34" s="327"/>
      <c r="D34" s="327"/>
      <c r="E34" s="327"/>
      <c r="F34" s="327"/>
      <c r="G34" s="328"/>
    </row>
  </sheetData>
  <mergeCells count="1">
    <mergeCell ref="B34:G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9442-C99E-46AE-BA24-6CDCF6B108E6}">
  <dimension ref="A1:P56"/>
  <sheetViews>
    <sheetView topLeftCell="D30" zoomScale="70" zoomScaleNormal="70" workbookViewId="0">
      <selection activeCell="F31" sqref="F31:F41"/>
    </sheetView>
  </sheetViews>
  <sheetFormatPr defaultRowHeight="15" x14ac:dyDescent="0.25"/>
  <cols>
    <col min="2" max="2" width="11.5703125" customWidth="1"/>
    <col min="3" max="3" width="13.140625" customWidth="1"/>
    <col min="4" max="4" width="21.710937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 min="14" max="14" width="16.140625" customWidth="1"/>
    <col min="15" max="15" width="13.5703125" customWidth="1"/>
    <col min="16" max="16" width="12" customWidth="1"/>
  </cols>
  <sheetData>
    <row r="1" spans="1:8" x14ac:dyDescent="0.25">
      <c r="A1" t="s">
        <v>535</v>
      </c>
    </row>
    <row r="3" spans="1:8" x14ac:dyDescent="0.25">
      <c r="B3" s="329" t="s">
        <v>899</v>
      </c>
      <c r="C3" s="329"/>
      <c r="D3" s="329"/>
      <c r="F3" s="325" t="s">
        <v>828</v>
      </c>
      <c r="G3" s="325"/>
      <c r="H3" s="325"/>
    </row>
    <row r="4" spans="1:8" x14ac:dyDescent="0.25">
      <c r="B4" s="209">
        <f t="shared" ref="B4:D13" ca="1" si="0">RAND()</f>
        <v>0.60377537416444638</v>
      </c>
      <c r="C4" s="168">
        <f t="shared" ca="1" si="0"/>
        <v>0.23450436042729994</v>
      </c>
      <c r="D4" s="168">
        <f t="shared" ca="1" si="0"/>
        <v>0.54380795295214623</v>
      </c>
      <c r="F4" s="167" t="s">
        <v>901</v>
      </c>
      <c r="G4" s="167" t="s">
        <v>902</v>
      </c>
      <c r="H4" s="167" t="s">
        <v>828</v>
      </c>
    </row>
    <row r="5" spans="1:8" x14ac:dyDescent="0.25">
      <c r="B5" s="209">
        <f t="shared" ca="1" si="0"/>
        <v>0.97535827797783115</v>
      </c>
      <c r="C5" s="168">
        <f t="shared" ca="1" si="0"/>
        <v>6.0402949682730966E-2</v>
      </c>
      <c r="D5" s="168">
        <f t="shared" ca="1" si="0"/>
        <v>0.90209114338025576</v>
      </c>
      <c r="F5" s="169">
        <v>1</v>
      </c>
      <c r="G5" s="168">
        <v>186.74647918864025</v>
      </c>
      <c r="H5" s="168">
        <f>ROUND(G5,3)</f>
        <v>186.74600000000001</v>
      </c>
    </row>
    <row r="6" spans="1:8" x14ac:dyDescent="0.25">
      <c r="B6" s="209">
        <f t="shared" ca="1" si="0"/>
        <v>0.50256991049618749</v>
      </c>
      <c r="C6" s="168">
        <f t="shared" ca="1" si="0"/>
        <v>0.10351338527281784</v>
      </c>
      <c r="D6" s="168">
        <f t="shared" ca="1" si="0"/>
        <v>0.24847111971147229</v>
      </c>
      <c r="F6" s="169">
        <v>2</v>
      </c>
      <c r="G6" s="168">
        <v>1134.2033634091172</v>
      </c>
      <c r="H6" s="168">
        <f t="shared" ref="H6:H14" si="1">ROUND(G6,3)</f>
        <v>1134.203</v>
      </c>
    </row>
    <row r="7" spans="1:8" x14ac:dyDescent="0.25">
      <c r="B7" s="209">
        <f t="shared" ca="1" si="0"/>
        <v>0.74102219654330492</v>
      </c>
      <c r="C7" s="168">
        <f t="shared" ca="1" si="0"/>
        <v>0.35724414348420341</v>
      </c>
      <c r="D7" s="168">
        <f t="shared" ca="1" si="0"/>
        <v>0.29122662501999075</v>
      </c>
      <c r="F7" s="169">
        <v>3</v>
      </c>
      <c r="G7" s="168">
        <v>1056.2609033230992</v>
      </c>
      <c r="H7" s="168">
        <f t="shared" si="1"/>
        <v>1056.261</v>
      </c>
    </row>
    <row r="8" spans="1:8" x14ac:dyDescent="0.25">
      <c r="B8" s="209">
        <f t="shared" ca="1" si="0"/>
        <v>0.11059133178825986</v>
      </c>
      <c r="C8" s="168">
        <f t="shared" ca="1" si="0"/>
        <v>0.82971642592236927</v>
      </c>
      <c r="D8" s="168">
        <f t="shared" ca="1" si="0"/>
        <v>0.45149796311619383</v>
      </c>
      <c r="F8" s="169">
        <v>4</v>
      </c>
      <c r="G8" s="168">
        <v>444.95536951220424</v>
      </c>
      <c r="H8" s="168">
        <f t="shared" si="1"/>
        <v>444.95499999999998</v>
      </c>
    </row>
    <row r="9" spans="1:8" x14ac:dyDescent="0.25">
      <c r="B9" s="209">
        <f t="shared" ca="1" si="0"/>
        <v>0.69304118568209516</v>
      </c>
      <c r="C9" s="168">
        <f t="shared" ca="1" si="0"/>
        <v>0.65843493518685159</v>
      </c>
      <c r="D9" s="168">
        <f t="shared" ca="1" si="0"/>
        <v>0.2478571362353551</v>
      </c>
      <c r="F9" s="169">
        <v>5</v>
      </c>
      <c r="G9" s="168">
        <v>1319.4698803550457</v>
      </c>
      <c r="H9" s="168">
        <f t="shared" si="1"/>
        <v>1319.47</v>
      </c>
    </row>
    <row r="10" spans="1:8" x14ac:dyDescent="0.25">
      <c r="B10" s="209">
        <f t="shared" ca="1" si="0"/>
        <v>0.40672179928189367</v>
      </c>
      <c r="C10" s="168">
        <f t="shared" ca="1" si="0"/>
        <v>0.84164521365856149</v>
      </c>
      <c r="D10" s="168">
        <f t="shared" ca="1" si="0"/>
        <v>3.1686609225126783E-2</v>
      </c>
      <c r="F10" s="169">
        <v>6</v>
      </c>
      <c r="G10" s="168">
        <v>226.9273016860318</v>
      </c>
      <c r="H10" s="168">
        <f t="shared" si="1"/>
        <v>226.92699999999999</v>
      </c>
    </row>
    <row r="11" spans="1:8" x14ac:dyDescent="0.25">
      <c r="B11" s="209">
        <f t="shared" ca="1" si="0"/>
        <v>0.28238064992972911</v>
      </c>
      <c r="C11" s="168">
        <f t="shared" ca="1" si="0"/>
        <v>0.84049920140311973</v>
      </c>
      <c r="D11" s="168">
        <f t="shared" ca="1" si="0"/>
        <v>0.63848014481677162</v>
      </c>
      <c r="F11" s="169">
        <v>7</v>
      </c>
      <c r="G11" s="168">
        <v>130.1594492248114</v>
      </c>
      <c r="H11" s="168">
        <f t="shared" si="1"/>
        <v>130.15899999999999</v>
      </c>
    </row>
    <row r="12" spans="1:8" x14ac:dyDescent="0.25">
      <c r="B12" s="209">
        <f t="shared" ca="1" si="0"/>
        <v>1.9727056569237567E-3</v>
      </c>
      <c r="C12" s="168">
        <f t="shared" ca="1" si="0"/>
        <v>0.46971506843669875</v>
      </c>
      <c r="D12" s="168">
        <f t="shared" ca="1" si="0"/>
        <v>0.40185599771245384</v>
      </c>
      <c r="F12" s="169">
        <v>8</v>
      </c>
      <c r="G12" s="168">
        <v>351.12731634061288</v>
      </c>
      <c r="H12" s="168">
        <f t="shared" si="1"/>
        <v>351.12700000000001</v>
      </c>
    </row>
    <row r="13" spans="1:8" x14ac:dyDescent="0.25">
      <c r="B13" s="209">
        <f t="shared" ca="1" si="0"/>
        <v>0.41096487441273577</v>
      </c>
      <c r="C13" s="168">
        <f t="shared" ca="1" si="0"/>
        <v>0.74725112816684802</v>
      </c>
      <c r="D13" s="168">
        <f t="shared" ca="1" si="0"/>
        <v>0.99528249142563463</v>
      </c>
      <c r="F13" s="169">
        <v>9</v>
      </c>
      <c r="G13" s="168">
        <v>1433.0594361477456</v>
      </c>
      <c r="H13" s="168">
        <f t="shared" si="1"/>
        <v>1433.059</v>
      </c>
    </row>
    <row r="14" spans="1:8" x14ac:dyDescent="0.25">
      <c r="F14" s="169">
        <v>10</v>
      </c>
      <c r="G14" s="168">
        <v>214.62573845192333</v>
      </c>
      <c r="H14" s="168">
        <f t="shared" si="1"/>
        <v>214.626</v>
      </c>
    </row>
    <row r="17" spans="2:14" x14ac:dyDescent="0.25">
      <c r="B17" s="330" t="s">
        <v>900</v>
      </c>
      <c r="C17" s="329"/>
      <c r="D17" s="329"/>
      <c r="F17" s="325" t="s">
        <v>903</v>
      </c>
      <c r="G17" s="325"/>
      <c r="H17" s="325"/>
      <c r="J17" s="325" t="s">
        <v>906</v>
      </c>
      <c r="K17" s="325"/>
      <c r="L17" s="325"/>
      <c r="M17" s="325"/>
    </row>
    <row r="18" spans="2:14" x14ac:dyDescent="0.25">
      <c r="B18" s="209">
        <f ca="1">RANDBETWEEN(0,100)</f>
        <v>24</v>
      </c>
      <c r="C18" s="168">
        <f t="shared" ref="B18:D27" ca="1" si="2">RANDBETWEEN(0,100)</f>
        <v>7</v>
      </c>
      <c r="D18" s="168">
        <f t="shared" ca="1" si="2"/>
        <v>43</v>
      </c>
      <c r="F18" s="167" t="s">
        <v>901</v>
      </c>
      <c r="G18" s="167" t="s">
        <v>902</v>
      </c>
      <c r="H18" s="167" t="s">
        <v>903</v>
      </c>
      <c r="J18" s="167" t="s">
        <v>901</v>
      </c>
      <c r="K18" s="167" t="s">
        <v>902</v>
      </c>
      <c r="L18" s="167" t="s">
        <v>905</v>
      </c>
      <c r="M18" s="167" t="s">
        <v>848</v>
      </c>
    </row>
    <row r="19" spans="2:14" x14ac:dyDescent="0.25">
      <c r="B19" s="209">
        <f t="shared" ca="1" si="2"/>
        <v>40</v>
      </c>
      <c r="C19" s="168">
        <f t="shared" ca="1" si="2"/>
        <v>53</v>
      </c>
      <c r="D19" s="168">
        <f t="shared" ca="1" si="2"/>
        <v>97</v>
      </c>
      <c r="F19" s="169">
        <v>1</v>
      </c>
      <c r="G19" s="168">
        <v>186.74647918864025</v>
      </c>
      <c r="H19" s="168">
        <f>ROUNDUP(G19,3)</f>
        <v>186.74700000000001</v>
      </c>
      <c r="J19" s="169">
        <v>1</v>
      </c>
      <c r="K19" s="168">
        <v>186.74647918864025</v>
      </c>
      <c r="L19" s="168">
        <f>INT(K19)</f>
        <v>186</v>
      </c>
      <c r="M19" s="168">
        <f>TRUNC(K19,1)</f>
        <v>186.7</v>
      </c>
    </row>
    <row r="20" spans="2:14" x14ac:dyDescent="0.25">
      <c r="B20" s="209">
        <f t="shared" ca="1" si="2"/>
        <v>75</v>
      </c>
      <c r="C20" s="168">
        <f t="shared" ca="1" si="2"/>
        <v>11</v>
      </c>
      <c r="D20" s="168">
        <f t="shared" ca="1" si="2"/>
        <v>12</v>
      </c>
      <c r="F20" s="169">
        <v>2</v>
      </c>
      <c r="G20" s="168">
        <v>1134.2033634091172</v>
      </c>
      <c r="H20" s="168">
        <f t="shared" ref="H20:H28" si="3">ROUNDUP(G20,3)</f>
        <v>1134.204</v>
      </c>
      <c r="J20" s="169">
        <v>2</v>
      </c>
      <c r="K20" s="168">
        <v>1134.2033634091172</v>
      </c>
      <c r="L20" s="168">
        <f t="shared" ref="L20:L28" si="4">INT(K20)</f>
        <v>1134</v>
      </c>
      <c r="M20" s="168">
        <f t="shared" ref="M20:M28" si="5">TRUNC(K20,1)</f>
        <v>1134.2</v>
      </c>
    </row>
    <row r="21" spans="2:14" x14ac:dyDescent="0.25">
      <c r="B21" s="209">
        <f t="shared" ca="1" si="2"/>
        <v>3</v>
      </c>
      <c r="C21" s="168">
        <f t="shared" ca="1" si="2"/>
        <v>99</v>
      </c>
      <c r="D21" s="168">
        <f t="shared" ca="1" si="2"/>
        <v>39</v>
      </c>
      <c r="F21" s="169">
        <v>3</v>
      </c>
      <c r="G21" s="168">
        <v>1056.2609033230992</v>
      </c>
      <c r="H21" s="168">
        <f t="shared" si="3"/>
        <v>1056.261</v>
      </c>
      <c r="J21" s="169">
        <v>3</v>
      </c>
      <c r="K21" s="168">
        <v>1056.2609033230992</v>
      </c>
      <c r="L21" s="168">
        <f t="shared" si="4"/>
        <v>1056</v>
      </c>
      <c r="M21" s="168">
        <f t="shared" si="5"/>
        <v>1056.2</v>
      </c>
    </row>
    <row r="22" spans="2:14" x14ac:dyDescent="0.25">
      <c r="B22" s="209">
        <f t="shared" ca="1" si="2"/>
        <v>76</v>
      </c>
      <c r="C22" s="168">
        <f t="shared" ca="1" si="2"/>
        <v>88</v>
      </c>
      <c r="D22" s="168">
        <f t="shared" ca="1" si="2"/>
        <v>93</v>
      </c>
      <c r="F22" s="169">
        <v>4</v>
      </c>
      <c r="G22" s="168">
        <v>444.95536951220424</v>
      </c>
      <c r="H22" s="168">
        <f t="shared" si="3"/>
        <v>444.95599999999996</v>
      </c>
      <c r="J22" s="169">
        <v>4</v>
      </c>
      <c r="K22" s="168">
        <v>444.95536951220424</v>
      </c>
      <c r="L22" s="168">
        <f t="shared" si="4"/>
        <v>444</v>
      </c>
      <c r="M22" s="168">
        <f t="shared" si="5"/>
        <v>444.9</v>
      </c>
    </row>
    <row r="23" spans="2:14" x14ac:dyDescent="0.25">
      <c r="B23" s="209">
        <f t="shared" ca="1" si="2"/>
        <v>34</v>
      </c>
      <c r="C23" s="168">
        <f t="shared" ca="1" si="2"/>
        <v>83</v>
      </c>
      <c r="D23" s="168">
        <f t="shared" ca="1" si="2"/>
        <v>55</v>
      </c>
      <c r="F23" s="169">
        <v>5</v>
      </c>
      <c r="G23" s="168">
        <v>1319.4698803550457</v>
      </c>
      <c r="H23" s="168">
        <f t="shared" si="3"/>
        <v>1319.47</v>
      </c>
      <c r="J23" s="169">
        <v>5</v>
      </c>
      <c r="K23" s="168">
        <v>1319.4698803550457</v>
      </c>
      <c r="L23" s="168">
        <f t="shared" si="4"/>
        <v>1319</v>
      </c>
      <c r="M23" s="168">
        <f t="shared" si="5"/>
        <v>1319.4</v>
      </c>
    </row>
    <row r="24" spans="2:14" x14ac:dyDescent="0.25">
      <c r="B24" s="209">
        <f t="shared" ca="1" si="2"/>
        <v>30</v>
      </c>
      <c r="C24" s="168">
        <f t="shared" ca="1" si="2"/>
        <v>60</v>
      </c>
      <c r="D24" s="168">
        <f t="shared" ca="1" si="2"/>
        <v>32</v>
      </c>
      <c r="F24" s="169">
        <v>6</v>
      </c>
      <c r="G24" s="168">
        <v>226.9273016860318</v>
      </c>
      <c r="H24" s="168">
        <f t="shared" si="3"/>
        <v>226.928</v>
      </c>
      <c r="J24" s="169">
        <v>6</v>
      </c>
      <c r="K24" s="168">
        <v>226.9273016860318</v>
      </c>
      <c r="L24" s="168">
        <f t="shared" si="4"/>
        <v>226</v>
      </c>
      <c r="M24" s="168">
        <f t="shared" si="5"/>
        <v>226.9</v>
      </c>
    </row>
    <row r="25" spans="2:14" x14ac:dyDescent="0.25">
      <c r="B25" s="209">
        <f t="shared" ca="1" si="2"/>
        <v>39</v>
      </c>
      <c r="C25" s="168">
        <f t="shared" ca="1" si="2"/>
        <v>98</v>
      </c>
      <c r="D25" s="168">
        <f t="shared" ca="1" si="2"/>
        <v>90</v>
      </c>
      <c r="F25" s="169">
        <v>7</v>
      </c>
      <c r="G25" s="168">
        <v>130.1594492248114</v>
      </c>
      <c r="H25" s="168">
        <f t="shared" si="3"/>
        <v>130.16</v>
      </c>
      <c r="J25" s="169">
        <v>7</v>
      </c>
      <c r="K25" s="168">
        <v>130.1594492248114</v>
      </c>
      <c r="L25" s="168">
        <f t="shared" si="4"/>
        <v>130</v>
      </c>
      <c r="M25" s="168">
        <f t="shared" si="5"/>
        <v>130.1</v>
      </c>
    </row>
    <row r="26" spans="2:14" x14ac:dyDescent="0.25">
      <c r="B26" s="209">
        <f t="shared" ca="1" si="2"/>
        <v>37</v>
      </c>
      <c r="C26" s="168">
        <f t="shared" ca="1" si="2"/>
        <v>28</v>
      </c>
      <c r="D26" s="168">
        <f t="shared" ca="1" si="2"/>
        <v>83</v>
      </c>
      <c r="F26" s="169">
        <v>8</v>
      </c>
      <c r="G26" s="168">
        <v>351.12731634061288</v>
      </c>
      <c r="H26" s="168">
        <f t="shared" si="3"/>
        <v>351.12799999999999</v>
      </c>
      <c r="J26" s="169">
        <v>8</v>
      </c>
      <c r="K26" s="168">
        <v>351.12731634061288</v>
      </c>
      <c r="L26" s="168">
        <f t="shared" si="4"/>
        <v>351</v>
      </c>
      <c r="M26" s="168">
        <f t="shared" si="5"/>
        <v>351.1</v>
      </c>
    </row>
    <row r="27" spans="2:14" x14ac:dyDescent="0.25">
      <c r="B27" s="209">
        <f t="shared" ca="1" si="2"/>
        <v>60</v>
      </c>
      <c r="C27" s="168">
        <f t="shared" ca="1" si="2"/>
        <v>91</v>
      </c>
      <c r="D27" s="168">
        <f t="shared" ca="1" si="2"/>
        <v>77</v>
      </c>
      <c r="F27" s="169">
        <v>9</v>
      </c>
      <c r="G27" s="168">
        <v>1433.0594361477456</v>
      </c>
      <c r="H27" s="168">
        <f t="shared" si="3"/>
        <v>1433.06</v>
      </c>
      <c r="J27" s="169">
        <v>9</v>
      </c>
      <c r="K27" s="168">
        <v>1433.0594361477456</v>
      </c>
      <c r="L27" s="168">
        <f t="shared" si="4"/>
        <v>1433</v>
      </c>
      <c r="M27" s="168">
        <f t="shared" si="5"/>
        <v>1433</v>
      </c>
    </row>
    <row r="28" spans="2:14" x14ac:dyDescent="0.25">
      <c r="F28" s="169">
        <v>10</v>
      </c>
      <c r="G28" s="168">
        <v>214.62573845192333</v>
      </c>
      <c r="H28" s="168">
        <f t="shared" si="3"/>
        <v>214.626</v>
      </c>
      <c r="J28" s="169">
        <v>10</v>
      </c>
      <c r="K28" s="168">
        <v>214.62573845192333</v>
      </c>
      <c r="L28" s="168">
        <f t="shared" si="4"/>
        <v>214</v>
      </c>
      <c r="M28" s="168">
        <f t="shared" si="5"/>
        <v>214.6</v>
      </c>
    </row>
    <row r="30" spans="2:14" x14ac:dyDescent="0.25">
      <c r="B30" s="329" t="s">
        <v>873</v>
      </c>
      <c r="C30" s="329"/>
      <c r="D30" s="329"/>
      <c r="F30" s="325" t="s">
        <v>904</v>
      </c>
      <c r="G30" s="325"/>
      <c r="H30" s="325"/>
    </row>
    <row r="31" spans="2:14" x14ac:dyDescent="0.25">
      <c r="B31" s="209" cm="1">
        <f t="array" aca="1" ref="B31:D40" ca="1">_xlfn.RANDARRAY(10,3,0,100,TRUE)</f>
        <v>34</v>
      </c>
      <c r="C31" s="168">
        <f ca="1"/>
        <v>56</v>
      </c>
      <c r="D31" s="168">
        <f ca="1"/>
        <v>97</v>
      </c>
      <c r="F31" s="167" t="s">
        <v>901</v>
      </c>
      <c r="G31" s="167" t="s">
        <v>902</v>
      </c>
      <c r="H31" s="167" t="s">
        <v>904</v>
      </c>
      <c r="J31" s="325" t="s">
        <v>912</v>
      </c>
      <c r="K31" s="325"/>
      <c r="L31" s="325"/>
      <c r="M31" s="325"/>
      <c r="N31" s="325"/>
    </row>
    <row r="32" spans="2:14" x14ac:dyDescent="0.25">
      <c r="B32" s="209">
        <f ca="1"/>
        <v>43</v>
      </c>
      <c r="C32" s="168">
        <f ca="1"/>
        <v>25</v>
      </c>
      <c r="D32" s="168">
        <f ca="1"/>
        <v>4</v>
      </c>
      <c r="F32" s="169">
        <v>1</v>
      </c>
      <c r="G32" s="168">
        <v>186.74647918864025</v>
      </c>
      <c r="H32" s="168">
        <f>ROUNDDOWN(G32,3)</f>
        <v>186.74600000000001</v>
      </c>
      <c r="J32" s="167" t="s">
        <v>901</v>
      </c>
      <c r="K32" s="167" t="s">
        <v>902</v>
      </c>
      <c r="L32" s="167" t="s">
        <v>853</v>
      </c>
      <c r="M32" s="167" t="s">
        <v>907</v>
      </c>
      <c r="N32" s="236" t="s">
        <v>858</v>
      </c>
    </row>
    <row r="33" spans="2:16" x14ac:dyDescent="0.25">
      <c r="B33" s="209">
        <f ca="1"/>
        <v>1</v>
      </c>
      <c r="C33" s="168">
        <f ca="1"/>
        <v>33</v>
      </c>
      <c r="D33" s="168">
        <f ca="1"/>
        <v>78</v>
      </c>
      <c r="F33" s="169">
        <v>2</v>
      </c>
      <c r="G33" s="168">
        <v>1134.2033634091172</v>
      </c>
      <c r="H33" s="168">
        <f t="shared" ref="H33:H41" si="6">ROUNDDOWN(G33,3)</f>
        <v>1134.203</v>
      </c>
      <c r="J33" s="169">
        <v>1</v>
      </c>
      <c r="K33" s="168">
        <v>49</v>
      </c>
      <c r="L33" s="168">
        <f>FLOOR(K33,3)</f>
        <v>48</v>
      </c>
      <c r="M33" s="168">
        <f>CEILING(K33,3)</f>
        <v>51</v>
      </c>
      <c r="N33" s="168">
        <f>MROUND(K33,3)</f>
        <v>48</v>
      </c>
    </row>
    <row r="34" spans="2:16" x14ac:dyDescent="0.25">
      <c r="B34" s="209">
        <f ca="1"/>
        <v>32</v>
      </c>
      <c r="C34" s="168">
        <f ca="1"/>
        <v>52</v>
      </c>
      <c r="D34" s="168">
        <f ca="1"/>
        <v>27</v>
      </c>
      <c r="F34" s="169">
        <v>3</v>
      </c>
      <c r="G34" s="168">
        <v>1056.2609033230992</v>
      </c>
      <c r="H34" s="168">
        <f t="shared" si="6"/>
        <v>1056.26</v>
      </c>
      <c r="J34" s="169">
        <v>2</v>
      </c>
      <c r="K34" s="168">
        <v>92</v>
      </c>
      <c r="L34" s="168">
        <f t="shared" ref="L34:L42" si="7">FLOOR(K34,3)</f>
        <v>90</v>
      </c>
      <c r="M34" s="168">
        <f t="shared" ref="M34:M42" si="8">CEILING(K34,3)</f>
        <v>93</v>
      </c>
      <c r="N34" s="168">
        <f t="shared" ref="N34:N42" si="9">MROUND(K34,3)</f>
        <v>93</v>
      </c>
    </row>
    <row r="35" spans="2:16" x14ac:dyDescent="0.25">
      <c r="B35" s="209">
        <f ca="1"/>
        <v>83</v>
      </c>
      <c r="C35" s="168">
        <f ca="1"/>
        <v>24</v>
      </c>
      <c r="D35" s="168">
        <f ca="1"/>
        <v>65</v>
      </c>
      <c r="F35" s="169">
        <v>4</v>
      </c>
      <c r="G35" s="168">
        <v>444.95536951220424</v>
      </c>
      <c r="H35" s="168">
        <f t="shared" si="6"/>
        <v>444.95499999999998</v>
      </c>
      <c r="J35" s="169">
        <v>3</v>
      </c>
      <c r="K35" s="168">
        <v>49</v>
      </c>
      <c r="L35" s="168">
        <f t="shared" si="7"/>
        <v>48</v>
      </c>
      <c r="M35" s="168">
        <f t="shared" si="8"/>
        <v>51</v>
      </c>
      <c r="N35" s="168">
        <f t="shared" si="9"/>
        <v>48</v>
      </c>
    </row>
    <row r="36" spans="2:16" x14ac:dyDescent="0.25">
      <c r="B36" s="209">
        <f ca="1"/>
        <v>16</v>
      </c>
      <c r="C36" s="168">
        <f ca="1"/>
        <v>59</v>
      </c>
      <c r="D36" s="168">
        <f ca="1"/>
        <v>72</v>
      </c>
      <c r="F36" s="169">
        <v>5</v>
      </c>
      <c r="G36" s="168">
        <v>1319.4698803550457</v>
      </c>
      <c r="H36" s="168">
        <f t="shared" si="6"/>
        <v>1319.4690000000001</v>
      </c>
      <c r="J36" s="169">
        <v>4</v>
      </c>
      <c r="K36" s="168">
        <v>32</v>
      </c>
      <c r="L36" s="168">
        <f t="shared" si="7"/>
        <v>30</v>
      </c>
      <c r="M36" s="168">
        <f t="shared" si="8"/>
        <v>33</v>
      </c>
      <c r="N36" s="168">
        <f t="shared" si="9"/>
        <v>33</v>
      </c>
    </row>
    <row r="37" spans="2:16" x14ac:dyDescent="0.25">
      <c r="B37" s="209">
        <f ca="1"/>
        <v>10</v>
      </c>
      <c r="C37" s="168">
        <f ca="1"/>
        <v>52</v>
      </c>
      <c r="D37" s="168">
        <f ca="1"/>
        <v>37</v>
      </c>
      <c r="F37" s="169">
        <v>6</v>
      </c>
      <c r="G37" s="168">
        <v>226.9273016860318</v>
      </c>
      <c r="H37" s="168">
        <f t="shared" si="6"/>
        <v>226.92699999999999</v>
      </c>
      <c r="J37" s="169">
        <v>5</v>
      </c>
      <c r="K37" s="168">
        <v>43</v>
      </c>
      <c r="L37" s="168">
        <f t="shared" si="7"/>
        <v>42</v>
      </c>
      <c r="M37" s="168">
        <f t="shared" si="8"/>
        <v>45</v>
      </c>
      <c r="N37" s="168">
        <f t="shared" si="9"/>
        <v>42</v>
      </c>
    </row>
    <row r="38" spans="2:16" x14ac:dyDescent="0.25">
      <c r="B38" s="209">
        <f ca="1"/>
        <v>44</v>
      </c>
      <c r="C38" s="168">
        <f ca="1"/>
        <v>83</v>
      </c>
      <c r="D38" s="168">
        <f ca="1"/>
        <v>53</v>
      </c>
      <c r="F38" s="169">
        <v>7</v>
      </c>
      <c r="G38" s="168">
        <v>130.1594492248114</v>
      </c>
      <c r="H38" s="168">
        <f t="shared" si="6"/>
        <v>130.15899999999999</v>
      </c>
      <c r="J38" s="169">
        <v>6</v>
      </c>
      <c r="K38" s="168">
        <v>57</v>
      </c>
      <c r="L38" s="168">
        <f t="shared" si="7"/>
        <v>57</v>
      </c>
      <c r="M38" s="168">
        <f t="shared" si="8"/>
        <v>57</v>
      </c>
      <c r="N38" s="168">
        <f t="shared" si="9"/>
        <v>57</v>
      </c>
    </row>
    <row r="39" spans="2:16" x14ac:dyDescent="0.25">
      <c r="B39" s="209">
        <f ca="1"/>
        <v>84</v>
      </c>
      <c r="C39" s="168">
        <f ca="1"/>
        <v>65</v>
      </c>
      <c r="D39" s="168">
        <f ca="1"/>
        <v>16</v>
      </c>
      <c r="F39" s="169">
        <v>8</v>
      </c>
      <c r="G39" s="168">
        <v>351.12731634061288</v>
      </c>
      <c r="H39" s="168">
        <f t="shared" si="6"/>
        <v>351.12700000000001</v>
      </c>
      <c r="J39" s="169">
        <v>7</v>
      </c>
      <c r="K39" s="168">
        <v>45</v>
      </c>
      <c r="L39" s="168">
        <f t="shared" si="7"/>
        <v>45</v>
      </c>
      <c r="M39" s="168">
        <f t="shared" si="8"/>
        <v>45</v>
      </c>
      <c r="N39" s="168">
        <f t="shared" si="9"/>
        <v>45</v>
      </c>
    </row>
    <row r="40" spans="2:16" x14ac:dyDescent="0.25">
      <c r="B40" s="209">
        <f ca="1"/>
        <v>41</v>
      </c>
      <c r="C40" s="168">
        <f ca="1"/>
        <v>59</v>
      </c>
      <c r="D40" s="168">
        <f ca="1"/>
        <v>47</v>
      </c>
      <c r="F40" s="169">
        <v>9</v>
      </c>
      <c r="G40" s="168">
        <v>1433.0594361477456</v>
      </c>
      <c r="H40" s="168">
        <f t="shared" si="6"/>
        <v>1433.059</v>
      </c>
      <c r="J40" s="169">
        <v>8</v>
      </c>
      <c r="K40" s="168">
        <v>59</v>
      </c>
      <c r="L40" s="168">
        <f t="shared" si="7"/>
        <v>57</v>
      </c>
      <c r="M40" s="168">
        <f t="shared" si="8"/>
        <v>60</v>
      </c>
      <c r="N40" s="168">
        <f t="shared" si="9"/>
        <v>60</v>
      </c>
    </row>
    <row r="41" spans="2:16" x14ac:dyDescent="0.25">
      <c r="F41" s="169">
        <v>10</v>
      </c>
      <c r="G41" s="168">
        <v>214.62573845192333</v>
      </c>
      <c r="H41" s="168">
        <f t="shared" si="6"/>
        <v>214.625</v>
      </c>
      <c r="J41" s="169">
        <v>9</v>
      </c>
      <c r="K41" s="168">
        <v>42</v>
      </c>
      <c r="L41" s="168">
        <f t="shared" si="7"/>
        <v>42</v>
      </c>
      <c r="M41" s="168">
        <f t="shared" si="8"/>
        <v>42</v>
      </c>
      <c r="N41" s="168">
        <f t="shared" si="9"/>
        <v>42</v>
      </c>
    </row>
    <row r="42" spans="2:16" x14ac:dyDescent="0.25">
      <c r="J42" s="169">
        <v>10</v>
      </c>
      <c r="K42" s="168">
        <v>74</v>
      </c>
      <c r="L42" s="168">
        <f t="shared" si="7"/>
        <v>72</v>
      </c>
      <c r="M42" s="168">
        <f t="shared" si="8"/>
        <v>75</v>
      </c>
      <c r="N42" s="168">
        <f t="shared" si="9"/>
        <v>75</v>
      </c>
    </row>
    <row r="43" spans="2:16" x14ac:dyDescent="0.25">
      <c r="B43" s="325" t="s">
        <v>813</v>
      </c>
      <c r="C43" s="325"/>
      <c r="D43" s="325"/>
      <c r="F43" s="325" t="s">
        <v>818</v>
      </c>
      <c r="G43" s="325"/>
      <c r="H43" s="325"/>
    </row>
    <row r="44" spans="2:16" x14ac:dyDescent="0.25">
      <c r="B44" s="167" t="s">
        <v>901</v>
      </c>
      <c r="C44" s="167" t="s">
        <v>902</v>
      </c>
      <c r="D44" s="167" t="s">
        <v>813</v>
      </c>
      <c r="F44" s="167" t="s">
        <v>901</v>
      </c>
      <c r="G44" s="167" t="s">
        <v>902</v>
      </c>
      <c r="H44" s="167" t="s">
        <v>818</v>
      </c>
    </row>
    <row r="45" spans="2:16" x14ac:dyDescent="0.25">
      <c r="B45" s="169">
        <v>1</v>
      </c>
      <c r="C45" s="168">
        <v>821</v>
      </c>
      <c r="D45" s="168">
        <v>942</v>
      </c>
      <c r="F45" s="169">
        <v>1</v>
      </c>
      <c r="G45" s="209">
        <v>821</v>
      </c>
      <c r="H45" s="168" cm="1">
        <f t="array" ref="H45:H54">SMALL($G$45:$G$54,F45:F54)</f>
        <v>128</v>
      </c>
      <c r="J45" s="325" t="s">
        <v>913</v>
      </c>
      <c r="K45" s="325"/>
      <c r="L45" s="325"/>
      <c r="M45" s="325"/>
      <c r="N45" s="325"/>
      <c r="O45" s="325"/>
      <c r="P45" s="325"/>
    </row>
    <row r="46" spans="2:16" x14ac:dyDescent="0.25">
      <c r="B46" s="169">
        <v>2</v>
      </c>
      <c r="C46" s="168">
        <v>486</v>
      </c>
      <c r="D46" s="168">
        <v>821</v>
      </c>
      <c r="F46" s="169">
        <v>2</v>
      </c>
      <c r="G46" s="209">
        <v>486</v>
      </c>
      <c r="H46" s="168">
        <v>206</v>
      </c>
      <c r="J46" s="167" t="s">
        <v>901</v>
      </c>
      <c r="K46" s="167" t="s">
        <v>902</v>
      </c>
      <c r="L46" s="237" t="s">
        <v>914</v>
      </c>
      <c r="M46" s="167" t="s">
        <v>878</v>
      </c>
      <c r="N46" s="236" t="s">
        <v>883</v>
      </c>
      <c r="O46" s="236" t="s">
        <v>888</v>
      </c>
      <c r="P46" s="236" t="s">
        <v>893</v>
      </c>
    </row>
    <row r="47" spans="2:16" x14ac:dyDescent="0.25">
      <c r="B47" s="169">
        <v>3</v>
      </c>
      <c r="C47" s="168">
        <v>528</v>
      </c>
      <c r="D47" s="168">
        <v>813</v>
      </c>
      <c r="F47" s="169">
        <v>3</v>
      </c>
      <c r="G47" s="209">
        <v>528</v>
      </c>
      <c r="H47" s="168">
        <v>296</v>
      </c>
      <c r="J47" s="169">
        <v>1</v>
      </c>
      <c r="K47" s="168">
        <v>49</v>
      </c>
      <c r="L47" s="168">
        <f>-ABS(K47)</f>
        <v>-49</v>
      </c>
      <c r="M47" s="168">
        <f>ABS(L47)</f>
        <v>49</v>
      </c>
      <c r="N47" s="168">
        <f>MOD(K47,3)</f>
        <v>1</v>
      </c>
      <c r="O47" s="168">
        <f>POWER(J47,3)</f>
        <v>1</v>
      </c>
      <c r="P47" s="168">
        <f>ROUND(SQRT(K47),2)</f>
        <v>7</v>
      </c>
    </row>
    <row r="48" spans="2:16" x14ac:dyDescent="0.25">
      <c r="B48" s="169">
        <v>4</v>
      </c>
      <c r="C48" s="168">
        <v>128</v>
      </c>
      <c r="D48" s="168">
        <v>528</v>
      </c>
      <c r="F48" s="169">
        <v>4</v>
      </c>
      <c r="G48" s="209">
        <v>128</v>
      </c>
      <c r="H48" s="168">
        <v>330</v>
      </c>
      <c r="J48" s="169">
        <v>2</v>
      </c>
      <c r="K48" s="168">
        <v>92</v>
      </c>
      <c r="L48" s="168">
        <f t="shared" ref="L48:L56" si="10">-ABS(K48)</f>
        <v>-92</v>
      </c>
      <c r="M48" s="168">
        <f t="shared" ref="M48:M56" si="11">ABS(L48)</f>
        <v>92</v>
      </c>
      <c r="N48" s="168">
        <f t="shared" ref="N48:N56" si="12">MOD(K48,3)</f>
        <v>2</v>
      </c>
      <c r="O48" s="168">
        <f t="shared" ref="O48:O56" si="13">POWER(J48,3)</f>
        <v>8</v>
      </c>
      <c r="P48" s="168">
        <f t="shared" ref="P48:P56" si="14">SQRT(K48)</f>
        <v>9.5916630466254382</v>
      </c>
    </row>
    <row r="49" spans="2:16" x14ac:dyDescent="0.25">
      <c r="B49" s="169">
        <v>5</v>
      </c>
      <c r="C49" s="168">
        <v>422</v>
      </c>
      <c r="D49" s="168">
        <v>486</v>
      </c>
      <c r="F49" s="169">
        <v>5</v>
      </c>
      <c r="G49" s="209">
        <v>422</v>
      </c>
      <c r="H49" s="168">
        <v>422</v>
      </c>
      <c r="J49" s="169">
        <v>3</v>
      </c>
      <c r="K49" s="168">
        <v>49</v>
      </c>
      <c r="L49" s="168">
        <f t="shared" si="10"/>
        <v>-49</v>
      </c>
      <c r="M49" s="168">
        <f t="shared" si="11"/>
        <v>49</v>
      </c>
      <c r="N49" s="168">
        <f t="shared" si="12"/>
        <v>1</v>
      </c>
      <c r="O49" s="168">
        <f t="shared" si="13"/>
        <v>27</v>
      </c>
      <c r="P49" s="168">
        <f t="shared" si="14"/>
        <v>7</v>
      </c>
    </row>
    <row r="50" spans="2:16" x14ac:dyDescent="0.25">
      <c r="B50" s="169">
        <v>6</v>
      </c>
      <c r="C50" s="168">
        <v>206</v>
      </c>
      <c r="D50" s="168">
        <v>422</v>
      </c>
      <c r="F50" s="169">
        <v>6</v>
      </c>
      <c r="G50" s="209">
        <v>206</v>
      </c>
      <c r="H50" s="168">
        <v>486</v>
      </c>
      <c r="J50" s="169">
        <v>4</v>
      </c>
      <c r="K50" s="168">
        <v>32</v>
      </c>
      <c r="L50" s="168">
        <f t="shared" si="10"/>
        <v>-32</v>
      </c>
      <c r="M50" s="168">
        <f t="shared" si="11"/>
        <v>32</v>
      </c>
      <c r="N50" s="168">
        <f t="shared" si="12"/>
        <v>2</v>
      </c>
      <c r="O50" s="168">
        <f t="shared" si="13"/>
        <v>64</v>
      </c>
      <c r="P50" s="168">
        <f t="shared" si="14"/>
        <v>5.6568542494923806</v>
      </c>
    </row>
    <row r="51" spans="2:16" x14ac:dyDescent="0.25">
      <c r="B51" s="169">
        <v>7</v>
      </c>
      <c r="C51" s="168">
        <v>942</v>
      </c>
      <c r="D51" s="168">
        <v>330</v>
      </c>
      <c r="F51" s="169">
        <v>7</v>
      </c>
      <c r="G51" s="209">
        <v>942</v>
      </c>
      <c r="H51" s="168">
        <v>528</v>
      </c>
      <c r="J51" s="169">
        <v>5</v>
      </c>
      <c r="K51" s="168">
        <v>43</v>
      </c>
      <c r="L51" s="168">
        <f t="shared" si="10"/>
        <v>-43</v>
      </c>
      <c r="M51" s="168">
        <f t="shared" si="11"/>
        <v>43</v>
      </c>
      <c r="N51" s="168">
        <f t="shared" si="12"/>
        <v>1</v>
      </c>
      <c r="O51" s="168">
        <f t="shared" si="13"/>
        <v>125</v>
      </c>
      <c r="P51" s="168">
        <f t="shared" si="14"/>
        <v>6.5574385243020004</v>
      </c>
    </row>
    <row r="52" spans="2:16" x14ac:dyDescent="0.25">
      <c r="B52" s="169">
        <v>8</v>
      </c>
      <c r="C52" s="168">
        <v>296</v>
      </c>
      <c r="D52" s="168">
        <v>296</v>
      </c>
      <c r="F52" s="169">
        <v>8</v>
      </c>
      <c r="G52" s="209">
        <v>296</v>
      </c>
      <c r="H52" s="168">
        <v>813</v>
      </c>
      <c r="J52" s="169">
        <v>6</v>
      </c>
      <c r="K52" s="168">
        <v>57</v>
      </c>
      <c r="L52" s="168">
        <f t="shared" si="10"/>
        <v>-57</v>
      </c>
      <c r="M52" s="168">
        <f t="shared" si="11"/>
        <v>57</v>
      </c>
      <c r="N52" s="168">
        <f t="shared" si="12"/>
        <v>0</v>
      </c>
      <c r="O52" s="168">
        <f t="shared" si="13"/>
        <v>216</v>
      </c>
      <c r="P52" s="168">
        <f t="shared" si="14"/>
        <v>7.5498344352707498</v>
      </c>
    </row>
    <row r="53" spans="2:16" x14ac:dyDescent="0.25">
      <c r="B53" s="169">
        <v>9</v>
      </c>
      <c r="C53" s="168">
        <v>813</v>
      </c>
      <c r="D53" s="168">
        <v>206</v>
      </c>
      <c r="F53" s="169">
        <v>9</v>
      </c>
      <c r="G53" s="209">
        <v>813</v>
      </c>
      <c r="H53" s="168">
        <v>821</v>
      </c>
      <c r="J53" s="169">
        <v>7</v>
      </c>
      <c r="K53" s="168">
        <v>45</v>
      </c>
      <c r="L53" s="168">
        <f t="shared" si="10"/>
        <v>-45</v>
      </c>
      <c r="M53" s="168">
        <f t="shared" si="11"/>
        <v>45</v>
      </c>
      <c r="N53" s="168">
        <f t="shared" si="12"/>
        <v>0</v>
      </c>
      <c r="O53" s="168">
        <f t="shared" si="13"/>
        <v>343</v>
      </c>
      <c r="P53" s="168">
        <f>SQRT(K53)</f>
        <v>6.7082039324993694</v>
      </c>
    </row>
    <row r="54" spans="2:16" x14ac:dyDescent="0.25">
      <c r="B54" s="169">
        <v>10</v>
      </c>
      <c r="C54" s="168">
        <v>330</v>
      </c>
      <c r="D54" s="168">
        <v>128</v>
      </c>
      <c r="F54" s="169">
        <v>10</v>
      </c>
      <c r="G54" s="209">
        <v>330</v>
      </c>
      <c r="H54" s="168">
        <v>942</v>
      </c>
      <c r="J54" s="169">
        <v>8</v>
      </c>
      <c r="K54" s="168">
        <v>59</v>
      </c>
      <c r="L54" s="168">
        <f t="shared" si="10"/>
        <v>-59</v>
      </c>
      <c r="M54" s="168">
        <f t="shared" si="11"/>
        <v>59</v>
      </c>
      <c r="N54" s="168">
        <f t="shared" si="12"/>
        <v>2</v>
      </c>
      <c r="O54" s="168">
        <f t="shared" si="13"/>
        <v>512</v>
      </c>
      <c r="P54" s="168">
        <f t="shared" si="14"/>
        <v>7.6811457478686078</v>
      </c>
    </row>
    <row r="55" spans="2:16" x14ac:dyDescent="0.25">
      <c r="J55" s="169">
        <v>9</v>
      </c>
      <c r="K55" s="168">
        <v>42</v>
      </c>
      <c r="L55" s="168">
        <f t="shared" si="10"/>
        <v>-42</v>
      </c>
      <c r="M55" s="168">
        <f t="shared" si="11"/>
        <v>42</v>
      </c>
      <c r="N55" s="168">
        <f t="shared" si="12"/>
        <v>0</v>
      </c>
      <c r="O55" s="168">
        <f t="shared" si="13"/>
        <v>729</v>
      </c>
      <c r="P55" s="168">
        <f t="shared" si="14"/>
        <v>6.4807406984078604</v>
      </c>
    </row>
    <row r="56" spans="2:16" x14ac:dyDescent="0.25">
      <c r="J56" s="169">
        <v>10</v>
      </c>
      <c r="K56" s="168">
        <v>74</v>
      </c>
      <c r="L56" s="168">
        <f t="shared" si="10"/>
        <v>-74</v>
      </c>
      <c r="M56" s="168">
        <f t="shared" si="11"/>
        <v>74</v>
      </c>
      <c r="N56" s="168">
        <f t="shared" si="12"/>
        <v>2</v>
      </c>
      <c r="O56" s="168">
        <f t="shared" si="13"/>
        <v>1000</v>
      </c>
      <c r="P56" s="168">
        <f t="shared" si="14"/>
        <v>8.6023252670426267</v>
      </c>
    </row>
  </sheetData>
  <mergeCells count="11">
    <mergeCell ref="J45:P45"/>
    <mergeCell ref="B3:D3"/>
    <mergeCell ref="B17:D17"/>
    <mergeCell ref="B30:D30"/>
    <mergeCell ref="B43:D43"/>
    <mergeCell ref="J31:N31"/>
    <mergeCell ref="F43:H43"/>
    <mergeCell ref="F3:H3"/>
    <mergeCell ref="F17:H17"/>
    <mergeCell ref="F30:H30"/>
    <mergeCell ref="J17:M17"/>
  </mergeCells>
  <conditionalFormatting sqref="C45:C54">
    <cfRule type="top10" dxfId="1" priority="6" rank="3"/>
  </conditionalFormatting>
  <conditionalFormatting sqref="G45:G54">
    <cfRule type="top10" dxfId="0" priority="2" bottom="1" rank="3"/>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C5F0-736C-4467-B50E-FE7290689039}">
  <dimension ref="B3:G38"/>
  <sheetViews>
    <sheetView topLeftCell="A16" workbookViewId="0">
      <selection activeCell="B3" sqref="B3:G32"/>
    </sheetView>
  </sheetViews>
  <sheetFormatPr defaultRowHeight="15" x14ac:dyDescent="0.25"/>
  <cols>
    <col min="2" max="2" width="5" bestFit="1" customWidth="1"/>
    <col min="3" max="3" width="19.5703125" bestFit="1" customWidth="1"/>
    <col min="4" max="4" width="49.42578125" bestFit="1" customWidth="1"/>
    <col min="5" max="5" width="37" bestFit="1" customWidth="1"/>
    <col min="6" max="6" width="21.7109375" bestFit="1" customWidth="1"/>
    <col min="7" max="7" width="27.5703125" bestFit="1" customWidth="1"/>
  </cols>
  <sheetData>
    <row r="3" spans="2:7" ht="20.100000000000001" customHeight="1" x14ac:dyDescent="0.25">
      <c r="B3" s="239" t="s">
        <v>559</v>
      </c>
      <c r="C3" s="239" t="s">
        <v>560</v>
      </c>
      <c r="D3" s="239" t="s">
        <v>561</v>
      </c>
      <c r="E3" s="239" t="s">
        <v>752</v>
      </c>
      <c r="F3" s="239" t="s">
        <v>562</v>
      </c>
      <c r="G3" s="239" t="s">
        <v>563</v>
      </c>
    </row>
    <row r="4" spans="2:7" ht="20.100000000000001" customHeight="1" x14ac:dyDescent="0.25">
      <c r="B4" s="240">
        <v>1</v>
      </c>
      <c r="C4" s="241" t="s">
        <v>915</v>
      </c>
      <c r="D4" s="242" t="s">
        <v>916</v>
      </c>
      <c r="E4" s="242" t="s">
        <v>917</v>
      </c>
      <c r="F4" s="242" t="s">
        <v>918</v>
      </c>
      <c r="G4" s="242" t="s">
        <v>916</v>
      </c>
    </row>
    <row r="5" spans="2:7" ht="20.100000000000001" customHeight="1" x14ac:dyDescent="0.25">
      <c r="B5" s="240">
        <v>2</v>
      </c>
      <c r="C5" s="241" t="s">
        <v>919</v>
      </c>
      <c r="D5" s="242" t="s">
        <v>920</v>
      </c>
      <c r="E5" s="242" t="s">
        <v>921</v>
      </c>
      <c r="F5" s="242" t="s">
        <v>922</v>
      </c>
      <c r="G5" s="242" t="s">
        <v>920</v>
      </c>
    </row>
    <row r="6" spans="2:7" ht="20.100000000000001" customHeight="1" x14ac:dyDescent="0.25">
      <c r="B6" s="249">
        <v>3</v>
      </c>
      <c r="C6" s="250" t="s">
        <v>923</v>
      </c>
      <c r="D6" s="251" t="s">
        <v>924</v>
      </c>
      <c r="E6" s="251" t="s">
        <v>925</v>
      </c>
      <c r="F6" s="251" t="s">
        <v>926</v>
      </c>
      <c r="G6" s="251" t="s">
        <v>927</v>
      </c>
    </row>
    <row r="7" spans="2:7" ht="20.100000000000001" customHeight="1" x14ac:dyDescent="0.25">
      <c r="B7" s="249">
        <v>4</v>
      </c>
      <c r="C7" s="250" t="s">
        <v>928</v>
      </c>
      <c r="D7" s="251" t="s">
        <v>929</v>
      </c>
      <c r="E7" s="251" t="s">
        <v>930</v>
      </c>
      <c r="F7" s="251" t="s">
        <v>931</v>
      </c>
      <c r="G7" s="251" t="s">
        <v>932</v>
      </c>
    </row>
    <row r="8" spans="2:7" ht="20.100000000000001" customHeight="1" x14ac:dyDescent="0.25">
      <c r="B8" s="249">
        <v>5</v>
      </c>
      <c r="C8" s="250" t="s">
        <v>933</v>
      </c>
      <c r="D8" s="251" t="s">
        <v>934</v>
      </c>
      <c r="E8" s="251" t="s">
        <v>935</v>
      </c>
      <c r="F8" s="251" t="s">
        <v>936</v>
      </c>
      <c r="G8" s="251" t="s">
        <v>937</v>
      </c>
    </row>
    <row r="9" spans="2:7" ht="20.100000000000001" customHeight="1" x14ac:dyDescent="0.25">
      <c r="B9" s="249">
        <v>6</v>
      </c>
      <c r="C9" s="250" t="s">
        <v>938</v>
      </c>
      <c r="D9" s="251" t="s">
        <v>939</v>
      </c>
      <c r="E9" s="251" t="s">
        <v>940</v>
      </c>
      <c r="F9" s="251" t="s">
        <v>941</v>
      </c>
      <c r="G9" s="251" t="s">
        <v>942</v>
      </c>
    </row>
    <row r="10" spans="2:7" ht="20.100000000000001" customHeight="1" x14ac:dyDescent="0.25">
      <c r="B10" s="249">
        <v>7</v>
      </c>
      <c r="C10" s="250" t="s">
        <v>943</v>
      </c>
      <c r="D10" s="251" t="s">
        <v>944</v>
      </c>
      <c r="E10" s="251" t="s">
        <v>945</v>
      </c>
      <c r="F10" s="251" t="s">
        <v>946</v>
      </c>
      <c r="G10" s="251" t="s">
        <v>947</v>
      </c>
    </row>
    <row r="11" spans="2:7" ht="20.100000000000001" customHeight="1" x14ac:dyDescent="0.25">
      <c r="B11" s="249">
        <v>8</v>
      </c>
      <c r="C11" s="250" t="s">
        <v>948</v>
      </c>
      <c r="D11" s="251" t="s">
        <v>949</v>
      </c>
      <c r="E11" s="251" t="s">
        <v>950</v>
      </c>
      <c r="F11" s="251" t="s">
        <v>951</v>
      </c>
      <c r="G11" s="251" t="s">
        <v>952</v>
      </c>
    </row>
    <row r="12" spans="2:7" ht="20.100000000000001" customHeight="1" x14ac:dyDescent="0.25">
      <c r="B12" s="249">
        <v>9</v>
      </c>
      <c r="C12" s="250" t="s">
        <v>953</v>
      </c>
      <c r="D12" s="251" t="s">
        <v>954</v>
      </c>
      <c r="E12" s="251" t="s">
        <v>955</v>
      </c>
      <c r="F12" s="251" t="s">
        <v>951</v>
      </c>
      <c r="G12" s="251" t="s">
        <v>956</v>
      </c>
    </row>
    <row r="13" spans="2:7" ht="20.100000000000001" customHeight="1" x14ac:dyDescent="0.25">
      <c r="B13" s="249">
        <v>10</v>
      </c>
      <c r="C13" s="250" t="s">
        <v>957</v>
      </c>
      <c r="D13" s="251" t="s">
        <v>958</v>
      </c>
      <c r="E13" s="251" t="s">
        <v>959</v>
      </c>
      <c r="F13" s="251" t="s">
        <v>951</v>
      </c>
      <c r="G13" s="251" t="s">
        <v>960</v>
      </c>
    </row>
    <row r="14" spans="2:7" ht="20.100000000000001" customHeight="1" x14ac:dyDescent="0.25">
      <c r="B14" s="267">
        <v>11</v>
      </c>
      <c r="C14" s="268" t="s">
        <v>961</v>
      </c>
      <c r="D14" s="269" t="s">
        <v>962</v>
      </c>
      <c r="E14" s="269" t="s">
        <v>963</v>
      </c>
      <c r="F14" s="269" t="s">
        <v>964</v>
      </c>
      <c r="G14" s="269" t="s">
        <v>965</v>
      </c>
    </row>
    <row r="15" spans="2:7" ht="20.100000000000001" customHeight="1" x14ac:dyDescent="0.25">
      <c r="B15" s="267">
        <v>12</v>
      </c>
      <c r="C15" s="268" t="s">
        <v>966</v>
      </c>
      <c r="D15" s="269" t="s">
        <v>967</v>
      </c>
      <c r="E15" s="269" t="s">
        <v>968</v>
      </c>
      <c r="F15" s="269" t="s">
        <v>969</v>
      </c>
      <c r="G15" s="269" t="s">
        <v>970</v>
      </c>
    </row>
    <row r="16" spans="2:7" ht="20.100000000000001" customHeight="1" x14ac:dyDescent="0.25">
      <c r="B16" s="267">
        <v>13</v>
      </c>
      <c r="C16" s="268" t="s">
        <v>971</v>
      </c>
      <c r="D16" s="269" t="s">
        <v>972</v>
      </c>
      <c r="E16" s="269" t="s">
        <v>973</v>
      </c>
      <c r="F16" s="269" t="s">
        <v>974</v>
      </c>
      <c r="G16" s="269" t="s">
        <v>975</v>
      </c>
    </row>
    <row r="17" spans="2:7" ht="20.100000000000001" customHeight="1" x14ac:dyDescent="0.25">
      <c r="B17" s="264">
        <v>14</v>
      </c>
      <c r="C17" s="265" t="s">
        <v>976</v>
      </c>
      <c r="D17" s="266" t="s">
        <v>977</v>
      </c>
      <c r="E17" s="266" t="s">
        <v>978</v>
      </c>
      <c r="F17" s="266" t="s">
        <v>979</v>
      </c>
      <c r="G17" s="266" t="s">
        <v>980</v>
      </c>
    </row>
    <row r="18" spans="2:7" ht="20.100000000000001" customHeight="1" x14ac:dyDescent="0.25">
      <c r="B18" s="264">
        <v>15</v>
      </c>
      <c r="C18" s="265" t="s">
        <v>981</v>
      </c>
      <c r="D18" s="266" t="s">
        <v>982</v>
      </c>
      <c r="E18" s="266" t="s">
        <v>983</v>
      </c>
      <c r="F18" s="266" t="s">
        <v>984</v>
      </c>
      <c r="G18" s="266" t="s">
        <v>985</v>
      </c>
    </row>
    <row r="19" spans="2:7" ht="20.100000000000001" customHeight="1" x14ac:dyDescent="0.25">
      <c r="B19" s="279">
        <v>16</v>
      </c>
      <c r="C19" s="280" t="s">
        <v>986</v>
      </c>
      <c r="D19" s="281" t="s">
        <v>987</v>
      </c>
      <c r="E19" s="281" t="s">
        <v>988</v>
      </c>
      <c r="F19" s="281" t="s">
        <v>989</v>
      </c>
      <c r="G19" s="281" t="s">
        <v>990</v>
      </c>
    </row>
    <row r="20" spans="2:7" ht="20.100000000000001" customHeight="1" x14ac:dyDescent="0.25">
      <c r="B20" s="243">
        <v>17</v>
      </c>
      <c r="C20" s="244" t="s">
        <v>991</v>
      </c>
      <c r="D20" s="245" t="s">
        <v>992</v>
      </c>
      <c r="E20" s="245" t="s">
        <v>993</v>
      </c>
      <c r="F20" s="245" t="s">
        <v>994</v>
      </c>
      <c r="G20" s="245" t="s">
        <v>995</v>
      </c>
    </row>
    <row r="21" spans="2:7" ht="20.100000000000001" customHeight="1" x14ac:dyDescent="0.25">
      <c r="B21" s="243">
        <v>18</v>
      </c>
      <c r="C21" s="244" t="s">
        <v>996</v>
      </c>
      <c r="D21" s="245" t="s">
        <v>997</v>
      </c>
      <c r="E21" s="245" t="s">
        <v>998</v>
      </c>
      <c r="F21" s="245" t="s">
        <v>134</v>
      </c>
      <c r="G21" s="245" t="s">
        <v>999</v>
      </c>
    </row>
    <row r="22" spans="2:7" ht="20.100000000000001" customHeight="1" x14ac:dyDescent="0.25">
      <c r="B22" s="258">
        <v>19</v>
      </c>
      <c r="C22" s="259" t="s">
        <v>1000</v>
      </c>
      <c r="D22" s="260" t="s">
        <v>1001</v>
      </c>
      <c r="E22" s="260" t="s">
        <v>1002</v>
      </c>
      <c r="F22" s="260" t="s">
        <v>1003</v>
      </c>
      <c r="G22" s="260" t="s">
        <v>1004</v>
      </c>
    </row>
    <row r="23" spans="2:7" ht="20.100000000000001" customHeight="1" x14ac:dyDescent="0.25">
      <c r="B23" s="258">
        <v>20</v>
      </c>
      <c r="C23" s="259" t="s">
        <v>1005</v>
      </c>
      <c r="D23" s="260" t="s">
        <v>1006</v>
      </c>
      <c r="E23" s="260" t="s">
        <v>1007</v>
      </c>
      <c r="F23" s="260" t="s">
        <v>1008</v>
      </c>
      <c r="G23" s="260" t="s">
        <v>1009</v>
      </c>
    </row>
    <row r="24" spans="2:7" ht="20.100000000000001" customHeight="1" x14ac:dyDescent="0.25">
      <c r="B24" s="261">
        <v>21</v>
      </c>
      <c r="C24" s="262" t="s">
        <v>1010</v>
      </c>
      <c r="D24" s="263" t="s">
        <v>1011</v>
      </c>
      <c r="E24" s="263" t="s">
        <v>1012</v>
      </c>
      <c r="F24" s="263" t="s">
        <v>1013</v>
      </c>
      <c r="G24" s="263" t="s">
        <v>1014</v>
      </c>
    </row>
    <row r="25" spans="2:7" ht="20.100000000000001" customHeight="1" x14ac:dyDescent="0.25">
      <c r="B25" s="261">
        <v>22</v>
      </c>
      <c r="C25" s="262" t="s">
        <v>1015</v>
      </c>
      <c r="D25" s="263" t="s">
        <v>1016</v>
      </c>
      <c r="E25" s="263" t="s">
        <v>1017</v>
      </c>
      <c r="F25" s="263" t="s">
        <v>1018</v>
      </c>
      <c r="G25" s="263" t="s">
        <v>1019</v>
      </c>
    </row>
    <row r="26" spans="2:7" ht="20.100000000000001" customHeight="1" x14ac:dyDescent="0.25">
      <c r="B26" s="279">
        <v>23</v>
      </c>
      <c r="C26" s="280" t="s">
        <v>1020</v>
      </c>
      <c r="D26" s="281" t="s">
        <v>1021</v>
      </c>
      <c r="E26" s="281" t="s">
        <v>1022</v>
      </c>
      <c r="F26" s="281" t="s">
        <v>1023</v>
      </c>
      <c r="G26" s="281" t="s">
        <v>1024</v>
      </c>
    </row>
    <row r="27" spans="2:7" ht="20.100000000000001" customHeight="1" x14ac:dyDescent="0.25">
      <c r="B27" s="285">
        <v>24</v>
      </c>
      <c r="C27" s="286" t="s">
        <v>628</v>
      </c>
      <c r="D27" s="287" t="s">
        <v>1025</v>
      </c>
      <c r="E27" s="287" t="s">
        <v>1026</v>
      </c>
      <c r="F27" s="287" t="s">
        <v>1027</v>
      </c>
      <c r="G27" s="287" t="s">
        <v>1028</v>
      </c>
    </row>
    <row r="28" spans="2:7" ht="20.100000000000001" customHeight="1" x14ac:dyDescent="0.25">
      <c r="B28" s="288">
        <v>25</v>
      </c>
      <c r="C28" s="289" t="s">
        <v>1029</v>
      </c>
      <c r="D28" s="290" t="s">
        <v>1030</v>
      </c>
      <c r="E28" s="290" t="s">
        <v>1031</v>
      </c>
      <c r="F28" s="290" t="s">
        <v>1032</v>
      </c>
      <c r="G28" s="290" t="s">
        <v>1033</v>
      </c>
    </row>
    <row r="29" spans="2:7" ht="20.100000000000001" customHeight="1" x14ac:dyDescent="0.25">
      <c r="B29" s="288">
        <v>26</v>
      </c>
      <c r="C29" s="289" t="s">
        <v>1034</v>
      </c>
      <c r="D29" s="290" t="s">
        <v>1035</v>
      </c>
      <c r="E29" s="290" t="s">
        <v>1036</v>
      </c>
      <c r="F29" s="290" t="s">
        <v>1037</v>
      </c>
      <c r="G29" s="290" t="s">
        <v>1038</v>
      </c>
    </row>
    <row r="30" spans="2:7" ht="20.100000000000001" customHeight="1" x14ac:dyDescent="0.25">
      <c r="B30" s="282">
        <v>27</v>
      </c>
      <c r="C30" s="283" t="s">
        <v>1039</v>
      </c>
      <c r="D30" s="284" t="s">
        <v>1039</v>
      </c>
      <c r="E30" s="284" t="s">
        <v>1040</v>
      </c>
      <c r="F30" s="284" t="s">
        <v>1041</v>
      </c>
      <c r="G30" s="284" t="s">
        <v>1042</v>
      </c>
    </row>
    <row r="31" spans="2:7" ht="20.100000000000001" customHeight="1" x14ac:dyDescent="0.25">
      <c r="B31" s="282">
        <v>28</v>
      </c>
      <c r="C31" s="283" t="s">
        <v>1043</v>
      </c>
      <c r="D31" s="284" t="s">
        <v>1043</v>
      </c>
      <c r="E31" s="284" t="s">
        <v>1044</v>
      </c>
      <c r="F31" s="284" t="s">
        <v>1045</v>
      </c>
      <c r="G31" s="284" t="s">
        <v>1046</v>
      </c>
    </row>
    <row r="32" spans="2:7" ht="20.100000000000001" customHeight="1" x14ac:dyDescent="0.25">
      <c r="B32" s="331" t="s">
        <v>1047</v>
      </c>
      <c r="C32" s="332"/>
      <c r="D32" s="332"/>
      <c r="E32" s="332"/>
      <c r="F32" s="332"/>
      <c r="G32" s="333"/>
    </row>
    <row r="38" spans="2:2" x14ac:dyDescent="0.25">
      <c r="B38" s="246"/>
    </row>
  </sheetData>
  <mergeCells count="1">
    <mergeCell ref="B32:G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69E9-8C6C-4125-9601-CDF979327967}">
  <dimension ref="A3:I120"/>
  <sheetViews>
    <sheetView zoomScale="115" zoomScaleNormal="115" workbookViewId="0">
      <selection activeCell="I17" sqref="I17"/>
    </sheetView>
  </sheetViews>
  <sheetFormatPr defaultRowHeight="15" x14ac:dyDescent="0.25"/>
  <cols>
    <col min="1" max="1" width="16.85546875" customWidth="1"/>
    <col min="2" max="2" width="12.5703125" bestFit="1" customWidth="1"/>
    <col min="3" max="3" width="17.5703125" bestFit="1" customWidth="1"/>
    <col min="4" max="4" width="15.85546875" bestFit="1" customWidth="1"/>
    <col min="5" max="5" width="25.28515625" customWidth="1"/>
    <col min="6" max="6" width="27.140625" customWidth="1"/>
    <col min="7" max="7" width="29.7109375" bestFit="1" customWidth="1"/>
    <col min="8" max="8" width="21.5703125" customWidth="1"/>
    <col min="9" max="9" width="29.7109375" bestFit="1" customWidth="1"/>
  </cols>
  <sheetData>
    <row r="3" spans="2:7" x14ac:dyDescent="0.25">
      <c r="B3" s="247" t="s">
        <v>1055</v>
      </c>
      <c r="C3" s="247" t="s">
        <v>1056</v>
      </c>
      <c r="D3" s="247" t="s">
        <v>1057</v>
      </c>
    </row>
    <row r="4" spans="2:7" x14ac:dyDescent="0.25">
      <c r="B4" s="248" t="s">
        <v>1053</v>
      </c>
      <c r="C4" s="272">
        <v>46313</v>
      </c>
      <c r="D4" s="273" t="str">
        <f ca="1">TEXT(TODAY(), "mm-dd-yyyy")</f>
        <v>10-19-2026</v>
      </c>
    </row>
    <row r="5" spans="2:7" x14ac:dyDescent="0.25">
      <c r="B5" s="248" t="s">
        <v>1054</v>
      </c>
      <c r="C5" s="274">
        <v>0.68472222222222223</v>
      </c>
      <c r="D5" s="273" t="str">
        <f ca="1">TEXT(NOW()+7, "h:mm:ss AM/PM")</f>
        <v>11:45:30 PM</v>
      </c>
    </row>
    <row r="6" spans="2:7" x14ac:dyDescent="0.25">
      <c r="B6" s="248" t="s">
        <v>1054</v>
      </c>
      <c r="C6" s="274"/>
      <c r="D6" s="273" t="str">
        <f ca="1">TEXT(NOW() + (7/24), "h:mm:ss AM/PM")</f>
        <v>6:45:30 AM</v>
      </c>
    </row>
    <row r="8" spans="2:7" ht="15.75" thickBot="1" x14ac:dyDescent="0.3"/>
    <row r="9" spans="2:7" x14ac:dyDescent="0.25">
      <c r="B9" s="118" t="s">
        <v>469</v>
      </c>
      <c r="C9" s="119" t="s">
        <v>1052</v>
      </c>
      <c r="D9" s="119" t="s">
        <v>1048</v>
      </c>
      <c r="E9" s="119" t="s">
        <v>745</v>
      </c>
      <c r="F9" s="119" t="s">
        <v>1049</v>
      </c>
      <c r="G9" s="120" t="s">
        <v>469</v>
      </c>
    </row>
    <row r="10" spans="2:7" x14ac:dyDescent="0.25">
      <c r="B10" s="252">
        <v>46313</v>
      </c>
      <c r="C10" s="275" t="str">
        <f t="shared" ref="C10:C27" si="0">TEXT(B10,"DDD")</f>
        <v>Sun</v>
      </c>
      <c r="D10" s="275">
        <f>DAY(B10)</f>
        <v>18</v>
      </c>
      <c r="E10" s="275">
        <f>MONTH(B10)</f>
        <v>10</v>
      </c>
      <c r="F10" s="275">
        <f>YEAR(B10)</f>
        <v>2026</v>
      </c>
      <c r="G10" s="276">
        <f>DATE(F10,E10,D10)</f>
        <v>46313</v>
      </c>
    </row>
    <row r="11" spans="2:7" x14ac:dyDescent="0.25">
      <c r="B11" s="252">
        <v>46314</v>
      </c>
      <c r="C11" s="275" t="str">
        <f t="shared" si="0"/>
        <v>Mon</v>
      </c>
      <c r="D11" s="275">
        <f t="shared" ref="D11:D27" si="1">DAY(B11)</f>
        <v>19</v>
      </c>
      <c r="E11" s="275">
        <f t="shared" ref="E11:E27" si="2">MONTH(B11)</f>
        <v>10</v>
      </c>
      <c r="F11" s="275">
        <f t="shared" ref="F11:F27" si="3">YEAR(B11)</f>
        <v>2026</v>
      </c>
      <c r="G11" s="276">
        <f t="shared" ref="G11:G27" si="4">DATE(F11,E11,D11)</f>
        <v>46314</v>
      </c>
    </row>
    <row r="12" spans="2:7" x14ac:dyDescent="0.25">
      <c r="B12" s="252">
        <v>46315</v>
      </c>
      <c r="C12" s="275" t="str">
        <f t="shared" si="0"/>
        <v>Tue</v>
      </c>
      <c r="D12" s="275">
        <f t="shared" si="1"/>
        <v>20</v>
      </c>
      <c r="E12" s="275">
        <f t="shared" si="2"/>
        <v>10</v>
      </c>
      <c r="F12" s="275">
        <f t="shared" si="3"/>
        <v>2026</v>
      </c>
      <c r="G12" s="276">
        <f t="shared" si="4"/>
        <v>46315</v>
      </c>
    </row>
    <row r="13" spans="2:7" x14ac:dyDescent="0.25">
      <c r="B13" s="252">
        <v>46316</v>
      </c>
      <c r="C13" s="275" t="str">
        <f t="shared" si="0"/>
        <v>Wed</v>
      </c>
      <c r="D13" s="275">
        <f t="shared" si="1"/>
        <v>21</v>
      </c>
      <c r="E13" s="275">
        <f t="shared" si="2"/>
        <v>10</v>
      </c>
      <c r="F13" s="275">
        <f t="shared" si="3"/>
        <v>2026</v>
      </c>
      <c r="G13" s="276">
        <f t="shared" si="4"/>
        <v>46316</v>
      </c>
    </row>
    <row r="14" spans="2:7" x14ac:dyDescent="0.25">
      <c r="B14" s="252">
        <v>46317</v>
      </c>
      <c r="C14" s="275" t="str">
        <f t="shared" si="0"/>
        <v>Thu</v>
      </c>
      <c r="D14" s="275">
        <f t="shared" si="1"/>
        <v>22</v>
      </c>
      <c r="E14" s="275">
        <f t="shared" si="2"/>
        <v>10</v>
      </c>
      <c r="F14" s="275">
        <f t="shared" si="3"/>
        <v>2026</v>
      </c>
      <c r="G14" s="276">
        <f t="shared" si="4"/>
        <v>46317</v>
      </c>
    </row>
    <row r="15" spans="2:7" x14ac:dyDescent="0.25">
      <c r="B15" s="252">
        <v>46318</v>
      </c>
      <c r="C15" s="275" t="str">
        <f t="shared" si="0"/>
        <v>Fri</v>
      </c>
      <c r="D15" s="275">
        <f t="shared" si="1"/>
        <v>23</v>
      </c>
      <c r="E15" s="275">
        <f t="shared" si="2"/>
        <v>10</v>
      </c>
      <c r="F15" s="275">
        <f t="shared" si="3"/>
        <v>2026</v>
      </c>
      <c r="G15" s="276">
        <f t="shared" si="4"/>
        <v>46318</v>
      </c>
    </row>
    <row r="16" spans="2:7" x14ac:dyDescent="0.25">
      <c r="B16" s="252">
        <v>46319</v>
      </c>
      <c r="C16" s="275" t="str">
        <f t="shared" si="0"/>
        <v>Sat</v>
      </c>
      <c r="D16" s="275">
        <f t="shared" si="1"/>
        <v>24</v>
      </c>
      <c r="E16" s="275">
        <f t="shared" si="2"/>
        <v>10</v>
      </c>
      <c r="F16" s="275">
        <f t="shared" si="3"/>
        <v>2026</v>
      </c>
      <c r="G16" s="276">
        <f t="shared" si="4"/>
        <v>46319</v>
      </c>
    </row>
    <row r="17" spans="2:7" x14ac:dyDescent="0.25">
      <c r="B17" s="252">
        <v>46320</v>
      </c>
      <c r="C17" s="275" t="str">
        <f t="shared" si="0"/>
        <v>Sun</v>
      </c>
      <c r="D17" s="275">
        <f t="shared" si="1"/>
        <v>25</v>
      </c>
      <c r="E17" s="275">
        <f t="shared" si="2"/>
        <v>10</v>
      </c>
      <c r="F17" s="275">
        <f t="shared" si="3"/>
        <v>2026</v>
      </c>
      <c r="G17" s="276">
        <f t="shared" si="4"/>
        <v>46320</v>
      </c>
    </row>
    <row r="18" spans="2:7" x14ac:dyDescent="0.25">
      <c r="B18" s="252">
        <v>46321</v>
      </c>
      <c r="C18" s="275" t="str">
        <f t="shared" si="0"/>
        <v>Mon</v>
      </c>
      <c r="D18" s="275">
        <f t="shared" si="1"/>
        <v>26</v>
      </c>
      <c r="E18" s="275">
        <f t="shared" si="2"/>
        <v>10</v>
      </c>
      <c r="F18" s="275">
        <f t="shared" si="3"/>
        <v>2026</v>
      </c>
      <c r="G18" s="276">
        <f t="shared" si="4"/>
        <v>46321</v>
      </c>
    </row>
    <row r="19" spans="2:7" x14ac:dyDescent="0.25">
      <c r="B19" s="252">
        <v>46322</v>
      </c>
      <c r="C19" s="275" t="str">
        <f t="shared" si="0"/>
        <v>Tue</v>
      </c>
      <c r="D19" s="275">
        <f t="shared" si="1"/>
        <v>27</v>
      </c>
      <c r="E19" s="275">
        <f t="shared" si="2"/>
        <v>10</v>
      </c>
      <c r="F19" s="275">
        <f t="shared" si="3"/>
        <v>2026</v>
      </c>
      <c r="G19" s="276">
        <f t="shared" si="4"/>
        <v>46322</v>
      </c>
    </row>
    <row r="20" spans="2:7" x14ac:dyDescent="0.25">
      <c r="B20" s="252">
        <v>46323</v>
      </c>
      <c r="C20" s="275" t="str">
        <f t="shared" si="0"/>
        <v>Wed</v>
      </c>
      <c r="D20" s="275">
        <f t="shared" si="1"/>
        <v>28</v>
      </c>
      <c r="E20" s="275">
        <f t="shared" si="2"/>
        <v>10</v>
      </c>
      <c r="F20" s="275">
        <f t="shared" si="3"/>
        <v>2026</v>
      </c>
      <c r="G20" s="276">
        <f t="shared" si="4"/>
        <v>46323</v>
      </c>
    </row>
    <row r="21" spans="2:7" x14ac:dyDescent="0.25">
      <c r="B21" s="252">
        <v>46324</v>
      </c>
      <c r="C21" s="275" t="str">
        <f t="shared" si="0"/>
        <v>Thu</v>
      </c>
      <c r="D21" s="275">
        <f t="shared" si="1"/>
        <v>29</v>
      </c>
      <c r="E21" s="275">
        <f t="shared" si="2"/>
        <v>10</v>
      </c>
      <c r="F21" s="275">
        <f t="shared" si="3"/>
        <v>2026</v>
      </c>
      <c r="G21" s="276">
        <f t="shared" si="4"/>
        <v>46324</v>
      </c>
    </row>
    <row r="22" spans="2:7" x14ac:dyDescent="0.25">
      <c r="B22" s="252">
        <v>46325</v>
      </c>
      <c r="C22" s="275" t="str">
        <f t="shared" si="0"/>
        <v>Fri</v>
      </c>
      <c r="D22" s="275">
        <f t="shared" si="1"/>
        <v>30</v>
      </c>
      <c r="E22" s="275">
        <f t="shared" si="2"/>
        <v>10</v>
      </c>
      <c r="F22" s="275">
        <f t="shared" si="3"/>
        <v>2026</v>
      </c>
      <c r="G22" s="276">
        <f t="shared" si="4"/>
        <v>46325</v>
      </c>
    </row>
    <row r="23" spans="2:7" x14ac:dyDescent="0.25">
      <c r="B23" s="252">
        <v>46326</v>
      </c>
      <c r="C23" s="275" t="str">
        <f t="shared" si="0"/>
        <v>Sat</v>
      </c>
      <c r="D23" s="275">
        <f t="shared" si="1"/>
        <v>31</v>
      </c>
      <c r="E23" s="275">
        <f t="shared" si="2"/>
        <v>10</v>
      </c>
      <c r="F23" s="275">
        <f t="shared" si="3"/>
        <v>2026</v>
      </c>
      <c r="G23" s="276">
        <f t="shared" si="4"/>
        <v>46326</v>
      </c>
    </row>
    <row r="24" spans="2:7" x14ac:dyDescent="0.25">
      <c r="B24" s="252">
        <v>46327</v>
      </c>
      <c r="C24" s="275" t="str">
        <f t="shared" si="0"/>
        <v>Sun</v>
      </c>
      <c r="D24" s="275">
        <f t="shared" si="1"/>
        <v>1</v>
      </c>
      <c r="E24" s="275">
        <f t="shared" si="2"/>
        <v>11</v>
      </c>
      <c r="F24" s="275">
        <f t="shared" si="3"/>
        <v>2026</v>
      </c>
      <c r="G24" s="276">
        <f t="shared" si="4"/>
        <v>46327</v>
      </c>
    </row>
    <row r="25" spans="2:7" x14ac:dyDescent="0.25">
      <c r="B25" s="252">
        <v>46328</v>
      </c>
      <c r="C25" s="275" t="str">
        <f t="shared" si="0"/>
        <v>Mon</v>
      </c>
      <c r="D25" s="275">
        <f t="shared" si="1"/>
        <v>2</v>
      </c>
      <c r="E25" s="275">
        <f t="shared" si="2"/>
        <v>11</v>
      </c>
      <c r="F25" s="275">
        <f t="shared" si="3"/>
        <v>2026</v>
      </c>
      <c r="G25" s="276">
        <f t="shared" si="4"/>
        <v>46328</v>
      </c>
    </row>
    <row r="26" spans="2:7" x14ac:dyDescent="0.25">
      <c r="B26" s="252">
        <v>46329</v>
      </c>
      <c r="C26" s="275" t="str">
        <f t="shared" si="0"/>
        <v>Tue</v>
      </c>
      <c r="D26" s="275">
        <f t="shared" si="1"/>
        <v>3</v>
      </c>
      <c r="E26" s="275">
        <f t="shared" si="2"/>
        <v>11</v>
      </c>
      <c r="F26" s="275">
        <f t="shared" si="3"/>
        <v>2026</v>
      </c>
      <c r="G26" s="276">
        <f t="shared" si="4"/>
        <v>46329</v>
      </c>
    </row>
    <row r="27" spans="2:7" ht="15.75" thickBot="1" x14ac:dyDescent="0.3">
      <c r="B27" s="253">
        <v>46330</v>
      </c>
      <c r="C27" s="275" t="str">
        <f t="shared" si="0"/>
        <v>Wed</v>
      </c>
      <c r="D27" s="275">
        <f t="shared" si="1"/>
        <v>4</v>
      </c>
      <c r="E27" s="275">
        <f t="shared" si="2"/>
        <v>11</v>
      </c>
      <c r="F27" s="275">
        <f t="shared" si="3"/>
        <v>2026</v>
      </c>
      <c r="G27" s="276">
        <f t="shared" si="4"/>
        <v>46330</v>
      </c>
    </row>
    <row r="30" spans="2:7" ht="15.75" thickBot="1" x14ac:dyDescent="0.3"/>
    <row r="31" spans="2:7" x14ac:dyDescent="0.25">
      <c r="B31" s="118" t="s">
        <v>928</v>
      </c>
      <c r="C31" s="119" t="s">
        <v>1050</v>
      </c>
      <c r="D31" s="119" t="s">
        <v>1058</v>
      </c>
      <c r="E31" s="119" t="s">
        <v>1059</v>
      </c>
      <c r="F31" s="119" t="s">
        <v>1060</v>
      </c>
      <c r="G31" s="119" t="s">
        <v>928</v>
      </c>
    </row>
    <row r="32" spans="2:7" x14ac:dyDescent="0.25">
      <c r="B32" s="254" t="str">
        <f ca="1">TEXT(NOW(), "h:mm:ss AM/PM")</f>
        <v>11:45:30 PM</v>
      </c>
      <c r="C32" s="275">
        <f ca="1">HOUR(B32)</f>
        <v>23</v>
      </c>
      <c r="D32" s="275">
        <f ca="1">MINUTE(B32)</f>
        <v>45</v>
      </c>
      <c r="E32" s="275">
        <f ca="1">SECOND(B32)</f>
        <v>30</v>
      </c>
      <c r="F32" s="275" t="str">
        <f t="shared" ref="F32:F49" si="5">TEXT(A1,"AM/PM")</f>
        <v>AM</v>
      </c>
      <c r="G32" s="277">
        <f t="shared" ref="G32:G49" ca="1" si="6">TIME(C32,D32,E32)</f>
        <v>0.98993055555555554</v>
      </c>
    </row>
    <row r="33" spans="2:7" x14ac:dyDescent="0.25">
      <c r="B33" s="254" t="str">
        <f t="shared" ref="B33:B49" ca="1" si="7">TEXT(NOW(), "h:mm:ss AM/PM")</f>
        <v>11:45:30 PM</v>
      </c>
      <c r="C33" s="275">
        <f t="shared" ref="C33:C49" ca="1" si="8">HOUR(B33)</f>
        <v>23</v>
      </c>
      <c r="D33" s="275">
        <f t="shared" ref="D33:D49" ca="1" si="9">MINUTE(B33)</f>
        <v>45</v>
      </c>
      <c r="E33" s="275">
        <f t="shared" ref="E33:E49" ca="1" si="10">SECOND(B33)</f>
        <v>30</v>
      </c>
      <c r="F33" s="275" t="str">
        <f t="shared" si="5"/>
        <v>AM</v>
      </c>
      <c r="G33" s="277">
        <f t="shared" ca="1" si="6"/>
        <v>0.98993055555555554</v>
      </c>
    </row>
    <row r="34" spans="2:7" x14ac:dyDescent="0.25">
      <c r="B34" s="254" t="str">
        <f t="shared" ca="1" si="7"/>
        <v>11:45:30 PM</v>
      </c>
      <c r="C34" s="275">
        <f t="shared" ca="1" si="8"/>
        <v>23</v>
      </c>
      <c r="D34" s="275">
        <f t="shared" ca="1" si="9"/>
        <v>45</v>
      </c>
      <c r="E34" s="275">
        <f t="shared" ca="1" si="10"/>
        <v>30</v>
      </c>
      <c r="F34" s="275" t="str">
        <f t="shared" si="5"/>
        <v>AM</v>
      </c>
      <c r="G34" s="277">
        <f t="shared" ca="1" si="6"/>
        <v>0.98993055555555554</v>
      </c>
    </row>
    <row r="35" spans="2:7" x14ac:dyDescent="0.25">
      <c r="B35" s="254" t="str">
        <f t="shared" ca="1" si="7"/>
        <v>11:45:30 PM</v>
      </c>
      <c r="C35" s="275">
        <f t="shared" ca="1" si="8"/>
        <v>23</v>
      </c>
      <c r="D35" s="275">
        <f t="shared" ca="1" si="9"/>
        <v>45</v>
      </c>
      <c r="E35" s="275">
        <f t="shared" ca="1" si="10"/>
        <v>30</v>
      </c>
      <c r="F35" s="275" t="str">
        <f t="shared" si="5"/>
        <v>AM</v>
      </c>
      <c r="G35" s="277">
        <f t="shared" ca="1" si="6"/>
        <v>0.98993055555555554</v>
      </c>
    </row>
    <row r="36" spans="2:7" x14ac:dyDescent="0.25">
      <c r="B36" s="254" t="str">
        <f t="shared" ca="1" si="7"/>
        <v>11:45:30 PM</v>
      </c>
      <c r="C36" s="275">
        <f t="shared" ca="1" si="8"/>
        <v>23</v>
      </c>
      <c r="D36" s="275">
        <f t="shared" ca="1" si="9"/>
        <v>45</v>
      </c>
      <c r="E36" s="275">
        <f t="shared" ca="1" si="10"/>
        <v>30</v>
      </c>
      <c r="F36" s="275" t="str">
        <f t="shared" si="5"/>
        <v>AM</v>
      </c>
      <c r="G36" s="277">
        <f t="shared" ca="1" si="6"/>
        <v>0.98993055555555554</v>
      </c>
    </row>
    <row r="37" spans="2:7" x14ac:dyDescent="0.25">
      <c r="B37" s="254" t="str">
        <f t="shared" ca="1" si="7"/>
        <v>11:45:30 PM</v>
      </c>
      <c r="C37" s="275">
        <f t="shared" ca="1" si="8"/>
        <v>23</v>
      </c>
      <c r="D37" s="275">
        <f t="shared" ca="1" si="9"/>
        <v>45</v>
      </c>
      <c r="E37" s="275">
        <f t="shared" ca="1" si="10"/>
        <v>30</v>
      </c>
      <c r="F37" s="275" t="str">
        <f t="shared" si="5"/>
        <v>AM</v>
      </c>
      <c r="G37" s="277">
        <f t="shared" ca="1" si="6"/>
        <v>0.98993055555555554</v>
      </c>
    </row>
    <row r="38" spans="2:7" x14ac:dyDescent="0.25">
      <c r="B38" s="254" t="str">
        <f t="shared" ca="1" si="7"/>
        <v>11:45:30 PM</v>
      </c>
      <c r="C38" s="275">
        <f t="shared" ca="1" si="8"/>
        <v>23</v>
      </c>
      <c r="D38" s="275">
        <f t="shared" ca="1" si="9"/>
        <v>45</v>
      </c>
      <c r="E38" s="275">
        <f t="shared" ca="1" si="10"/>
        <v>30</v>
      </c>
      <c r="F38" s="275" t="str">
        <f t="shared" si="5"/>
        <v>AM</v>
      </c>
      <c r="G38" s="277">
        <f t="shared" ca="1" si="6"/>
        <v>0.98993055555555554</v>
      </c>
    </row>
    <row r="39" spans="2:7" x14ac:dyDescent="0.25">
      <c r="B39" s="254" t="str">
        <f t="shared" ca="1" si="7"/>
        <v>11:45:30 PM</v>
      </c>
      <c r="C39" s="275">
        <f t="shared" ca="1" si="8"/>
        <v>23</v>
      </c>
      <c r="D39" s="275">
        <f t="shared" ca="1" si="9"/>
        <v>45</v>
      </c>
      <c r="E39" s="275">
        <f t="shared" ca="1" si="10"/>
        <v>30</v>
      </c>
      <c r="F39" s="275" t="str">
        <f t="shared" si="5"/>
        <v>AM</v>
      </c>
      <c r="G39" s="277">
        <f t="shared" ca="1" si="6"/>
        <v>0.98993055555555554</v>
      </c>
    </row>
    <row r="40" spans="2:7" x14ac:dyDescent="0.25">
      <c r="B40" s="254" t="str">
        <f t="shared" ca="1" si="7"/>
        <v>11:45:30 PM</v>
      </c>
      <c r="C40" s="275">
        <f t="shared" ca="1" si="8"/>
        <v>23</v>
      </c>
      <c r="D40" s="275">
        <f t="shared" ca="1" si="9"/>
        <v>45</v>
      </c>
      <c r="E40" s="275">
        <f t="shared" ca="1" si="10"/>
        <v>30</v>
      </c>
      <c r="F40" s="275" t="str">
        <f t="shared" si="5"/>
        <v>AM</v>
      </c>
      <c r="G40" s="277">
        <f t="shared" ca="1" si="6"/>
        <v>0.98993055555555554</v>
      </c>
    </row>
    <row r="41" spans="2:7" x14ac:dyDescent="0.25">
      <c r="B41" s="254" t="str">
        <f t="shared" ca="1" si="7"/>
        <v>11:45:30 PM</v>
      </c>
      <c r="C41" s="275">
        <f t="shared" ca="1" si="8"/>
        <v>23</v>
      </c>
      <c r="D41" s="275">
        <f t="shared" ca="1" si="9"/>
        <v>45</v>
      </c>
      <c r="E41" s="275">
        <f t="shared" ca="1" si="10"/>
        <v>30</v>
      </c>
      <c r="F41" s="275" t="str">
        <f t="shared" si="5"/>
        <v>AM</v>
      </c>
      <c r="G41" s="277">
        <f t="shared" ca="1" si="6"/>
        <v>0.98993055555555554</v>
      </c>
    </row>
    <row r="42" spans="2:7" x14ac:dyDescent="0.25">
      <c r="B42" s="254" t="str">
        <f t="shared" ca="1" si="7"/>
        <v>11:45:30 PM</v>
      </c>
      <c r="C42" s="275">
        <f t="shared" ca="1" si="8"/>
        <v>23</v>
      </c>
      <c r="D42" s="275">
        <f t="shared" ca="1" si="9"/>
        <v>45</v>
      </c>
      <c r="E42" s="275">
        <f t="shared" ca="1" si="10"/>
        <v>30</v>
      </c>
      <c r="F42" s="275" t="str">
        <f t="shared" si="5"/>
        <v>AM</v>
      </c>
      <c r="G42" s="277">
        <f t="shared" ca="1" si="6"/>
        <v>0.98993055555555554</v>
      </c>
    </row>
    <row r="43" spans="2:7" x14ac:dyDescent="0.25">
      <c r="B43" s="254" t="str">
        <f t="shared" ca="1" si="7"/>
        <v>11:45:30 PM</v>
      </c>
      <c r="C43" s="275">
        <f t="shared" ca="1" si="8"/>
        <v>23</v>
      </c>
      <c r="D43" s="275">
        <f t="shared" ca="1" si="9"/>
        <v>45</v>
      </c>
      <c r="E43" s="275">
        <f t="shared" ca="1" si="10"/>
        <v>30</v>
      </c>
      <c r="F43" s="275" t="str">
        <f t="shared" si="5"/>
        <v>AM</v>
      </c>
      <c r="G43" s="277">
        <f t="shared" ca="1" si="6"/>
        <v>0.98993055555555554</v>
      </c>
    </row>
    <row r="44" spans="2:7" x14ac:dyDescent="0.25">
      <c r="B44" s="254" t="str">
        <f t="shared" ca="1" si="7"/>
        <v>11:45:30 PM</v>
      </c>
      <c r="C44" s="275">
        <f t="shared" ca="1" si="8"/>
        <v>23</v>
      </c>
      <c r="D44" s="275">
        <f t="shared" ca="1" si="9"/>
        <v>45</v>
      </c>
      <c r="E44" s="275">
        <f t="shared" ca="1" si="10"/>
        <v>30</v>
      </c>
      <c r="F44" s="275" t="str">
        <f t="shared" si="5"/>
        <v>AM</v>
      </c>
      <c r="G44" s="277">
        <f t="shared" ca="1" si="6"/>
        <v>0.98993055555555554</v>
      </c>
    </row>
    <row r="45" spans="2:7" x14ac:dyDescent="0.25">
      <c r="B45" s="254" t="str">
        <f t="shared" ca="1" si="7"/>
        <v>11:45:30 PM</v>
      </c>
      <c r="C45" s="275">
        <f t="shared" ca="1" si="8"/>
        <v>23</v>
      </c>
      <c r="D45" s="275">
        <f t="shared" ca="1" si="9"/>
        <v>45</v>
      </c>
      <c r="E45" s="275">
        <f t="shared" ca="1" si="10"/>
        <v>30</v>
      </c>
      <c r="F45" s="275" t="str">
        <f t="shared" si="5"/>
        <v>AM</v>
      </c>
      <c r="G45" s="277">
        <f t="shared" ca="1" si="6"/>
        <v>0.98993055555555554</v>
      </c>
    </row>
    <row r="46" spans="2:7" x14ac:dyDescent="0.25">
      <c r="B46" s="254" t="str">
        <f t="shared" ca="1" si="7"/>
        <v>11:45:30 PM</v>
      </c>
      <c r="C46" s="275">
        <f t="shared" ca="1" si="8"/>
        <v>23</v>
      </c>
      <c r="D46" s="275">
        <f t="shared" ca="1" si="9"/>
        <v>45</v>
      </c>
      <c r="E46" s="275">
        <f t="shared" ca="1" si="10"/>
        <v>30</v>
      </c>
      <c r="F46" s="275" t="str">
        <f t="shared" si="5"/>
        <v>AM</v>
      </c>
      <c r="G46" s="277">
        <f t="shared" ca="1" si="6"/>
        <v>0.98993055555555554</v>
      </c>
    </row>
    <row r="47" spans="2:7" x14ac:dyDescent="0.25">
      <c r="B47" s="254" t="str">
        <f t="shared" ca="1" si="7"/>
        <v>11:45:30 PM</v>
      </c>
      <c r="C47" s="275">
        <f t="shared" ca="1" si="8"/>
        <v>23</v>
      </c>
      <c r="D47" s="275">
        <f t="shared" ca="1" si="9"/>
        <v>45</v>
      </c>
      <c r="E47" s="275">
        <f t="shared" ca="1" si="10"/>
        <v>30</v>
      </c>
      <c r="F47" s="275" t="str">
        <f t="shared" si="5"/>
        <v>AM</v>
      </c>
      <c r="G47" s="277">
        <f t="shared" ca="1" si="6"/>
        <v>0.98993055555555554</v>
      </c>
    </row>
    <row r="48" spans="2:7" x14ac:dyDescent="0.25">
      <c r="B48" s="254" t="str">
        <f t="shared" ca="1" si="7"/>
        <v>11:45:30 PM</v>
      </c>
      <c r="C48" s="275">
        <f t="shared" ca="1" si="8"/>
        <v>23</v>
      </c>
      <c r="D48" s="275">
        <f t="shared" ca="1" si="9"/>
        <v>45</v>
      </c>
      <c r="E48" s="275">
        <f t="shared" ca="1" si="10"/>
        <v>30</v>
      </c>
      <c r="F48" s="275" t="str">
        <f t="shared" si="5"/>
        <v>AM</v>
      </c>
      <c r="G48" s="277">
        <f t="shared" ca="1" si="6"/>
        <v>0.98993055555555554</v>
      </c>
    </row>
    <row r="49" spans="1:9" x14ac:dyDescent="0.25">
      <c r="B49" s="254" t="str">
        <f t="shared" ca="1" si="7"/>
        <v>11:45:30 PM</v>
      </c>
      <c r="C49" s="275">
        <f t="shared" ca="1" si="8"/>
        <v>23</v>
      </c>
      <c r="D49" s="275">
        <f t="shared" ca="1" si="9"/>
        <v>45</v>
      </c>
      <c r="E49" s="275">
        <f t="shared" ca="1" si="10"/>
        <v>30</v>
      </c>
      <c r="F49" s="275" t="str">
        <f t="shared" si="5"/>
        <v>AM</v>
      </c>
      <c r="G49" s="277">
        <f t="shared" ca="1" si="6"/>
        <v>0.98993055555555554</v>
      </c>
    </row>
    <row r="52" spans="1:9" ht="15.75" thickBot="1" x14ac:dyDescent="0.3"/>
    <row r="53" spans="1:9" x14ac:dyDescent="0.25">
      <c r="A53" s="118" t="s">
        <v>1065</v>
      </c>
      <c r="B53" s="118" t="s">
        <v>1061</v>
      </c>
      <c r="C53" s="118" t="s">
        <v>1062</v>
      </c>
      <c r="D53" s="118" t="s">
        <v>744</v>
      </c>
      <c r="E53" s="118" t="s">
        <v>1068</v>
      </c>
      <c r="F53" s="118" t="s">
        <v>1063</v>
      </c>
      <c r="G53" s="118" t="s">
        <v>1064</v>
      </c>
      <c r="H53" s="118" t="s">
        <v>1066</v>
      </c>
      <c r="I53" s="118" t="s">
        <v>1067</v>
      </c>
    </row>
    <row r="54" spans="1:9" ht="15.75" thickBot="1" x14ac:dyDescent="0.3">
      <c r="A54" s="255">
        <v>46335</v>
      </c>
      <c r="B54" s="255">
        <v>46313</v>
      </c>
      <c r="C54" s="256">
        <v>46331</v>
      </c>
      <c r="D54" s="270">
        <f>_xlfn.DAYS(C54,B54)</f>
        <v>18</v>
      </c>
      <c r="E54" s="270">
        <f>DAYS360(B54,C54,)</f>
        <v>17</v>
      </c>
      <c r="F54" s="270">
        <f t="shared" ref="F54:F71" si="11">NETWORKDAYS(B54,C54)</f>
        <v>14</v>
      </c>
      <c r="G54" s="270">
        <f>NETWORKDAYS(B54, C54, $A54:$A55)</f>
        <v>14</v>
      </c>
      <c r="H54" s="270">
        <f t="shared" ref="H54:H71" si="12">NETWORKDAYS.INTL(B54, C54, "1010000")</f>
        <v>13</v>
      </c>
      <c r="I54" s="270">
        <f t="shared" ref="I54:I71" si="13">NETWORKDAYS.INTL(B54,C54,"1010000",$A$54:$A$55)</f>
        <v>13</v>
      </c>
    </row>
    <row r="55" spans="1:9" ht="15.75" thickBot="1" x14ac:dyDescent="0.3">
      <c r="A55" s="255">
        <v>46381</v>
      </c>
      <c r="B55" s="255">
        <v>46314</v>
      </c>
      <c r="C55" s="256">
        <v>46332</v>
      </c>
      <c r="D55" s="270">
        <f t="shared" ref="D55:D71" si="14">_xlfn.DAYS(C55,B55)</f>
        <v>18</v>
      </c>
      <c r="E55" s="270">
        <f t="shared" ref="E55:E71" si="15">DAYS360(B55,C55,)</f>
        <v>17</v>
      </c>
      <c r="F55" s="270">
        <f t="shared" si="11"/>
        <v>15</v>
      </c>
      <c r="G55" s="270">
        <f t="shared" ref="G55:G71" si="16">NETWORKDAYS(B55, C55, $A$54:$A$55)</f>
        <v>15</v>
      </c>
      <c r="H55" s="270">
        <f t="shared" si="12"/>
        <v>13</v>
      </c>
      <c r="I55" s="270">
        <f t="shared" si="13"/>
        <v>13</v>
      </c>
    </row>
    <row r="56" spans="1:9" ht="15.75" thickBot="1" x14ac:dyDescent="0.3">
      <c r="A56" s="255"/>
      <c r="B56" s="255">
        <v>46315</v>
      </c>
      <c r="C56" s="256">
        <v>46333</v>
      </c>
      <c r="D56" s="270">
        <f t="shared" si="14"/>
        <v>18</v>
      </c>
      <c r="E56" s="270">
        <f t="shared" si="15"/>
        <v>17</v>
      </c>
      <c r="F56" s="270">
        <f t="shared" si="11"/>
        <v>14</v>
      </c>
      <c r="G56" s="270">
        <f t="shared" si="16"/>
        <v>14</v>
      </c>
      <c r="H56" s="270">
        <f t="shared" si="12"/>
        <v>14</v>
      </c>
      <c r="I56" s="270">
        <f t="shared" si="13"/>
        <v>14</v>
      </c>
    </row>
    <row r="57" spans="1:9" ht="15.75" thickBot="1" x14ac:dyDescent="0.3">
      <c r="A57" s="255"/>
      <c r="B57" s="255">
        <v>46316</v>
      </c>
      <c r="C57" s="256">
        <v>46334</v>
      </c>
      <c r="D57" s="270">
        <f t="shared" si="14"/>
        <v>18</v>
      </c>
      <c r="E57" s="270">
        <f t="shared" si="15"/>
        <v>17</v>
      </c>
      <c r="F57" s="270">
        <f t="shared" si="11"/>
        <v>13</v>
      </c>
      <c r="G57" s="270">
        <f t="shared" si="16"/>
        <v>13</v>
      </c>
      <c r="H57" s="270">
        <f t="shared" si="12"/>
        <v>14</v>
      </c>
      <c r="I57" s="270">
        <f t="shared" si="13"/>
        <v>14</v>
      </c>
    </row>
    <row r="58" spans="1:9" ht="15.75" thickBot="1" x14ac:dyDescent="0.3">
      <c r="A58" s="255"/>
      <c r="B58" s="255">
        <v>46317</v>
      </c>
      <c r="C58" s="256">
        <v>46335</v>
      </c>
      <c r="D58" s="270">
        <f t="shared" si="14"/>
        <v>18</v>
      </c>
      <c r="E58" s="270">
        <f t="shared" si="15"/>
        <v>17</v>
      </c>
      <c r="F58" s="270">
        <f t="shared" si="11"/>
        <v>13</v>
      </c>
      <c r="G58" s="270">
        <f t="shared" si="16"/>
        <v>12</v>
      </c>
      <c r="H58" s="270">
        <f t="shared" si="12"/>
        <v>14</v>
      </c>
      <c r="I58" s="270">
        <f t="shared" si="13"/>
        <v>14</v>
      </c>
    </row>
    <row r="59" spans="1:9" ht="15.75" thickBot="1" x14ac:dyDescent="0.3">
      <c r="A59" s="255"/>
      <c r="B59" s="255">
        <v>46318</v>
      </c>
      <c r="C59" s="256">
        <v>46336</v>
      </c>
      <c r="D59" s="270">
        <f t="shared" si="14"/>
        <v>18</v>
      </c>
      <c r="E59" s="270">
        <f t="shared" si="15"/>
        <v>17</v>
      </c>
      <c r="F59" s="270">
        <f t="shared" si="11"/>
        <v>13</v>
      </c>
      <c r="G59" s="270">
        <f t="shared" si="16"/>
        <v>12</v>
      </c>
      <c r="H59" s="270">
        <f t="shared" si="12"/>
        <v>14</v>
      </c>
      <c r="I59" s="270">
        <f t="shared" si="13"/>
        <v>14</v>
      </c>
    </row>
    <row r="60" spans="1:9" ht="15.75" thickBot="1" x14ac:dyDescent="0.3">
      <c r="A60" s="255"/>
      <c r="B60" s="255">
        <v>46319</v>
      </c>
      <c r="C60" s="256">
        <v>46337</v>
      </c>
      <c r="D60" s="270">
        <f t="shared" si="14"/>
        <v>18</v>
      </c>
      <c r="E60" s="270">
        <f t="shared" si="15"/>
        <v>17</v>
      </c>
      <c r="F60" s="270">
        <f t="shared" si="11"/>
        <v>13</v>
      </c>
      <c r="G60" s="270">
        <f t="shared" si="16"/>
        <v>12</v>
      </c>
      <c r="H60" s="270">
        <f t="shared" si="12"/>
        <v>13</v>
      </c>
      <c r="I60" s="270">
        <f t="shared" si="13"/>
        <v>13</v>
      </c>
    </row>
    <row r="61" spans="1:9" ht="15.75" thickBot="1" x14ac:dyDescent="0.3">
      <c r="A61" s="255"/>
      <c r="B61" s="255">
        <v>46320</v>
      </c>
      <c r="C61" s="256">
        <v>46338</v>
      </c>
      <c r="D61" s="270">
        <f t="shared" si="14"/>
        <v>18</v>
      </c>
      <c r="E61" s="270">
        <f t="shared" si="15"/>
        <v>17</v>
      </c>
      <c r="F61" s="270">
        <f t="shared" si="11"/>
        <v>14</v>
      </c>
      <c r="G61" s="270">
        <f t="shared" si="16"/>
        <v>13</v>
      </c>
      <c r="H61" s="270">
        <f t="shared" si="12"/>
        <v>13</v>
      </c>
      <c r="I61" s="270">
        <f t="shared" si="13"/>
        <v>13</v>
      </c>
    </row>
    <row r="62" spans="1:9" ht="15.75" thickBot="1" x14ac:dyDescent="0.3">
      <c r="A62" s="255"/>
      <c r="B62" s="255">
        <v>46321</v>
      </c>
      <c r="C62" s="256">
        <v>46339</v>
      </c>
      <c r="D62" s="270">
        <f t="shared" si="14"/>
        <v>18</v>
      </c>
      <c r="E62" s="270">
        <f t="shared" si="15"/>
        <v>17</v>
      </c>
      <c r="F62" s="270">
        <f t="shared" si="11"/>
        <v>15</v>
      </c>
      <c r="G62" s="270">
        <f t="shared" si="16"/>
        <v>14</v>
      </c>
      <c r="H62" s="270">
        <f t="shared" si="12"/>
        <v>13</v>
      </c>
      <c r="I62" s="270">
        <f t="shared" si="13"/>
        <v>13</v>
      </c>
    </row>
    <row r="63" spans="1:9" ht="15.75" thickBot="1" x14ac:dyDescent="0.3">
      <c r="A63" s="255"/>
      <c r="B63" s="255">
        <v>46322</v>
      </c>
      <c r="C63" s="256">
        <v>46340</v>
      </c>
      <c r="D63" s="270">
        <f t="shared" si="14"/>
        <v>18</v>
      </c>
      <c r="E63" s="270">
        <f t="shared" si="15"/>
        <v>17</v>
      </c>
      <c r="F63" s="270">
        <f t="shared" si="11"/>
        <v>14</v>
      </c>
      <c r="G63" s="270">
        <f t="shared" si="16"/>
        <v>13</v>
      </c>
      <c r="H63" s="270">
        <f t="shared" si="12"/>
        <v>14</v>
      </c>
      <c r="I63" s="270">
        <f t="shared" si="13"/>
        <v>14</v>
      </c>
    </row>
    <row r="64" spans="1:9" ht="15.75" thickBot="1" x14ac:dyDescent="0.3">
      <c r="A64" s="255"/>
      <c r="B64" s="255">
        <v>46323</v>
      </c>
      <c r="C64" s="256">
        <v>46341</v>
      </c>
      <c r="D64" s="270">
        <f t="shared" si="14"/>
        <v>18</v>
      </c>
      <c r="E64" s="270">
        <f t="shared" si="15"/>
        <v>17</v>
      </c>
      <c r="F64" s="270">
        <f t="shared" si="11"/>
        <v>13</v>
      </c>
      <c r="G64" s="270">
        <f t="shared" si="16"/>
        <v>12</v>
      </c>
      <c r="H64" s="270">
        <f t="shared" si="12"/>
        <v>14</v>
      </c>
      <c r="I64" s="270">
        <f t="shared" si="13"/>
        <v>14</v>
      </c>
    </row>
    <row r="65" spans="1:9" ht="15.75" thickBot="1" x14ac:dyDescent="0.3">
      <c r="A65" s="255"/>
      <c r="B65" s="255">
        <v>46324</v>
      </c>
      <c r="C65" s="256">
        <v>46342</v>
      </c>
      <c r="D65" s="270">
        <f t="shared" si="14"/>
        <v>18</v>
      </c>
      <c r="E65" s="270">
        <f t="shared" si="15"/>
        <v>17</v>
      </c>
      <c r="F65" s="270">
        <f t="shared" si="11"/>
        <v>13</v>
      </c>
      <c r="G65" s="270">
        <f t="shared" si="16"/>
        <v>12</v>
      </c>
      <c r="H65" s="270">
        <f t="shared" si="12"/>
        <v>14</v>
      </c>
      <c r="I65" s="270">
        <f t="shared" si="13"/>
        <v>14</v>
      </c>
    </row>
    <row r="66" spans="1:9" ht="15.75" thickBot="1" x14ac:dyDescent="0.3">
      <c r="A66" s="255"/>
      <c r="B66" s="255">
        <v>46325</v>
      </c>
      <c r="C66" s="256">
        <v>46343</v>
      </c>
      <c r="D66" s="270">
        <f t="shared" si="14"/>
        <v>18</v>
      </c>
      <c r="E66" s="270">
        <f t="shared" si="15"/>
        <v>17</v>
      </c>
      <c r="F66" s="270">
        <f t="shared" si="11"/>
        <v>13</v>
      </c>
      <c r="G66" s="270">
        <f t="shared" si="16"/>
        <v>12</v>
      </c>
      <c r="H66" s="270">
        <f t="shared" si="12"/>
        <v>14</v>
      </c>
      <c r="I66" s="270">
        <f t="shared" si="13"/>
        <v>14</v>
      </c>
    </row>
    <row r="67" spans="1:9" ht="15.75" thickBot="1" x14ac:dyDescent="0.3">
      <c r="A67" s="255"/>
      <c r="B67" s="255">
        <v>46326</v>
      </c>
      <c r="C67" s="256">
        <v>46344</v>
      </c>
      <c r="D67" s="270">
        <f t="shared" si="14"/>
        <v>18</v>
      </c>
      <c r="E67" s="270">
        <f t="shared" si="15"/>
        <v>18</v>
      </c>
      <c r="F67" s="270">
        <f t="shared" si="11"/>
        <v>13</v>
      </c>
      <c r="G67" s="270">
        <f t="shared" si="16"/>
        <v>12</v>
      </c>
      <c r="H67" s="270">
        <f t="shared" si="12"/>
        <v>13</v>
      </c>
      <c r="I67" s="270">
        <f t="shared" si="13"/>
        <v>13</v>
      </c>
    </row>
    <row r="68" spans="1:9" ht="15.75" thickBot="1" x14ac:dyDescent="0.3">
      <c r="A68" s="255"/>
      <c r="B68" s="255">
        <v>46327</v>
      </c>
      <c r="C68" s="256">
        <v>46345</v>
      </c>
      <c r="D68" s="270">
        <f t="shared" si="14"/>
        <v>18</v>
      </c>
      <c r="E68" s="270">
        <f t="shared" si="15"/>
        <v>18</v>
      </c>
      <c r="F68" s="270">
        <f t="shared" si="11"/>
        <v>14</v>
      </c>
      <c r="G68" s="270">
        <f t="shared" si="16"/>
        <v>13</v>
      </c>
      <c r="H68" s="270">
        <f t="shared" si="12"/>
        <v>13</v>
      </c>
      <c r="I68" s="270">
        <f t="shared" si="13"/>
        <v>13</v>
      </c>
    </row>
    <row r="69" spans="1:9" ht="15.75" thickBot="1" x14ac:dyDescent="0.3">
      <c r="A69" s="255"/>
      <c r="B69" s="255">
        <v>46328</v>
      </c>
      <c r="C69" s="256">
        <v>46346</v>
      </c>
      <c r="D69" s="270">
        <f t="shared" si="14"/>
        <v>18</v>
      </c>
      <c r="E69" s="270">
        <f t="shared" si="15"/>
        <v>18</v>
      </c>
      <c r="F69" s="270">
        <f t="shared" si="11"/>
        <v>15</v>
      </c>
      <c r="G69" s="270">
        <f t="shared" si="16"/>
        <v>14</v>
      </c>
      <c r="H69" s="270">
        <f t="shared" si="12"/>
        <v>13</v>
      </c>
      <c r="I69" s="270">
        <f t="shared" si="13"/>
        <v>13</v>
      </c>
    </row>
    <row r="70" spans="1:9" ht="15.75" thickBot="1" x14ac:dyDescent="0.3">
      <c r="A70" s="255"/>
      <c r="B70" s="255">
        <v>46329</v>
      </c>
      <c r="C70" s="256">
        <v>46347</v>
      </c>
      <c r="D70" s="270">
        <f t="shared" si="14"/>
        <v>18</v>
      </c>
      <c r="E70" s="270">
        <f t="shared" si="15"/>
        <v>18</v>
      </c>
      <c r="F70" s="270">
        <f t="shared" si="11"/>
        <v>14</v>
      </c>
      <c r="G70" s="270">
        <f t="shared" si="16"/>
        <v>13</v>
      </c>
      <c r="H70" s="270">
        <f t="shared" si="12"/>
        <v>14</v>
      </c>
      <c r="I70" s="270">
        <f t="shared" si="13"/>
        <v>14</v>
      </c>
    </row>
    <row r="71" spans="1:9" ht="15.75" thickBot="1" x14ac:dyDescent="0.3">
      <c r="A71" s="255"/>
      <c r="B71" s="255">
        <v>46330</v>
      </c>
      <c r="C71" s="256">
        <v>46348</v>
      </c>
      <c r="D71" s="270">
        <f t="shared" si="14"/>
        <v>18</v>
      </c>
      <c r="E71" s="270">
        <f t="shared" si="15"/>
        <v>18</v>
      </c>
      <c r="F71" s="270">
        <f t="shared" si="11"/>
        <v>13</v>
      </c>
      <c r="G71" s="270">
        <f t="shared" si="16"/>
        <v>12</v>
      </c>
      <c r="H71" s="270">
        <f t="shared" si="12"/>
        <v>14</v>
      </c>
      <c r="I71" s="270">
        <f t="shared" si="13"/>
        <v>14</v>
      </c>
    </row>
    <row r="75" spans="1:9" ht="15.75" thickBot="1" x14ac:dyDescent="0.3"/>
    <row r="76" spans="1:9" x14ac:dyDescent="0.25">
      <c r="A76" s="118" t="s">
        <v>1065</v>
      </c>
      <c r="B76" s="118" t="s">
        <v>1061</v>
      </c>
      <c r="C76" s="118" t="s">
        <v>744</v>
      </c>
      <c r="D76" s="118" t="s">
        <v>1069</v>
      </c>
      <c r="E76" s="118" t="s">
        <v>1070</v>
      </c>
      <c r="F76" s="118" t="s">
        <v>1071</v>
      </c>
      <c r="G76" s="118" t="s">
        <v>1072</v>
      </c>
    </row>
    <row r="77" spans="1:9" ht="15.75" thickBot="1" x14ac:dyDescent="0.3">
      <c r="A77" s="255">
        <v>46335</v>
      </c>
      <c r="B77" s="255">
        <v>46313</v>
      </c>
      <c r="C77" s="257">
        <v>5</v>
      </c>
      <c r="D77" s="271">
        <f>WORKDAY(B77,C77)</f>
        <v>46318</v>
      </c>
      <c r="E77" s="271">
        <f>WORKDAY(B77,C77,$A$77:$A$78)</f>
        <v>46318</v>
      </c>
      <c r="F77" s="270">
        <f>WORKDAY.INTL(B77,C77,"1000001")</f>
        <v>46319</v>
      </c>
      <c r="G77" s="270">
        <f>WORKDAY.INTL(B77,C77,2,A77:A78)</f>
        <v>46319</v>
      </c>
    </row>
    <row r="78" spans="1:9" ht="15.75" thickBot="1" x14ac:dyDescent="0.3">
      <c r="A78" s="255">
        <v>46381</v>
      </c>
      <c r="B78" s="255">
        <v>46314</v>
      </c>
      <c r="C78" s="257">
        <v>19</v>
      </c>
      <c r="D78" s="271">
        <f t="shared" ref="D78:D94" si="17">WORKDAY(B78,C78)</f>
        <v>46339</v>
      </c>
      <c r="E78" s="271">
        <f t="shared" ref="E78:E94" si="18">WORKDAY(B78,C78,$A$77:$A$78)</f>
        <v>46342</v>
      </c>
      <c r="F78" s="270">
        <f t="shared" ref="F78:F94" si="19">WORKDAY.INTL(B78,C78,"1000001")</f>
        <v>46339</v>
      </c>
      <c r="G78" s="270">
        <f>WORKDAY.INTL(B78,C78,2,A77:A79)</f>
        <v>46339</v>
      </c>
    </row>
    <row r="79" spans="1:9" ht="15.75" thickBot="1" x14ac:dyDescent="0.3">
      <c r="A79" s="255"/>
      <c r="B79" s="255">
        <v>46315</v>
      </c>
      <c r="C79" s="257">
        <v>15</v>
      </c>
      <c r="D79" s="271">
        <f t="shared" si="17"/>
        <v>46336</v>
      </c>
      <c r="E79" s="271">
        <f t="shared" si="18"/>
        <v>46337</v>
      </c>
      <c r="F79" s="270">
        <f t="shared" si="19"/>
        <v>46336</v>
      </c>
      <c r="G79" s="270">
        <f>WORKDAY.INTL(B79,C79,2,A79:A80)</f>
        <v>46336</v>
      </c>
    </row>
    <row r="80" spans="1:9" ht="15.75" thickBot="1" x14ac:dyDescent="0.3">
      <c r="A80" s="255"/>
      <c r="B80" s="255">
        <v>46316</v>
      </c>
      <c r="C80" s="257">
        <v>18</v>
      </c>
      <c r="D80" s="271">
        <f t="shared" si="17"/>
        <v>46342</v>
      </c>
      <c r="E80" s="271">
        <f t="shared" si="18"/>
        <v>46343</v>
      </c>
      <c r="F80" s="270">
        <f t="shared" si="19"/>
        <v>46340</v>
      </c>
      <c r="G80" s="270">
        <f t="shared" ref="G80:G94" si="20">WORKDAY.INTL(B80,C80,2,A80:A81)</f>
        <v>46340</v>
      </c>
    </row>
    <row r="81" spans="1:7" ht="15.75" thickBot="1" x14ac:dyDescent="0.3">
      <c r="A81" s="255"/>
      <c r="B81" s="255">
        <v>46317</v>
      </c>
      <c r="C81" s="257">
        <v>19</v>
      </c>
      <c r="D81" s="271">
        <f t="shared" si="17"/>
        <v>46344</v>
      </c>
      <c r="E81" s="271">
        <f t="shared" si="18"/>
        <v>46345</v>
      </c>
      <c r="F81" s="270">
        <f t="shared" si="19"/>
        <v>46344</v>
      </c>
      <c r="G81" s="270">
        <f t="shared" si="20"/>
        <v>46344</v>
      </c>
    </row>
    <row r="82" spans="1:7" ht="15.75" thickBot="1" x14ac:dyDescent="0.3">
      <c r="A82" s="255"/>
      <c r="B82" s="255">
        <v>46318</v>
      </c>
      <c r="C82" s="257">
        <v>8</v>
      </c>
      <c r="D82" s="271">
        <f t="shared" si="17"/>
        <v>46330</v>
      </c>
      <c r="E82" s="271">
        <f t="shared" si="18"/>
        <v>46330</v>
      </c>
      <c r="F82" s="270">
        <f t="shared" si="19"/>
        <v>46330</v>
      </c>
      <c r="G82" s="270">
        <f t="shared" si="20"/>
        <v>46330</v>
      </c>
    </row>
    <row r="83" spans="1:7" ht="15.75" thickBot="1" x14ac:dyDescent="0.3">
      <c r="A83" s="255"/>
      <c r="B83" s="255">
        <v>46319</v>
      </c>
      <c r="C83" s="257">
        <v>8</v>
      </c>
      <c r="D83" s="271">
        <f t="shared" si="17"/>
        <v>46330</v>
      </c>
      <c r="E83" s="271">
        <f t="shared" si="18"/>
        <v>46330</v>
      </c>
      <c r="F83" s="270">
        <f t="shared" si="19"/>
        <v>46331</v>
      </c>
      <c r="G83" s="270">
        <f t="shared" si="20"/>
        <v>46331</v>
      </c>
    </row>
    <row r="84" spans="1:7" ht="15.75" thickBot="1" x14ac:dyDescent="0.3">
      <c r="A84" s="255"/>
      <c r="B84" s="255">
        <v>46320</v>
      </c>
      <c r="C84" s="257">
        <v>19</v>
      </c>
      <c r="D84" s="271">
        <f t="shared" si="17"/>
        <v>46345</v>
      </c>
      <c r="E84" s="271">
        <f t="shared" si="18"/>
        <v>46346</v>
      </c>
      <c r="F84" s="270">
        <f t="shared" si="19"/>
        <v>46346</v>
      </c>
      <c r="G84" s="270">
        <f t="shared" si="20"/>
        <v>46346</v>
      </c>
    </row>
    <row r="85" spans="1:7" ht="15.75" thickBot="1" x14ac:dyDescent="0.3">
      <c r="A85" s="255"/>
      <c r="B85" s="255">
        <v>46321</v>
      </c>
      <c r="C85" s="257">
        <v>18</v>
      </c>
      <c r="D85" s="271">
        <f t="shared" si="17"/>
        <v>46345</v>
      </c>
      <c r="E85" s="271">
        <f t="shared" si="18"/>
        <v>46346</v>
      </c>
      <c r="F85" s="270">
        <f t="shared" si="19"/>
        <v>46345</v>
      </c>
      <c r="G85" s="270">
        <f t="shared" si="20"/>
        <v>46345</v>
      </c>
    </row>
    <row r="86" spans="1:7" ht="15.75" thickBot="1" x14ac:dyDescent="0.3">
      <c r="A86" s="255"/>
      <c r="B86" s="255">
        <v>46322</v>
      </c>
      <c r="C86" s="257">
        <v>9</v>
      </c>
      <c r="D86" s="271">
        <f t="shared" si="17"/>
        <v>46335</v>
      </c>
      <c r="E86" s="271">
        <f t="shared" si="18"/>
        <v>46336</v>
      </c>
      <c r="F86" s="270">
        <f t="shared" si="19"/>
        <v>46333</v>
      </c>
      <c r="G86" s="270">
        <f t="shared" si="20"/>
        <v>46333</v>
      </c>
    </row>
    <row r="87" spans="1:7" ht="15.75" thickBot="1" x14ac:dyDescent="0.3">
      <c r="A87" s="255"/>
      <c r="B87" s="255">
        <v>46323</v>
      </c>
      <c r="C87" s="257">
        <v>8</v>
      </c>
      <c r="D87" s="271">
        <f t="shared" si="17"/>
        <v>46335</v>
      </c>
      <c r="E87" s="271">
        <f t="shared" si="18"/>
        <v>46336</v>
      </c>
      <c r="F87" s="270">
        <f t="shared" si="19"/>
        <v>46333</v>
      </c>
      <c r="G87" s="270">
        <f t="shared" si="20"/>
        <v>46333</v>
      </c>
    </row>
    <row r="88" spans="1:7" ht="15.75" thickBot="1" x14ac:dyDescent="0.3">
      <c r="A88" s="255"/>
      <c r="B88" s="255">
        <v>46324</v>
      </c>
      <c r="C88" s="257">
        <v>10</v>
      </c>
      <c r="D88" s="271">
        <f t="shared" si="17"/>
        <v>46338</v>
      </c>
      <c r="E88" s="271">
        <f t="shared" si="18"/>
        <v>46339</v>
      </c>
      <c r="F88" s="270">
        <f t="shared" si="19"/>
        <v>46338</v>
      </c>
      <c r="G88" s="270">
        <f t="shared" si="20"/>
        <v>46338</v>
      </c>
    </row>
    <row r="89" spans="1:7" ht="15.75" thickBot="1" x14ac:dyDescent="0.3">
      <c r="A89" s="255"/>
      <c r="B89" s="255">
        <v>46325</v>
      </c>
      <c r="C89" s="257">
        <v>11</v>
      </c>
      <c r="D89" s="271">
        <f t="shared" si="17"/>
        <v>46342</v>
      </c>
      <c r="E89" s="271">
        <f t="shared" si="18"/>
        <v>46343</v>
      </c>
      <c r="F89" s="270">
        <f t="shared" si="19"/>
        <v>46340</v>
      </c>
      <c r="G89" s="270">
        <f t="shared" si="20"/>
        <v>46340</v>
      </c>
    </row>
    <row r="90" spans="1:7" ht="15.75" thickBot="1" x14ac:dyDescent="0.3">
      <c r="A90" s="255"/>
      <c r="B90" s="255">
        <v>46326</v>
      </c>
      <c r="C90" s="257">
        <v>7</v>
      </c>
      <c r="D90" s="271">
        <f t="shared" si="17"/>
        <v>46336</v>
      </c>
      <c r="E90" s="271">
        <f t="shared" si="18"/>
        <v>46337</v>
      </c>
      <c r="F90" s="270">
        <f t="shared" si="19"/>
        <v>46337</v>
      </c>
      <c r="G90" s="270">
        <f t="shared" si="20"/>
        <v>46337</v>
      </c>
    </row>
    <row r="91" spans="1:7" ht="15.75" thickBot="1" x14ac:dyDescent="0.3">
      <c r="A91" s="255"/>
      <c r="B91" s="255">
        <v>46327</v>
      </c>
      <c r="C91" s="257">
        <v>15</v>
      </c>
      <c r="D91" s="271">
        <f t="shared" si="17"/>
        <v>46346</v>
      </c>
      <c r="E91" s="271">
        <f t="shared" si="18"/>
        <v>46349</v>
      </c>
      <c r="F91" s="270">
        <f t="shared" si="19"/>
        <v>46347</v>
      </c>
      <c r="G91" s="270">
        <f t="shared" si="20"/>
        <v>46347</v>
      </c>
    </row>
    <row r="92" spans="1:7" ht="15.75" thickBot="1" x14ac:dyDescent="0.3">
      <c r="A92" s="255"/>
      <c r="B92" s="255">
        <v>46328</v>
      </c>
      <c r="C92" s="257">
        <v>7</v>
      </c>
      <c r="D92" s="271">
        <f t="shared" si="17"/>
        <v>46337</v>
      </c>
      <c r="E92" s="271">
        <f t="shared" si="18"/>
        <v>46338</v>
      </c>
      <c r="F92" s="270">
        <f t="shared" si="19"/>
        <v>46337</v>
      </c>
      <c r="G92" s="270">
        <f t="shared" si="20"/>
        <v>46337</v>
      </c>
    </row>
    <row r="93" spans="1:7" ht="15.75" thickBot="1" x14ac:dyDescent="0.3">
      <c r="A93" s="255"/>
      <c r="B93" s="255">
        <v>46329</v>
      </c>
      <c r="C93" s="257">
        <v>7</v>
      </c>
      <c r="D93" s="271">
        <f t="shared" si="17"/>
        <v>46338</v>
      </c>
      <c r="E93" s="271">
        <f t="shared" si="18"/>
        <v>46339</v>
      </c>
      <c r="F93" s="270">
        <f t="shared" si="19"/>
        <v>46338</v>
      </c>
      <c r="G93" s="270">
        <f t="shared" si="20"/>
        <v>46338</v>
      </c>
    </row>
    <row r="94" spans="1:7" ht="15.75" thickBot="1" x14ac:dyDescent="0.3">
      <c r="A94" s="255"/>
      <c r="B94" s="255">
        <v>46330</v>
      </c>
      <c r="C94" s="257">
        <v>11</v>
      </c>
      <c r="D94" s="271">
        <f t="shared" si="17"/>
        <v>46345</v>
      </c>
      <c r="E94" s="271">
        <f t="shared" si="18"/>
        <v>46346</v>
      </c>
      <c r="F94" s="270">
        <f t="shared" si="19"/>
        <v>46345</v>
      </c>
      <c r="G94" s="270">
        <f t="shared" si="20"/>
        <v>46345</v>
      </c>
    </row>
    <row r="96" spans="1:7" ht="15.75" thickBot="1" x14ac:dyDescent="0.3"/>
    <row r="97" spans="2:6" x14ac:dyDescent="0.25">
      <c r="B97" s="118" t="s">
        <v>1061</v>
      </c>
      <c r="C97" s="118" t="s">
        <v>1051</v>
      </c>
      <c r="D97" s="118" t="s">
        <v>744</v>
      </c>
      <c r="E97" s="118" t="s">
        <v>976</v>
      </c>
      <c r="F97" s="118" t="s">
        <v>981</v>
      </c>
    </row>
    <row r="98" spans="2:6" ht="15.75" thickBot="1" x14ac:dyDescent="0.3">
      <c r="B98" s="256">
        <v>46318</v>
      </c>
      <c r="C98" s="278">
        <v>2</v>
      </c>
      <c r="D98" s="278">
        <f>C98 * 30</f>
        <v>60</v>
      </c>
      <c r="E98" s="271">
        <f>EDATE(B98,C98)</f>
        <v>46379</v>
      </c>
      <c r="F98" s="271">
        <f>EOMONTH(B98,C98)</f>
        <v>46387</v>
      </c>
    </row>
    <row r="99" spans="2:6" ht="15.75" thickBot="1" x14ac:dyDescent="0.3">
      <c r="B99" s="256">
        <v>46342</v>
      </c>
      <c r="C99" s="278">
        <v>3</v>
      </c>
      <c r="D99" s="278">
        <f t="shared" ref="D99:D115" si="21">C99 * 30</f>
        <v>90</v>
      </c>
      <c r="E99" s="271">
        <f t="shared" ref="E99:E115" si="22">EDATE(B99,C99)</f>
        <v>46434</v>
      </c>
      <c r="F99" s="271">
        <f t="shared" ref="F99:F115" si="23">EOMONTH(B99,C99)</f>
        <v>46446</v>
      </c>
    </row>
    <row r="100" spans="2:6" ht="15.75" thickBot="1" x14ac:dyDescent="0.3">
      <c r="B100" s="256">
        <v>46337</v>
      </c>
      <c r="C100" s="278">
        <v>4</v>
      </c>
      <c r="D100" s="278">
        <f t="shared" si="21"/>
        <v>120</v>
      </c>
      <c r="E100" s="271">
        <f t="shared" si="22"/>
        <v>46457</v>
      </c>
      <c r="F100" s="271">
        <f t="shared" si="23"/>
        <v>46477</v>
      </c>
    </row>
    <row r="101" spans="2:6" ht="15.75" thickBot="1" x14ac:dyDescent="0.3">
      <c r="B101" s="256">
        <v>46343</v>
      </c>
      <c r="C101" s="278">
        <v>5</v>
      </c>
      <c r="D101" s="278">
        <f t="shared" si="21"/>
        <v>150</v>
      </c>
      <c r="E101" s="271">
        <f t="shared" si="22"/>
        <v>46494</v>
      </c>
      <c r="F101" s="271">
        <f t="shared" si="23"/>
        <v>46507</v>
      </c>
    </row>
    <row r="102" spans="2:6" ht="15.75" thickBot="1" x14ac:dyDescent="0.3">
      <c r="B102" s="256">
        <v>46345</v>
      </c>
      <c r="C102" s="278">
        <v>1</v>
      </c>
      <c r="D102" s="278">
        <f t="shared" si="21"/>
        <v>30</v>
      </c>
      <c r="E102" s="271">
        <f t="shared" si="22"/>
        <v>46375</v>
      </c>
      <c r="F102" s="271">
        <f t="shared" si="23"/>
        <v>46387</v>
      </c>
    </row>
    <row r="103" spans="2:6" ht="15.75" thickBot="1" x14ac:dyDescent="0.3">
      <c r="B103" s="256">
        <v>46330</v>
      </c>
      <c r="C103" s="278">
        <v>2</v>
      </c>
      <c r="D103" s="278">
        <f t="shared" si="21"/>
        <v>60</v>
      </c>
      <c r="E103" s="271">
        <f t="shared" si="22"/>
        <v>46391</v>
      </c>
      <c r="F103" s="271">
        <f t="shared" si="23"/>
        <v>46418</v>
      </c>
    </row>
    <row r="104" spans="2:6" ht="15.75" thickBot="1" x14ac:dyDescent="0.3">
      <c r="B104" s="256">
        <v>46330</v>
      </c>
      <c r="C104" s="278">
        <v>4</v>
      </c>
      <c r="D104" s="278">
        <f t="shared" si="21"/>
        <v>120</v>
      </c>
      <c r="E104" s="271">
        <f t="shared" si="22"/>
        <v>46450</v>
      </c>
      <c r="F104" s="271">
        <f t="shared" si="23"/>
        <v>46477</v>
      </c>
    </row>
    <row r="105" spans="2:6" ht="15.75" thickBot="1" x14ac:dyDescent="0.3">
      <c r="B105" s="256">
        <v>46346</v>
      </c>
      <c r="C105" s="278">
        <v>6</v>
      </c>
      <c r="D105" s="278">
        <f t="shared" si="21"/>
        <v>180</v>
      </c>
      <c r="E105" s="271">
        <f t="shared" si="22"/>
        <v>46527</v>
      </c>
      <c r="F105" s="271">
        <f t="shared" si="23"/>
        <v>46538</v>
      </c>
    </row>
    <row r="106" spans="2:6" ht="15.75" thickBot="1" x14ac:dyDescent="0.3">
      <c r="B106" s="256">
        <v>46346</v>
      </c>
      <c r="C106" s="278">
        <v>2</v>
      </c>
      <c r="D106" s="278">
        <f t="shared" si="21"/>
        <v>60</v>
      </c>
      <c r="E106" s="271">
        <f t="shared" si="22"/>
        <v>46407</v>
      </c>
      <c r="F106" s="271">
        <f t="shared" si="23"/>
        <v>46418</v>
      </c>
    </row>
    <row r="107" spans="2:6" ht="15.75" thickBot="1" x14ac:dyDescent="0.3">
      <c r="B107" s="256">
        <v>46336</v>
      </c>
      <c r="C107" s="278">
        <v>3</v>
      </c>
      <c r="D107" s="278">
        <f t="shared" si="21"/>
        <v>90</v>
      </c>
      <c r="E107" s="271">
        <f t="shared" si="22"/>
        <v>46428</v>
      </c>
      <c r="F107" s="271">
        <f t="shared" si="23"/>
        <v>46446</v>
      </c>
    </row>
    <row r="108" spans="2:6" ht="15.75" thickBot="1" x14ac:dyDescent="0.3">
      <c r="B108" s="256">
        <v>46336</v>
      </c>
      <c r="C108" s="278">
        <v>4</v>
      </c>
      <c r="D108" s="278">
        <f t="shared" si="21"/>
        <v>120</v>
      </c>
      <c r="E108" s="271">
        <f t="shared" si="22"/>
        <v>46456</v>
      </c>
      <c r="F108" s="271">
        <f t="shared" si="23"/>
        <v>46477</v>
      </c>
    </row>
    <row r="109" spans="2:6" ht="15.75" thickBot="1" x14ac:dyDescent="0.3">
      <c r="B109" s="256">
        <v>46339</v>
      </c>
      <c r="C109" s="278">
        <v>5</v>
      </c>
      <c r="D109" s="278">
        <f t="shared" si="21"/>
        <v>150</v>
      </c>
      <c r="E109" s="271">
        <f t="shared" si="22"/>
        <v>46490</v>
      </c>
      <c r="F109" s="271">
        <f t="shared" si="23"/>
        <v>46507</v>
      </c>
    </row>
    <row r="110" spans="2:6" ht="15.75" thickBot="1" x14ac:dyDescent="0.3">
      <c r="B110" s="256">
        <v>46343</v>
      </c>
      <c r="C110" s="278">
        <v>6</v>
      </c>
      <c r="D110" s="278">
        <f t="shared" si="21"/>
        <v>180</v>
      </c>
      <c r="E110" s="271">
        <f t="shared" si="22"/>
        <v>46524</v>
      </c>
      <c r="F110" s="271">
        <f t="shared" si="23"/>
        <v>46538</v>
      </c>
    </row>
    <row r="111" spans="2:6" ht="15.75" thickBot="1" x14ac:dyDescent="0.3">
      <c r="B111" s="256">
        <v>46337</v>
      </c>
      <c r="C111" s="278">
        <v>8</v>
      </c>
      <c r="D111" s="278">
        <f t="shared" si="21"/>
        <v>240</v>
      </c>
      <c r="E111" s="271">
        <f t="shared" si="22"/>
        <v>46579</v>
      </c>
      <c r="F111" s="271">
        <f t="shared" si="23"/>
        <v>46599</v>
      </c>
    </row>
    <row r="112" spans="2:6" ht="15.75" thickBot="1" x14ac:dyDescent="0.3">
      <c r="B112" s="256">
        <v>46349</v>
      </c>
      <c r="C112" s="278">
        <v>7</v>
      </c>
      <c r="D112" s="278">
        <f t="shared" si="21"/>
        <v>210</v>
      </c>
      <c r="E112" s="271">
        <f t="shared" si="22"/>
        <v>46561</v>
      </c>
      <c r="F112" s="271">
        <f t="shared" si="23"/>
        <v>46568</v>
      </c>
    </row>
    <row r="113" spans="2:6" ht="15.75" thickBot="1" x14ac:dyDescent="0.3">
      <c r="B113" s="256">
        <v>46338</v>
      </c>
      <c r="C113" s="278">
        <v>9</v>
      </c>
      <c r="D113" s="278">
        <f t="shared" si="21"/>
        <v>270</v>
      </c>
      <c r="E113" s="271">
        <f t="shared" si="22"/>
        <v>46611</v>
      </c>
      <c r="F113" s="271">
        <f t="shared" si="23"/>
        <v>46630</v>
      </c>
    </row>
    <row r="114" spans="2:6" ht="15.75" thickBot="1" x14ac:dyDescent="0.3">
      <c r="B114" s="256">
        <v>46339</v>
      </c>
      <c r="C114" s="278">
        <v>10</v>
      </c>
      <c r="D114" s="278">
        <f t="shared" si="21"/>
        <v>300</v>
      </c>
      <c r="E114" s="271">
        <f t="shared" si="22"/>
        <v>46643</v>
      </c>
      <c r="F114" s="271">
        <f t="shared" si="23"/>
        <v>46660</v>
      </c>
    </row>
    <row r="115" spans="2:6" ht="15.75" thickBot="1" x14ac:dyDescent="0.3">
      <c r="B115" s="256">
        <v>46346</v>
      </c>
      <c r="C115" s="278">
        <v>11</v>
      </c>
      <c r="D115" s="278">
        <f t="shared" si="21"/>
        <v>330</v>
      </c>
      <c r="E115" s="271">
        <f t="shared" si="22"/>
        <v>46680</v>
      </c>
      <c r="F115" s="271">
        <f t="shared" si="23"/>
        <v>46691</v>
      </c>
    </row>
    <row r="117" spans="2:6" ht="15.75" thickBot="1" x14ac:dyDescent="0.3"/>
    <row r="118" spans="2:6" x14ac:dyDescent="0.25">
      <c r="B118" s="118" t="s">
        <v>1073</v>
      </c>
      <c r="C118" s="118" t="s">
        <v>915</v>
      </c>
      <c r="D118" s="118" t="s">
        <v>1074</v>
      </c>
      <c r="E118" s="118" t="s">
        <v>1020</v>
      </c>
    </row>
    <row r="119" spans="2:6" ht="15.75" thickBot="1" x14ac:dyDescent="0.3">
      <c r="B119" s="292">
        <v>38295</v>
      </c>
      <c r="C119" s="291" t="str">
        <f ca="1">TEXT(NOW(),"MM-DD-YYYY")</f>
        <v>10-19-2026</v>
      </c>
      <c r="D119" s="293">
        <f ca="1">DATEDIF(B119,C119,"Y")</f>
        <v>21</v>
      </c>
      <c r="E119" s="293">
        <f ca="1">YEARFRAC(B119,C119)</f>
        <v>21.958333333333332</v>
      </c>
    </row>
    <row r="120" spans="2:6" ht="15.75" thickBot="1" x14ac:dyDescent="0.3">
      <c r="B120" s="253">
        <v>38671</v>
      </c>
      <c r="C120" s="291" t="str">
        <f ca="1">TEXT(NOW(),"MM-DD-YYYY")</f>
        <v>10-19-2026</v>
      </c>
      <c r="D120" s="293">
        <f ca="1">DATEDIF(B120,C120,"Y")</f>
        <v>20</v>
      </c>
      <c r="E120" s="293">
        <f ca="1">YEARFRAC(B120,C120)</f>
        <v>20.927777777777777</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3568-819E-490C-9224-94253261D52F}">
  <dimension ref="C6:H26"/>
  <sheetViews>
    <sheetView topLeftCell="A16" workbookViewId="0">
      <selection activeCell="I10" sqref="I10"/>
    </sheetView>
  </sheetViews>
  <sheetFormatPr defaultRowHeight="15" x14ac:dyDescent="0.25"/>
  <cols>
    <col min="3" max="3" width="5" bestFit="1" customWidth="1"/>
    <col min="4" max="4" width="11.28515625" bestFit="1" customWidth="1"/>
    <col min="5" max="5" width="40.5703125" bestFit="1" customWidth="1"/>
    <col min="6" max="6" width="35.5703125" bestFit="1" customWidth="1"/>
    <col min="7" max="7" width="20.5703125" bestFit="1" customWidth="1"/>
    <col min="8" max="8" width="31.7109375" bestFit="1" customWidth="1"/>
  </cols>
  <sheetData>
    <row r="6" spans="3:8" x14ac:dyDescent="0.25">
      <c r="C6" s="239" t="s">
        <v>559</v>
      </c>
      <c r="D6" s="239" t="s">
        <v>560</v>
      </c>
      <c r="E6" s="239" t="s">
        <v>561</v>
      </c>
      <c r="F6" s="239" t="s">
        <v>1075</v>
      </c>
      <c r="G6" s="239" t="s">
        <v>562</v>
      </c>
      <c r="H6" s="239" t="s">
        <v>563</v>
      </c>
    </row>
    <row r="7" spans="3:8" x14ac:dyDescent="0.25">
      <c r="C7" s="240">
        <v>1</v>
      </c>
      <c r="D7" s="294" t="s">
        <v>1076</v>
      </c>
      <c r="E7" s="240" t="s">
        <v>1077</v>
      </c>
      <c r="F7" s="240" t="s">
        <v>1078</v>
      </c>
      <c r="G7" s="240" t="s">
        <v>1079</v>
      </c>
      <c r="H7" s="240" t="s">
        <v>1080</v>
      </c>
    </row>
    <row r="8" spans="3:8" x14ac:dyDescent="0.25">
      <c r="C8" s="240">
        <v>2</v>
      </c>
      <c r="D8" s="294" t="s">
        <v>1081</v>
      </c>
      <c r="E8" s="240" t="s">
        <v>1082</v>
      </c>
      <c r="F8" s="240" t="s">
        <v>1083</v>
      </c>
      <c r="G8" s="240" t="s">
        <v>1084</v>
      </c>
      <c r="H8" s="240" t="s">
        <v>1085</v>
      </c>
    </row>
    <row r="9" spans="3:8" x14ac:dyDescent="0.25">
      <c r="C9" s="249">
        <v>3</v>
      </c>
      <c r="D9" s="295" t="s">
        <v>1086</v>
      </c>
      <c r="E9" s="249" t="s">
        <v>1087</v>
      </c>
      <c r="F9" s="249" t="s">
        <v>1088</v>
      </c>
      <c r="G9" s="249" t="s">
        <v>1089</v>
      </c>
      <c r="H9" s="249" t="b">
        <v>0</v>
      </c>
    </row>
    <row r="10" spans="3:8" x14ac:dyDescent="0.25">
      <c r="C10" s="249">
        <v>4</v>
      </c>
      <c r="D10" s="295" t="s">
        <v>1090</v>
      </c>
      <c r="E10" s="249" t="s">
        <v>1091</v>
      </c>
      <c r="F10" s="249" t="s">
        <v>1092</v>
      </c>
      <c r="G10" s="249" t="s">
        <v>1093</v>
      </c>
      <c r="H10" s="249" t="b">
        <v>1</v>
      </c>
    </row>
    <row r="11" spans="3:8" x14ac:dyDescent="0.25">
      <c r="C11" s="249">
        <v>5</v>
      </c>
      <c r="D11" s="295" t="s">
        <v>1094</v>
      </c>
      <c r="E11" s="249" t="s">
        <v>1095</v>
      </c>
      <c r="F11" s="249" t="s">
        <v>1096</v>
      </c>
      <c r="G11" s="249" t="s">
        <v>1097</v>
      </c>
      <c r="H11" s="249" t="b">
        <v>0</v>
      </c>
    </row>
    <row r="12" spans="3:8" x14ac:dyDescent="0.25">
      <c r="C12" s="249">
        <v>6</v>
      </c>
      <c r="D12" s="295" t="s">
        <v>1098</v>
      </c>
      <c r="E12" s="249" t="s">
        <v>1099</v>
      </c>
      <c r="F12" s="249" t="s">
        <v>1100</v>
      </c>
      <c r="G12" s="249" t="s">
        <v>1101</v>
      </c>
      <c r="H12" s="249" t="s">
        <v>1102</v>
      </c>
    </row>
    <row r="13" spans="3:8" x14ac:dyDescent="0.25">
      <c r="C13" s="249">
        <v>7</v>
      </c>
      <c r="D13" s="295" t="s">
        <v>1103</v>
      </c>
      <c r="E13" s="249" t="s">
        <v>1104</v>
      </c>
      <c r="F13" s="249" t="s">
        <v>1105</v>
      </c>
      <c r="G13" s="249" t="s">
        <v>1106</v>
      </c>
      <c r="H13" s="249" t="s">
        <v>1107</v>
      </c>
    </row>
    <row r="14" spans="3:8" x14ac:dyDescent="0.25">
      <c r="C14" s="249">
        <v>8</v>
      </c>
      <c r="D14" s="295" t="s">
        <v>1108</v>
      </c>
      <c r="E14" s="249" t="s">
        <v>1109</v>
      </c>
      <c r="F14" s="249" t="s">
        <v>1110</v>
      </c>
      <c r="G14" s="249" t="s">
        <v>1111</v>
      </c>
      <c r="H14" s="249" t="e">
        <v>#N/A</v>
      </c>
    </row>
    <row r="15" spans="3:8" x14ac:dyDescent="0.25">
      <c r="C15" s="249">
        <v>9</v>
      </c>
      <c r="D15" s="295" t="b">
        <v>1</v>
      </c>
      <c r="E15" s="249" t="s">
        <v>1112</v>
      </c>
      <c r="F15" s="249" t="s">
        <v>1113</v>
      </c>
      <c r="G15" s="249" t="s">
        <v>1114</v>
      </c>
      <c r="H15" s="249" t="b">
        <v>1</v>
      </c>
    </row>
    <row r="16" spans="3:8" x14ac:dyDescent="0.25">
      <c r="C16" s="249">
        <v>10</v>
      </c>
      <c r="D16" s="295" t="b">
        <v>0</v>
      </c>
      <c r="E16" s="249" t="s">
        <v>1115</v>
      </c>
      <c r="F16" s="249" t="s">
        <v>1116</v>
      </c>
      <c r="G16" s="249" t="s">
        <v>1114</v>
      </c>
      <c r="H16" s="249" t="b">
        <v>0</v>
      </c>
    </row>
    <row r="17" spans="3:8" x14ac:dyDescent="0.25">
      <c r="C17" s="267">
        <v>11</v>
      </c>
      <c r="D17" s="296" t="s">
        <v>1117</v>
      </c>
      <c r="E17" s="267" t="s">
        <v>1118</v>
      </c>
      <c r="F17" s="267" t="s">
        <v>1119</v>
      </c>
      <c r="G17" s="267" t="s">
        <v>1120</v>
      </c>
      <c r="H17" s="267" t="b">
        <v>0</v>
      </c>
    </row>
    <row r="18" spans="3:8" x14ac:dyDescent="0.25">
      <c r="C18" s="267">
        <v>12</v>
      </c>
      <c r="D18" s="296" t="s">
        <v>1121</v>
      </c>
      <c r="E18" s="267" t="s">
        <v>1122</v>
      </c>
      <c r="F18" s="267" t="s">
        <v>1123</v>
      </c>
      <c r="G18" s="267" t="s">
        <v>1124</v>
      </c>
      <c r="H18" s="267" t="b">
        <v>0</v>
      </c>
    </row>
    <row r="19" spans="3:8" x14ac:dyDescent="0.25">
      <c r="C19" s="267">
        <v>13</v>
      </c>
      <c r="D19" s="296" t="s">
        <v>1125</v>
      </c>
      <c r="E19" s="267" t="s">
        <v>1126</v>
      </c>
      <c r="F19" s="267" t="s">
        <v>1127</v>
      </c>
      <c r="G19" s="267" t="s">
        <v>1128</v>
      </c>
      <c r="H19" s="267" t="b">
        <v>1</v>
      </c>
    </row>
    <row r="20" spans="3:8" x14ac:dyDescent="0.25">
      <c r="C20" s="264">
        <v>14</v>
      </c>
      <c r="D20" s="297" t="s">
        <v>1129</v>
      </c>
      <c r="E20" s="264" t="s">
        <v>1130</v>
      </c>
      <c r="F20" s="264" t="s">
        <v>1131</v>
      </c>
      <c r="G20" s="264" t="s">
        <v>1132</v>
      </c>
      <c r="H20" s="264" t="b">
        <v>0</v>
      </c>
    </row>
    <row r="21" spans="3:8" x14ac:dyDescent="0.25">
      <c r="C21" s="264">
        <v>15</v>
      </c>
      <c r="D21" s="297" t="s">
        <v>1133</v>
      </c>
      <c r="E21" s="264" t="s">
        <v>1134</v>
      </c>
      <c r="F21" s="264" t="s">
        <v>1135</v>
      </c>
      <c r="G21" s="264" t="s">
        <v>1136</v>
      </c>
      <c r="H21" s="264" t="b">
        <v>0</v>
      </c>
    </row>
    <row r="22" spans="3:8" x14ac:dyDescent="0.25">
      <c r="C22" s="279">
        <v>16</v>
      </c>
      <c r="D22" s="298" t="s">
        <v>1137</v>
      </c>
      <c r="E22" s="279" t="s">
        <v>1138</v>
      </c>
      <c r="F22" s="279" t="s">
        <v>1139</v>
      </c>
      <c r="G22" s="279" t="s">
        <v>1140</v>
      </c>
      <c r="H22" s="279" t="b">
        <v>0</v>
      </c>
    </row>
    <row r="23" spans="3:8" x14ac:dyDescent="0.25">
      <c r="C23" s="243">
        <v>17</v>
      </c>
      <c r="D23" s="299" t="s">
        <v>1141</v>
      </c>
      <c r="E23" s="243" t="s">
        <v>1142</v>
      </c>
      <c r="F23" s="243" t="s">
        <v>1143</v>
      </c>
      <c r="G23" s="243" t="s">
        <v>1144</v>
      </c>
      <c r="H23" s="243" t="b">
        <v>0</v>
      </c>
    </row>
    <row r="24" spans="3:8" x14ac:dyDescent="0.25">
      <c r="C24" s="243">
        <v>18</v>
      </c>
      <c r="D24" s="299" t="s">
        <v>1145</v>
      </c>
      <c r="E24" s="243" t="s">
        <v>1146</v>
      </c>
      <c r="F24" s="243" t="s">
        <v>1147</v>
      </c>
      <c r="G24" s="243" t="s">
        <v>1148</v>
      </c>
      <c r="H24" s="243" t="b">
        <v>0</v>
      </c>
    </row>
    <row r="25" spans="3:8" x14ac:dyDescent="0.25">
      <c r="C25" s="258">
        <v>19</v>
      </c>
      <c r="D25" s="300" t="s">
        <v>1149</v>
      </c>
      <c r="E25" s="258" t="s">
        <v>1150</v>
      </c>
      <c r="F25" s="258" t="s">
        <v>1151</v>
      </c>
      <c r="G25" s="258" t="s">
        <v>1152</v>
      </c>
      <c r="H25" s="258" t="b">
        <v>1</v>
      </c>
    </row>
    <row r="26" spans="3:8" x14ac:dyDescent="0.25">
      <c r="C26" s="258">
        <v>20</v>
      </c>
      <c r="D26" s="300" t="s">
        <v>1153</v>
      </c>
      <c r="E26" s="258" t="s">
        <v>1154</v>
      </c>
      <c r="F26" s="258" t="s">
        <v>1155</v>
      </c>
      <c r="G26" s="258" t="s">
        <v>1156</v>
      </c>
      <c r="H26" s="258" t="s">
        <v>1157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B10D-E992-48CC-8940-894DB2E2D174}">
  <dimension ref="B2:V38"/>
  <sheetViews>
    <sheetView tabSelected="1" topLeftCell="H1" zoomScale="85" zoomScaleNormal="85" workbookViewId="0">
      <selection activeCell="U38" sqref="U38"/>
    </sheetView>
  </sheetViews>
  <sheetFormatPr defaultRowHeight="15" x14ac:dyDescent="0.25"/>
  <cols>
    <col min="3" max="6" width="18.7109375" bestFit="1" customWidth="1"/>
    <col min="7" max="7" width="18.7109375" customWidth="1"/>
    <col min="8" max="10" width="18.7109375" bestFit="1" customWidth="1"/>
    <col min="11" max="11" width="12.140625" customWidth="1"/>
    <col min="12" max="12" width="12.28515625" customWidth="1"/>
    <col min="13" max="14" width="19.42578125" customWidth="1"/>
    <col min="15" max="15" width="23.42578125" customWidth="1"/>
    <col min="16" max="16" width="26" customWidth="1"/>
    <col min="17" max="17" width="21.85546875" customWidth="1"/>
    <col min="18" max="18" width="12" bestFit="1" customWidth="1"/>
    <col min="19" max="19" width="14.42578125" customWidth="1"/>
    <col min="20" max="20" width="17.42578125" bestFit="1" customWidth="1"/>
    <col min="21" max="21" width="25.140625" customWidth="1"/>
    <col min="22" max="22" width="18.140625" customWidth="1"/>
  </cols>
  <sheetData>
    <row r="2" spans="2:22" x14ac:dyDescent="0.25">
      <c r="B2" s="334" t="s">
        <v>553</v>
      </c>
      <c r="C2" s="335"/>
      <c r="D2" s="335"/>
      <c r="E2" s="336"/>
      <c r="F2" s="318">
        <v>500</v>
      </c>
      <c r="G2" s="337"/>
      <c r="H2" s="337"/>
      <c r="I2" s="337"/>
      <c r="J2" s="337"/>
      <c r="K2" s="337"/>
    </row>
    <row r="3" spans="2:22" x14ac:dyDescent="0.25">
      <c r="B3" s="167" t="s">
        <v>901</v>
      </c>
      <c r="C3" s="137" t="s">
        <v>1158</v>
      </c>
      <c r="D3" s="137" t="s">
        <v>461</v>
      </c>
      <c r="E3" s="137" t="s">
        <v>462</v>
      </c>
      <c r="F3" s="137" t="s">
        <v>463</v>
      </c>
      <c r="G3" s="137" t="s">
        <v>1163</v>
      </c>
      <c r="H3" s="137" t="s">
        <v>464</v>
      </c>
      <c r="I3" s="137" t="s">
        <v>464</v>
      </c>
      <c r="J3" s="137" t="s">
        <v>552</v>
      </c>
      <c r="K3" s="137" t="s">
        <v>536</v>
      </c>
      <c r="L3" s="137" t="s">
        <v>533</v>
      </c>
      <c r="M3" s="138" t="s">
        <v>1162</v>
      </c>
      <c r="N3" s="138" t="s">
        <v>1204</v>
      </c>
      <c r="O3" s="138" t="s">
        <v>1201</v>
      </c>
      <c r="P3" s="138" t="s">
        <v>1203</v>
      </c>
      <c r="Q3" s="138" t="s">
        <v>1202</v>
      </c>
      <c r="S3" s="137" t="s">
        <v>1164</v>
      </c>
      <c r="T3" s="137" t="s">
        <v>1165</v>
      </c>
      <c r="U3" s="137" t="s">
        <v>1166</v>
      </c>
      <c r="V3" s="137" t="s">
        <v>1167</v>
      </c>
    </row>
    <row r="4" spans="2:22" x14ac:dyDescent="0.25">
      <c r="B4" s="169">
        <v>1</v>
      </c>
      <c r="C4" s="105" t="s">
        <v>473</v>
      </c>
      <c r="D4" s="105">
        <v>40</v>
      </c>
      <c r="E4" s="105">
        <v>46</v>
      </c>
      <c r="F4" s="105">
        <v>63</v>
      </c>
      <c r="G4" s="105">
        <v>63</v>
      </c>
      <c r="H4" s="105">
        <v>66</v>
      </c>
      <c r="I4" s="105">
        <v>66</v>
      </c>
      <c r="J4" s="105">
        <f>SUM(D4:I4)</f>
        <v>344</v>
      </c>
      <c r="K4" s="135">
        <f>J4/$F$2</f>
        <v>0.68799999999999994</v>
      </c>
      <c r="L4" s="135" t="str">
        <f>IF(K4&gt;=50%,"Pass","Fail")</f>
        <v>Pass</v>
      </c>
      <c r="M4" s="135" t="str" cm="1">
        <f t="array" ref="M4">_xlfn.IFS(K4&gt;=95%,"A+", K4&gt;=90%,"A", K4&gt;=85%,"A-", K4&gt;=80%,"B+", K4&gt;=75%,"B", K4&gt;=70%,"B-", K4&gt;=65%,"C+", K4&gt;=60%,"C", K4&gt;=55%,"C-", K4&gt;=50%,"PN", TRUE,"F")</f>
        <v>C+</v>
      </c>
      <c r="N4" s="135" t="str" cm="1">
        <f t="array" ref="N4">_xlfn.SWITCH(TRUE, K4&gt;=95%, "A+", K4&gt;=90%, "A", K4&gt;=85%, "A-", K4&gt;=80%, "B+", K4&gt;=75%, "B", K4&gt;=70%, "B-", K4&gt;=65%, "C+", K4&gt;=60%, "C", K4&gt;=55%, "C-", K4&gt;=50%, "PN", "F")</f>
        <v>C+</v>
      </c>
      <c r="O4" s="141" cm="1">
        <f t="array" ref="O4">_xlfn.IFS(K4&gt;=90%, 4, K4&gt;=85%, 3.67, K4&gt;=80%, 3.33, K4&gt;=75%, 3, K4&gt;=70%, 2.67, K4&gt;=65%, 2.33, K4&gt;=60%, 2, K4&gt;=55%, 1.67, K4&gt;=50%, "-", TRUE, 0)</f>
        <v>2.33</v>
      </c>
      <c r="P4" s="141" t="str" cm="1">
        <f t="array" ref="P4">_xlfn.SWITCH(M4, "A+", "Outstanding", "A", "Excellent", "A-", "Very Good", "B+", "Good", "B", "Fair", "B-", "Average", "C+", "Below Average", "C", "Satisfactory", "C-", "Pass", "PN", "Passed Non-credit", "Fail")</f>
        <v>Below Average</v>
      </c>
      <c r="Q4" s="135" t="str" cm="1">
        <f t="array" ref="Q4">_xlfn.IFS(K4&gt;=95%, "Outstanding", K4&gt;=90%, "Excellent", K4&gt;=85%, "Very Good", K4&gt;=80%, "Good", K4&gt;=75%, "Fair", K4&gt;=70%, "Average", K4&gt;=65%, "Below Average", K4&gt;=60%, "Satisfactory", K4&gt;=55%, "Pass", K4&gt;=50%, "Passed Non-credit", TRUE, "Fail")</f>
        <v>Below Average</v>
      </c>
      <c r="S4" s="105" t="s">
        <v>1168</v>
      </c>
      <c r="T4" s="105" t="s">
        <v>1169</v>
      </c>
      <c r="U4" s="105">
        <v>4</v>
      </c>
      <c r="V4" s="105" t="s">
        <v>1170</v>
      </c>
    </row>
    <row r="5" spans="2:22" x14ac:dyDescent="0.25">
      <c r="B5" s="169">
        <v>2</v>
      </c>
      <c r="C5" s="105" t="s">
        <v>474</v>
      </c>
      <c r="D5" s="105">
        <v>49</v>
      </c>
      <c r="E5" s="105">
        <v>73</v>
      </c>
      <c r="F5" s="105">
        <v>98</v>
      </c>
      <c r="G5" s="105">
        <v>66</v>
      </c>
      <c r="H5" s="105">
        <v>49</v>
      </c>
      <c r="I5" s="105">
        <v>49</v>
      </c>
      <c r="J5" s="105">
        <f t="shared" ref="J5:J18" si="0">SUM(D5:I5)</f>
        <v>384</v>
      </c>
      <c r="K5" s="135">
        <f t="shared" ref="K5:K18" si="1">J5/$F$2</f>
        <v>0.76800000000000002</v>
      </c>
      <c r="L5" s="135" t="str">
        <f t="shared" ref="L5:L18" si="2">IF(K5&gt;=50%,"Pass","Fail")</f>
        <v>Pass</v>
      </c>
      <c r="M5" s="135" t="str" cm="1">
        <f t="array" ref="M5">_xlfn.IFS(K5&gt;=95%,"A+", K5&gt;=90%,"A", K5&gt;=85%,"A-", K5&gt;=80%,"B+", K5&gt;=75%,"B", K5&gt;=70%,"B-", K5&gt;=65%,"C+", K5&gt;=60%,"C", K5&gt;=55%,"C-", K5&gt;=50%,"PN", TRUE,"F")</f>
        <v>B</v>
      </c>
      <c r="N5" s="135" t="str" cm="1">
        <f t="array" ref="N5">_xlfn.SWITCH(TRUE, K5&gt;=95%, "A+", K5&gt;=90%, "A", K5&gt;=85%, "A-", K5&gt;=80%, "B+", K5&gt;=75%, "B", K5&gt;=70%, "B-", K5&gt;=65%, "C+", K5&gt;=60%, "C", K5&gt;=55%, "C-", K5&gt;=50%, "PN", "F")</f>
        <v>B</v>
      </c>
      <c r="O5" s="141" cm="1">
        <f t="array" ref="O5">_xlfn.IFS(K5&gt;=90%, 4, K5&gt;=85%, 3.67, K5&gt;=80%, 3.33, K5&gt;=75%, 3, K5&gt;=70%, 2.67, K5&gt;=65%, 2.33, K5&gt;=60%, 2, K5&gt;=55%, 1.67, K5&gt;=50%, "-", TRUE, 0)</f>
        <v>3</v>
      </c>
      <c r="P5" s="141" t="str" cm="1">
        <f t="array" ref="P5">_xlfn.SWITCH(M5, "A+", "Outstanding", "A", "Excellent", "A-", "Very Good", "B+", "Good", "B", "Fair", "B-", "Average", "C+", "Below Average", "C", "Satisfactory", "C-", "Pass", "PN", "Passed Non-credit", "Fail")</f>
        <v>Fair</v>
      </c>
      <c r="Q5" s="135" t="str" cm="1">
        <f t="array" ref="Q5">_xlfn.IFS(K5&gt;=95%, "Outstanding", K5&gt;=90%, "Excellent", K5&gt;=85%, "Very Good", K5&gt;=80%, "Good", K5&gt;=75%, "Fair", K5&gt;=70%, "Average", K5&gt;=65%, "Below Average", K5&gt;=60%, "Satisfactory", K5&gt;=55%, "Pass", K5&gt;=50%, "Passed Non-credit", TRUE, "Fail")</f>
        <v>Fair</v>
      </c>
      <c r="S5" s="105" t="s">
        <v>1171</v>
      </c>
      <c r="T5" s="105" t="s">
        <v>1085</v>
      </c>
      <c r="U5" s="105">
        <v>4</v>
      </c>
      <c r="V5" s="105" t="s">
        <v>1172</v>
      </c>
    </row>
    <row r="6" spans="2:22" x14ac:dyDescent="0.25">
      <c r="B6" s="169">
        <v>3</v>
      </c>
      <c r="C6" s="105" t="s">
        <v>475</v>
      </c>
      <c r="D6" s="105">
        <v>82</v>
      </c>
      <c r="E6" s="105">
        <v>43</v>
      </c>
      <c r="F6" s="105">
        <v>63</v>
      </c>
      <c r="G6" s="105">
        <v>76</v>
      </c>
      <c r="H6" s="105">
        <v>84</v>
      </c>
      <c r="I6" s="105">
        <v>84</v>
      </c>
      <c r="J6" s="105">
        <f t="shared" si="0"/>
        <v>432</v>
      </c>
      <c r="K6" s="135">
        <f t="shared" si="1"/>
        <v>0.86399999999999999</v>
      </c>
      <c r="L6" s="135" t="str">
        <f t="shared" si="2"/>
        <v>Pass</v>
      </c>
      <c r="M6" s="135" t="str" cm="1">
        <f t="array" ref="M6">_xlfn.IFS(K6&gt;=95%,"A+", K6&gt;=90%,"A", K6&gt;=85%,"A-", K6&gt;=80%,"B+", K6&gt;=75%,"B", K6&gt;=70%,"B-", K6&gt;=65%,"C+", K6&gt;=60%,"C", K6&gt;=55%,"C-", K6&gt;=50%,"PN", TRUE,"F")</f>
        <v>A-</v>
      </c>
      <c r="N6" s="135" t="str" cm="1">
        <f t="array" ref="N6">_xlfn.SWITCH(TRUE, K6&gt;=95%, "A+", K6&gt;=90%, "A", K6&gt;=85%, "A-", K6&gt;=80%, "B+", K6&gt;=75%, "B", K6&gt;=70%, "B-", K6&gt;=65%, "C+", K6&gt;=60%, "C", K6&gt;=55%, "C-", K6&gt;=50%, "PN", "F")</f>
        <v>A-</v>
      </c>
      <c r="O6" s="141" cm="1">
        <f t="array" ref="O6">_xlfn.IFS(K6&gt;=90%, 4, K6&gt;=85%, 3.67, K6&gt;=80%, 3.33, K6&gt;=75%, 3, K6&gt;=70%, 2.67, K6&gt;=65%, 2.33, K6&gt;=60%, 2, K6&gt;=55%, 1.67, K6&gt;=50%, "-", TRUE, 0)</f>
        <v>3.67</v>
      </c>
      <c r="P6" s="141" t="str" cm="1">
        <f t="array" ref="P6">_xlfn.SWITCH(M6, "A+", "Outstanding", "A", "Excellent", "A-", "Very Good", "B+", "Good", "B", "Fair", "B-", "Average", "C+", "Below Average", "C", "Satisfactory", "C-", "Pass", "PN", "Passed Non-credit", "Fail")</f>
        <v>Very Good</v>
      </c>
      <c r="Q6" s="135" t="str" cm="1">
        <f t="array" ref="Q6">_xlfn.IFS(K6&gt;=95%, "Outstanding", K6&gt;=90%, "Excellent", K6&gt;=85%, "Very Good", K6&gt;=80%, "Good", K6&gt;=75%, "Fair", K6&gt;=70%, "Average", K6&gt;=65%, "Below Average", K6&gt;=60%, "Satisfactory", K6&gt;=55%, "Pass", K6&gt;=50%, "Passed Non-credit", TRUE, "Fail")</f>
        <v>Very Good</v>
      </c>
      <c r="S6" s="105" t="s">
        <v>1173</v>
      </c>
      <c r="T6" s="105" t="s">
        <v>1174</v>
      </c>
      <c r="U6" s="105">
        <v>3.67</v>
      </c>
      <c r="V6" s="105" t="s">
        <v>1175</v>
      </c>
    </row>
    <row r="7" spans="2:22" x14ac:dyDescent="0.25">
      <c r="B7" s="169">
        <v>4</v>
      </c>
      <c r="C7" s="105" t="s">
        <v>476</v>
      </c>
      <c r="D7" s="105">
        <v>32</v>
      </c>
      <c r="E7" s="105">
        <v>48</v>
      </c>
      <c r="F7" s="105">
        <v>26</v>
      </c>
      <c r="G7" s="105">
        <v>56</v>
      </c>
      <c r="H7" s="105">
        <v>51</v>
      </c>
      <c r="I7" s="105">
        <v>61</v>
      </c>
      <c r="J7" s="105">
        <f t="shared" si="0"/>
        <v>274</v>
      </c>
      <c r="K7" s="135">
        <f t="shared" si="1"/>
        <v>0.54800000000000004</v>
      </c>
      <c r="L7" s="135" t="str">
        <f t="shared" si="2"/>
        <v>Pass</v>
      </c>
      <c r="M7" s="135" t="str" cm="1">
        <f t="array" ref="M7">_xlfn.IFS(K7&gt;=95%,"A+", K7&gt;=90%,"A", K7&gt;=85%,"A-", K7&gt;=80%,"B+", K7&gt;=75%,"B", K7&gt;=70%,"B-", K7&gt;=65%,"C+", K7&gt;=60%,"C", K7&gt;=55%,"C-", K7&gt;=50%,"PN", TRUE,"F")</f>
        <v>PN</v>
      </c>
      <c r="N7" s="135" t="str" cm="1">
        <f t="array" ref="N7">_xlfn.SWITCH(TRUE, K7&gt;=95%, "A+", K7&gt;=90%, "A", K7&gt;=85%, "A-", K7&gt;=80%, "B+", K7&gt;=75%, "B", K7&gt;=70%, "B-", K7&gt;=65%, "C+", K7&gt;=60%, "C", K7&gt;=55%, "C-", K7&gt;=50%, "PN", "F")</f>
        <v>PN</v>
      </c>
      <c r="O7" s="141" t="str" cm="1">
        <f t="array" ref="O7">_xlfn.IFS(K7&gt;=90%, 4, K7&gt;=85%, 3.67, K7&gt;=80%, 3.33, K7&gt;=75%, 3, K7&gt;=70%, 2.67, K7&gt;=65%, 2.33, K7&gt;=60%, 2, K7&gt;=55%, 1.67, K7&gt;=50%, "-", TRUE, 0)</f>
        <v>-</v>
      </c>
      <c r="P7" s="141" t="str" cm="1">
        <f t="array" ref="P7">_xlfn.SWITCH(M7, "A+", "Outstanding", "A", "Excellent", "A-", "Very Good", "B+", "Good", "B", "Fair", "B-", "Average", "C+", "Below Average", "C", "Satisfactory", "C-", "Pass", "PN", "Passed Non-credit", "Fail")</f>
        <v>Passed Non-credit</v>
      </c>
      <c r="Q7" s="135" t="str" cm="1">
        <f t="array" ref="Q7">_xlfn.IFS(K7&gt;=95%, "Outstanding", K7&gt;=90%, "Excellent", K7&gt;=85%, "Very Good", K7&gt;=80%, "Good", K7&gt;=75%, "Fair", K7&gt;=70%, "Average", K7&gt;=65%, "Below Average", K7&gt;=60%, "Satisfactory", K7&gt;=55%, "Pass", K7&gt;=50%, "Passed Non-credit", TRUE, "Fail")</f>
        <v>Passed Non-credit</v>
      </c>
      <c r="S7" s="105" t="s">
        <v>1176</v>
      </c>
      <c r="T7" s="105" t="s">
        <v>1177</v>
      </c>
      <c r="U7" s="105">
        <v>3.33</v>
      </c>
      <c r="V7" s="105" t="s">
        <v>1178</v>
      </c>
    </row>
    <row r="8" spans="2:22" x14ac:dyDescent="0.25">
      <c r="B8" s="169">
        <v>5</v>
      </c>
      <c r="C8" s="105" t="s">
        <v>477</v>
      </c>
      <c r="D8" s="105">
        <v>60</v>
      </c>
      <c r="E8" s="105">
        <v>39</v>
      </c>
      <c r="F8" s="105">
        <v>66</v>
      </c>
      <c r="G8" s="105">
        <v>57</v>
      </c>
      <c r="H8" s="105">
        <v>78</v>
      </c>
      <c r="I8" s="105">
        <v>78</v>
      </c>
      <c r="J8" s="105">
        <f t="shared" si="0"/>
        <v>378</v>
      </c>
      <c r="K8" s="135">
        <f t="shared" si="1"/>
        <v>0.75600000000000001</v>
      </c>
      <c r="L8" s="135" t="str">
        <f t="shared" si="2"/>
        <v>Pass</v>
      </c>
      <c r="M8" s="135" t="str" cm="1">
        <f t="array" ref="M8">_xlfn.IFS(K8&gt;=95%,"A+", K8&gt;=90%,"A", K8&gt;=85%,"A-", K8&gt;=80%,"B+", K8&gt;=75%,"B", K8&gt;=70%,"B-", K8&gt;=65%,"C+", K8&gt;=60%,"C", K8&gt;=55%,"C-", K8&gt;=50%,"PN", TRUE,"F")</f>
        <v>B</v>
      </c>
      <c r="N8" s="135" t="str" cm="1">
        <f t="array" ref="N8">_xlfn.SWITCH(TRUE, K8&gt;=95%, "A+", K8&gt;=90%, "A", K8&gt;=85%, "A-", K8&gt;=80%, "B+", K8&gt;=75%, "B", K8&gt;=70%, "B-", K8&gt;=65%, "C+", K8&gt;=60%, "C", K8&gt;=55%, "C-", K8&gt;=50%, "PN", "F")</f>
        <v>B</v>
      </c>
      <c r="O8" s="141" cm="1">
        <f t="array" ref="O8">_xlfn.IFS(K8&gt;=90%, 4, K8&gt;=85%, 3.67, K8&gt;=80%, 3.33, K8&gt;=75%, 3, K8&gt;=70%, 2.67, K8&gt;=65%, 2.33, K8&gt;=60%, 2, K8&gt;=55%, 1.67, K8&gt;=50%, "-", TRUE, 0)</f>
        <v>3</v>
      </c>
      <c r="P8" s="141" t="str" cm="1">
        <f t="array" ref="P8">_xlfn.SWITCH(M8, "A+", "Outstanding", "A", "Excellent", "A-", "Very Good", "B+", "Good", "B", "Fair", "B-", "Average", "C+", "Below Average", "C", "Satisfactory", "C-", "Pass", "PN", "Passed Non-credit", "Fail")</f>
        <v>Fair</v>
      </c>
      <c r="Q8" s="135" t="str" cm="1">
        <f t="array" ref="Q8">_xlfn.IFS(K8&gt;=95%, "Outstanding", K8&gt;=90%, "Excellent", K8&gt;=85%, "Very Good", K8&gt;=80%, "Good", K8&gt;=75%, "Fair", K8&gt;=70%, "Average", K8&gt;=65%, "Below Average", K8&gt;=60%, "Satisfactory", K8&gt;=55%, "Pass", K8&gt;=50%, "Passed Non-credit", TRUE, "Fail")</f>
        <v>Fair</v>
      </c>
      <c r="S8" s="105" t="s">
        <v>1179</v>
      </c>
      <c r="T8" s="105" t="s">
        <v>1180</v>
      </c>
      <c r="U8" s="105">
        <v>3</v>
      </c>
      <c r="V8" s="105" t="s">
        <v>1181</v>
      </c>
    </row>
    <row r="9" spans="2:22" x14ac:dyDescent="0.25">
      <c r="B9" s="169">
        <v>6</v>
      </c>
      <c r="C9" s="105" t="s">
        <v>478</v>
      </c>
      <c r="D9" s="105">
        <v>80</v>
      </c>
      <c r="E9" s="105">
        <v>46</v>
      </c>
      <c r="F9" s="105">
        <v>50</v>
      </c>
      <c r="G9" s="105">
        <v>71</v>
      </c>
      <c r="H9" s="105">
        <v>76</v>
      </c>
      <c r="I9" s="105">
        <v>76</v>
      </c>
      <c r="J9" s="105">
        <f t="shared" si="0"/>
        <v>399</v>
      </c>
      <c r="K9" s="135">
        <f t="shared" si="1"/>
        <v>0.79800000000000004</v>
      </c>
      <c r="L9" s="135" t="str">
        <f t="shared" si="2"/>
        <v>Pass</v>
      </c>
      <c r="M9" s="135" t="str" cm="1">
        <f t="array" ref="M9">_xlfn.IFS(K9&gt;=95%,"A+", K9&gt;=90%,"A", K9&gt;=85%,"A-", K9&gt;=80%,"B+", K9&gt;=75%,"B", K9&gt;=70%,"B-", K9&gt;=65%,"C+", K9&gt;=60%,"C", K9&gt;=55%,"C-", K9&gt;=50%,"PN", TRUE,"F")</f>
        <v>B</v>
      </c>
      <c r="N9" s="135" t="str" cm="1">
        <f t="array" ref="N9">_xlfn.SWITCH(TRUE, K9&gt;=95%, "A+", K9&gt;=90%, "A", K9&gt;=85%, "A-", K9&gt;=80%, "B+", K9&gt;=75%, "B", K9&gt;=70%, "B-", K9&gt;=65%, "C+", K9&gt;=60%, "C", K9&gt;=55%, "C-", K9&gt;=50%, "PN", "F")</f>
        <v>B</v>
      </c>
      <c r="O9" s="141" cm="1">
        <f t="array" ref="O9">_xlfn.IFS(K9&gt;=90%, 4, K9&gt;=85%, 3.67, K9&gt;=80%, 3.33, K9&gt;=75%, 3, K9&gt;=70%, 2.67, K9&gt;=65%, 2.33, K9&gt;=60%, 2, K9&gt;=55%, 1.67, K9&gt;=50%, "-", TRUE, 0)</f>
        <v>3</v>
      </c>
      <c r="P9" s="141" t="str" cm="1">
        <f t="array" ref="P9">_xlfn.SWITCH(M9, "A+", "Outstanding", "A", "Excellent", "A-", "Very Good", "B+", "Good", "B", "Fair", "B-", "Average", "C+", "Below Average", "C", "Satisfactory", "C-", "Pass", "PN", "Passed Non-credit", "Fail")</f>
        <v>Fair</v>
      </c>
      <c r="Q9" s="135" t="str" cm="1">
        <f t="array" ref="Q9">_xlfn.IFS(K9&gt;=95%, "Outstanding", K9&gt;=90%, "Excellent", K9&gt;=85%, "Very Good", K9&gt;=80%, "Good", K9&gt;=75%, "Fair", K9&gt;=70%, "Average", K9&gt;=65%, "Below Average", K9&gt;=60%, "Satisfactory", K9&gt;=55%, "Pass", K9&gt;=50%, "Passed Non-credit", TRUE, "Fail")</f>
        <v>Fair</v>
      </c>
      <c r="S9" s="105" t="s">
        <v>1182</v>
      </c>
      <c r="T9" s="105" t="s">
        <v>1183</v>
      </c>
      <c r="U9" s="105">
        <v>2.67</v>
      </c>
      <c r="V9" s="105" t="s">
        <v>1184</v>
      </c>
    </row>
    <row r="10" spans="2:22" x14ac:dyDescent="0.25">
      <c r="B10" s="169">
        <v>7</v>
      </c>
      <c r="C10" s="105" t="s">
        <v>479</v>
      </c>
      <c r="D10" s="105">
        <v>62</v>
      </c>
      <c r="E10" s="105">
        <v>40</v>
      </c>
      <c r="F10" s="105">
        <v>40</v>
      </c>
      <c r="G10" s="105">
        <v>56</v>
      </c>
      <c r="H10" s="105">
        <v>76</v>
      </c>
      <c r="I10" s="105">
        <v>76</v>
      </c>
      <c r="J10" s="105">
        <f t="shared" si="0"/>
        <v>350</v>
      </c>
      <c r="K10" s="135">
        <f t="shared" si="1"/>
        <v>0.7</v>
      </c>
      <c r="L10" s="135" t="str">
        <f t="shared" si="2"/>
        <v>Pass</v>
      </c>
      <c r="M10" s="135" t="str" cm="1">
        <f t="array" ref="M10">_xlfn.IFS(K10&gt;=95%,"A+", K10&gt;=90%,"A", K10&gt;=85%,"A-", K10&gt;=80%,"B+", K10&gt;=75%,"B", K10&gt;=70%,"B-", K10&gt;=65%,"C+", K10&gt;=60%,"C", K10&gt;=55%,"C-", K10&gt;=50%,"PN", TRUE,"F")</f>
        <v>B-</v>
      </c>
      <c r="N10" s="135" t="str" cm="1">
        <f t="array" ref="N10">_xlfn.SWITCH(TRUE, K10&gt;=95%, "A+", K10&gt;=90%, "A", K10&gt;=85%, "A-", K10&gt;=80%, "B+", K10&gt;=75%, "B", K10&gt;=70%, "B-", K10&gt;=65%, "C+", K10&gt;=60%, "C", K10&gt;=55%, "C-", K10&gt;=50%, "PN", "F")</f>
        <v>B-</v>
      </c>
      <c r="O10" s="141" cm="1">
        <f t="array" ref="O10">_xlfn.IFS(K10&gt;=90%, 4, K10&gt;=85%, 3.67, K10&gt;=80%, 3.33, K10&gt;=75%, 3, K10&gt;=70%, 2.67, K10&gt;=65%, 2.33, K10&gt;=60%, 2, K10&gt;=55%, 1.67, K10&gt;=50%, "-", TRUE, 0)</f>
        <v>2.67</v>
      </c>
      <c r="P10" s="141" t="str" cm="1">
        <f t="array" ref="P10">_xlfn.SWITCH(M10, "A+", "Outstanding", "A", "Excellent", "A-", "Very Good", "B+", "Good", "B", "Fair", "B-", "Average", "C+", "Below Average", "C", "Satisfactory", "C-", "Pass", "PN", "Passed Non-credit", "Fail")</f>
        <v>Average</v>
      </c>
      <c r="Q10" s="135" t="str" cm="1">
        <f t="array" ref="Q10">_xlfn.IFS(K10&gt;=95%, "Outstanding", K10&gt;=90%, "Excellent", K10&gt;=85%, "Very Good", K10&gt;=80%, "Good", K10&gt;=75%, "Fair", K10&gt;=70%, "Average", K10&gt;=65%, "Below Average", K10&gt;=60%, "Satisfactory", K10&gt;=55%, "Pass", K10&gt;=50%, "Passed Non-credit", TRUE, "Fail")</f>
        <v>Average</v>
      </c>
      <c r="S10" s="105" t="s">
        <v>1185</v>
      </c>
      <c r="T10" s="105" t="s">
        <v>1186</v>
      </c>
      <c r="U10" s="105">
        <v>2.33</v>
      </c>
      <c r="V10" s="105" t="s">
        <v>1187</v>
      </c>
    </row>
    <row r="11" spans="2:22" x14ac:dyDescent="0.25">
      <c r="B11" s="169">
        <v>8</v>
      </c>
      <c r="C11" s="105" t="s">
        <v>549</v>
      </c>
      <c r="D11" s="105">
        <v>51</v>
      </c>
      <c r="E11" s="105">
        <v>88</v>
      </c>
      <c r="F11" s="105">
        <v>23</v>
      </c>
      <c r="G11" s="105">
        <v>53</v>
      </c>
      <c r="H11" s="105">
        <v>97</v>
      </c>
      <c r="I11" s="105">
        <v>97</v>
      </c>
      <c r="J11" s="105">
        <f t="shared" si="0"/>
        <v>409</v>
      </c>
      <c r="K11" s="135">
        <f t="shared" si="1"/>
        <v>0.81799999999999995</v>
      </c>
      <c r="L11" s="135" t="str">
        <f t="shared" si="2"/>
        <v>Pass</v>
      </c>
      <c r="M11" s="135" t="str" cm="1">
        <f t="array" ref="M11">_xlfn.IFS(K11&gt;=95%,"A+", K11&gt;=90%,"A", K11&gt;=85%,"A-", K11&gt;=80%,"B+", K11&gt;=75%,"B", K11&gt;=70%,"B-", K11&gt;=65%,"C+", K11&gt;=60%,"C", K11&gt;=55%,"C-", K11&gt;=50%,"PN", TRUE,"F")</f>
        <v>B+</v>
      </c>
      <c r="N11" s="135" t="str" cm="1">
        <f t="array" ref="N11">_xlfn.SWITCH(TRUE, K11&gt;=95%, "A+", K11&gt;=90%, "A", K11&gt;=85%, "A-", K11&gt;=80%, "B+", K11&gt;=75%, "B", K11&gt;=70%, "B-", K11&gt;=65%, "C+", K11&gt;=60%, "C", K11&gt;=55%, "C-", K11&gt;=50%, "PN", "F")</f>
        <v>B+</v>
      </c>
      <c r="O11" s="141" cm="1">
        <f t="array" ref="O11">_xlfn.IFS(K11&gt;=90%, 4, K11&gt;=85%, 3.67, K11&gt;=80%, 3.33, K11&gt;=75%, 3, K11&gt;=70%, 2.67, K11&gt;=65%, 2.33, K11&gt;=60%, 2, K11&gt;=55%, 1.67, K11&gt;=50%, "-", TRUE, 0)</f>
        <v>3.33</v>
      </c>
      <c r="P11" s="141" t="str" cm="1">
        <f t="array" ref="P11">_xlfn.SWITCH(M11, "A+", "Outstanding", "A", "Excellent", "A-", "Very Good", "B+", "Good", "B", "Fair", "B-", "Average", "C+", "Below Average", "C", "Satisfactory", "C-", "Pass", "PN", "Passed Non-credit", "Fail")</f>
        <v>Good</v>
      </c>
      <c r="Q11" s="135" t="str" cm="1">
        <f t="array" ref="Q11">_xlfn.IFS(K11&gt;=95%, "Outstanding", K11&gt;=90%, "Excellent", K11&gt;=85%, "Very Good", K11&gt;=80%, "Good", K11&gt;=75%, "Fair", K11&gt;=70%, "Average", K11&gt;=65%, "Below Average", K11&gt;=60%, "Satisfactory", K11&gt;=55%, "Pass", K11&gt;=50%, "Passed Non-credit", TRUE, "Fail")</f>
        <v>Good</v>
      </c>
      <c r="S11" s="105" t="s">
        <v>1188</v>
      </c>
      <c r="T11" s="105" t="s">
        <v>1189</v>
      </c>
      <c r="U11" s="105">
        <v>2</v>
      </c>
      <c r="V11" s="105" t="s">
        <v>1190</v>
      </c>
    </row>
    <row r="12" spans="2:22" x14ac:dyDescent="0.25">
      <c r="B12" s="169">
        <v>9</v>
      </c>
      <c r="C12" s="105" t="s">
        <v>481</v>
      </c>
      <c r="D12" s="105">
        <v>62</v>
      </c>
      <c r="E12" s="105">
        <v>61</v>
      </c>
      <c r="F12" s="105">
        <v>93</v>
      </c>
      <c r="G12" s="105">
        <v>61</v>
      </c>
      <c r="H12" s="105">
        <v>95</v>
      </c>
      <c r="I12" s="105">
        <v>95</v>
      </c>
      <c r="J12" s="105">
        <f t="shared" si="0"/>
        <v>467</v>
      </c>
      <c r="K12" s="135">
        <f t="shared" si="1"/>
        <v>0.93400000000000005</v>
      </c>
      <c r="L12" s="135" t="str">
        <f t="shared" si="2"/>
        <v>Pass</v>
      </c>
      <c r="M12" s="135" t="str" cm="1">
        <f t="array" ref="M12">_xlfn.IFS(K12&gt;=95%,"A+", K12&gt;=90%,"A", K12&gt;=85%,"A-", K12&gt;=80%,"B+", K12&gt;=75%,"B", K12&gt;=70%,"B-", K12&gt;=65%,"C+", K12&gt;=60%,"C", K12&gt;=55%,"C-", K12&gt;=50%,"PN", TRUE,"F")</f>
        <v>A</v>
      </c>
      <c r="N12" s="135" t="str" cm="1">
        <f t="array" ref="N12">_xlfn.SWITCH(TRUE, K12&gt;=95%, "A+", K12&gt;=90%, "A", K12&gt;=85%, "A-", K12&gt;=80%, "B+", K12&gt;=75%, "B", K12&gt;=70%, "B-", K12&gt;=65%, "C+", K12&gt;=60%, "C", K12&gt;=55%, "C-", K12&gt;=50%, "PN", "F")</f>
        <v>A</v>
      </c>
      <c r="O12" s="141" cm="1">
        <f t="array" ref="O12">_xlfn.IFS(K12&gt;=90%, 4, K12&gt;=85%, 3.67, K12&gt;=80%, 3.33, K12&gt;=75%, 3, K12&gt;=70%, 2.67, K12&gt;=65%, 2.33, K12&gt;=60%, 2, K12&gt;=55%, 1.67, K12&gt;=50%, "-", TRUE, 0)</f>
        <v>4</v>
      </c>
      <c r="P12" s="141" t="str" cm="1">
        <f t="array" ref="P12">_xlfn.SWITCH(M12, "A+", "Outstanding", "A", "Excellent", "A-", "Very Good", "B+", "Good", "B", "Fair", "B-", "Average", "C+", "Below Average", "C", "Satisfactory", "C-", "Pass", "PN", "Passed Non-credit", "Fail")</f>
        <v>Excellent</v>
      </c>
      <c r="Q12" s="135" t="str" cm="1">
        <f t="array" ref="Q12">_xlfn.IFS(K12&gt;=95%, "Outstanding", K12&gt;=90%, "Excellent", K12&gt;=85%, "Very Good", K12&gt;=80%, "Good", K12&gt;=75%, "Fair", K12&gt;=70%, "Average", K12&gt;=65%, "Below Average", K12&gt;=60%, "Satisfactory", K12&gt;=55%, "Pass", K12&gt;=50%, "Passed Non-credit", TRUE, "Fail")</f>
        <v>Excellent</v>
      </c>
      <c r="S12" s="105" t="s">
        <v>1191</v>
      </c>
      <c r="T12" s="105" t="s">
        <v>1192</v>
      </c>
      <c r="U12" s="105">
        <v>1.67</v>
      </c>
      <c r="V12" s="105" t="s">
        <v>1080</v>
      </c>
    </row>
    <row r="13" spans="2:22" x14ac:dyDescent="0.25">
      <c r="B13" s="169">
        <v>10</v>
      </c>
      <c r="C13" s="105" t="s">
        <v>482</v>
      </c>
      <c r="D13" s="105">
        <v>67</v>
      </c>
      <c r="E13" s="105">
        <v>63</v>
      </c>
      <c r="F13" s="105">
        <v>47</v>
      </c>
      <c r="G13" s="105">
        <v>76</v>
      </c>
      <c r="H13" s="105">
        <v>80</v>
      </c>
      <c r="I13" s="105">
        <v>80</v>
      </c>
      <c r="J13" s="105">
        <f t="shared" si="0"/>
        <v>413</v>
      </c>
      <c r="K13" s="135">
        <f t="shared" si="1"/>
        <v>0.82599999999999996</v>
      </c>
      <c r="L13" s="135" t="str">
        <f t="shared" si="2"/>
        <v>Pass</v>
      </c>
      <c r="M13" s="135" t="str" cm="1">
        <f t="array" ref="M13">_xlfn.IFS(K13&gt;=95%,"A+", K13&gt;=90%,"A", K13&gt;=85%,"A-", K13&gt;=80%,"B+", K13&gt;=75%,"B", K13&gt;=70%,"B-", K13&gt;=65%,"C+", K13&gt;=60%,"C", K13&gt;=55%,"C-", K13&gt;=50%,"PN", TRUE,"F")</f>
        <v>B+</v>
      </c>
      <c r="N13" s="135" t="str" cm="1">
        <f t="array" ref="N13">_xlfn.SWITCH(TRUE, K13&gt;=95%, "A+", K13&gt;=90%, "A", K13&gt;=85%, "A-", K13&gt;=80%, "B+", K13&gt;=75%, "B", K13&gt;=70%, "B-", K13&gt;=65%, "C+", K13&gt;=60%, "C", K13&gt;=55%, "C-", K13&gt;=50%, "PN", "F")</f>
        <v>B+</v>
      </c>
      <c r="O13" s="141" cm="1">
        <f t="array" ref="O13">_xlfn.IFS(K13&gt;=90%, 4, K13&gt;=85%, 3.67, K13&gt;=80%, 3.33, K13&gt;=75%, 3, K13&gt;=70%, 2.67, K13&gt;=65%, 2.33, K13&gt;=60%, 2, K13&gt;=55%, 1.67, K13&gt;=50%, "-", TRUE, 0)</f>
        <v>3.33</v>
      </c>
      <c r="P13" s="141" t="str" cm="1">
        <f t="array" ref="P13">_xlfn.SWITCH(M13, "A+", "Outstanding", "A", "Excellent", "A-", "Very Good", "B+", "Good", "B", "Fair", "B-", "Average", "C+", "Below Average", "C", "Satisfactory", "C-", "Pass", "PN", "Passed Non-credit", "Fail")</f>
        <v>Good</v>
      </c>
      <c r="Q13" s="135" t="str" cm="1">
        <f t="array" ref="Q13">_xlfn.IFS(K13&gt;=95%, "Outstanding", K13&gt;=90%, "Excellent", K13&gt;=85%, "Very Good", K13&gt;=80%, "Good", K13&gt;=75%, "Fair", K13&gt;=70%, "Average", K13&gt;=65%, "Below Average", K13&gt;=60%, "Satisfactory", K13&gt;=55%, "Pass", K13&gt;=50%, "Passed Non-credit", TRUE, "Fail")</f>
        <v>Good</v>
      </c>
      <c r="S13" s="105" t="s">
        <v>1193</v>
      </c>
      <c r="T13" s="105" t="s">
        <v>1194</v>
      </c>
      <c r="U13" s="105" t="s">
        <v>1195</v>
      </c>
      <c r="V13" s="105" t="s">
        <v>1196</v>
      </c>
    </row>
    <row r="14" spans="2:22" x14ac:dyDescent="0.25">
      <c r="B14" s="169">
        <v>11</v>
      </c>
      <c r="C14" s="105" t="s">
        <v>550</v>
      </c>
      <c r="D14" s="105">
        <v>57</v>
      </c>
      <c r="E14" s="105">
        <v>17</v>
      </c>
      <c r="F14" s="105">
        <v>26</v>
      </c>
      <c r="G14" s="105">
        <v>77</v>
      </c>
      <c r="H14" s="105">
        <v>99</v>
      </c>
      <c r="I14" s="105">
        <v>99</v>
      </c>
      <c r="J14" s="105">
        <f t="shared" si="0"/>
        <v>375</v>
      </c>
      <c r="K14" s="135">
        <f t="shared" si="1"/>
        <v>0.75</v>
      </c>
      <c r="L14" s="135" t="str">
        <f t="shared" si="2"/>
        <v>Pass</v>
      </c>
      <c r="M14" s="135" t="str" cm="1">
        <f t="array" ref="M14">_xlfn.IFS(K14&gt;=95%,"A+", K14&gt;=90%,"A", K14&gt;=85%,"A-", K14&gt;=80%,"B+", K14&gt;=75%,"B", K14&gt;=70%,"B-", K14&gt;=65%,"C+", K14&gt;=60%,"C", K14&gt;=55%,"C-", K14&gt;=50%,"PN", TRUE,"F")</f>
        <v>B</v>
      </c>
      <c r="N14" s="135" t="str" cm="1">
        <f t="array" ref="N14">_xlfn.SWITCH(TRUE, K14&gt;=95%, "A+", K14&gt;=90%, "A", K14&gt;=85%, "A-", K14&gt;=80%, "B+", K14&gt;=75%, "B", K14&gt;=70%, "B-", K14&gt;=65%, "C+", K14&gt;=60%, "C", K14&gt;=55%, "C-", K14&gt;=50%, "PN", "F")</f>
        <v>B</v>
      </c>
      <c r="O14" s="141" cm="1">
        <f t="array" ref="O14">_xlfn.IFS(K14&gt;=90%, 4, K14&gt;=85%, 3.67, K14&gt;=80%, 3.33, K14&gt;=75%, 3, K14&gt;=70%, 2.67, K14&gt;=65%, 2.33, K14&gt;=60%, 2, K14&gt;=55%, 1.67, K14&gt;=50%, "-", TRUE, 0)</f>
        <v>3</v>
      </c>
      <c r="P14" s="141" t="str" cm="1">
        <f t="array" ref="P14">_xlfn.SWITCH(M14, "A+", "Outstanding", "A", "Excellent", "A-", "Very Good", "B+", "Good", "B", "Fair", "B-", "Average", "C+", "Below Average", "C", "Satisfactory", "C-", "Pass", "PN", "Passed Non-credit", "Fail")</f>
        <v>Fair</v>
      </c>
      <c r="Q14" s="135" t="str" cm="1">
        <f t="array" ref="Q14">_xlfn.IFS(K14&gt;=95%, "Outstanding", K14&gt;=90%, "Excellent", K14&gt;=85%, "Very Good", K14&gt;=80%, "Good", K14&gt;=75%, "Fair", K14&gt;=70%, "Average", K14&gt;=65%, "Below Average", K14&gt;=60%, "Satisfactory", K14&gt;=55%, "Pass", K14&gt;=50%, "Passed Non-credit", TRUE, "Fail")</f>
        <v>Fair</v>
      </c>
      <c r="S14" s="105" t="s">
        <v>1197</v>
      </c>
      <c r="T14" s="105" t="s">
        <v>1198</v>
      </c>
      <c r="U14" s="105">
        <v>0</v>
      </c>
      <c r="V14" s="105" t="s">
        <v>1199</v>
      </c>
    </row>
    <row r="15" spans="2:22" x14ac:dyDescent="0.25">
      <c r="B15" s="169">
        <v>12</v>
      </c>
      <c r="C15" s="105" t="s">
        <v>484</v>
      </c>
      <c r="D15" s="105">
        <v>56</v>
      </c>
      <c r="E15" s="105">
        <v>63</v>
      </c>
      <c r="F15" s="105">
        <v>68</v>
      </c>
      <c r="G15" s="105">
        <v>37</v>
      </c>
      <c r="H15" s="105">
        <v>20</v>
      </c>
      <c r="I15" s="105">
        <v>10</v>
      </c>
      <c r="J15" s="105">
        <f t="shared" si="0"/>
        <v>254</v>
      </c>
      <c r="K15" s="135">
        <f t="shared" si="1"/>
        <v>0.50800000000000001</v>
      </c>
      <c r="L15" s="135" t="str">
        <f t="shared" si="2"/>
        <v>Pass</v>
      </c>
      <c r="M15" s="135" t="str" cm="1">
        <f t="array" ref="M15">_xlfn.IFS(K15&gt;=95%,"A+", K15&gt;=90%,"A", K15&gt;=85%,"A-", K15&gt;=80%,"B+", K15&gt;=75%,"B", K15&gt;=70%,"B-", K15&gt;=65%,"C+", K15&gt;=60%,"C", K15&gt;=55%,"C-", K15&gt;=50%,"PN", TRUE,"F")</f>
        <v>PN</v>
      </c>
      <c r="N15" s="135" t="str" cm="1">
        <f t="array" ref="N15">_xlfn.SWITCH(TRUE, K15&gt;=95%, "A+", K15&gt;=90%, "A", K15&gt;=85%, "A-", K15&gt;=80%, "B+", K15&gt;=75%, "B", K15&gt;=70%, "B-", K15&gt;=65%, "C+", K15&gt;=60%, "C", K15&gt;=55%, "C-", K15&gt;=50%, "PN", "F")</f>
        <v>PN</v>
      </c>
      <c r="O15" s="141" t="str" cm="1">
        <f t="array" ref="O15">_xlfn.IFS(K15&gt;=90%, 4, K15&gt;=85%, 3.67, K15&gt;=80%, 3.33, K15&gt;=75%, 3, K15&gt;=70%, 2.67, K15&gt;=65%, 2.33, K15&gt;=60%, 2, K15&gt;=55%, 1.67, K15&gt;=50%, "-", TRUE, 0)</f>
        <v>-</v>
      </c>
      <c r="P15" s="141" t="str" cm="1">
        <f t="array" ref="P15">_xlfn.SWITCH(M15, "A+", "Outstanding", "A", "Excellent", "A-", "Very Good", "B+", "Good", "B", "Fair", "B-", "Average", "C+", "Below Average", "C", "Satisfactory", "C-", "Pass", "PN", "Passed Non-credit", "Fail")</f>
        <v>Passed Non-credit</v>
      </c>
      <c r="Q15" s="135" t="str" cm="1">
        <f t="array" ref="Q15">_xlfn.IFS(K15&gt;=95%, "Outstanding", K15&gt;=90%, "Excellent", K15&gt;=85%, "Very Good", K15&gt;=80%, "Good", K15&gt;=75%, "Fair", K15&gt;=70%, "Average", K15&gt;=65%, "Below Average", K15&gt;=60%, "Satisfactory", K15&gt;=55%, "Pass", K15&gt;=50%, "Passed Non-credit", TRUE, "Fail")</f>
        <v>Passed Non-credit</v>
      </c>
    </row>
    <row r="16" spans="2:22" x14ac:dyDescent="0.25">
      <c r="B16" s="169">
        <v>13</v>
      </c>
      <c r="C16" s="105" t="s">
        <v>551</v>
      </c>
      <c r="D16" s="105">
        <v>48</v>
      </c>
      <c r="E16" s="105">
        <v>26</v>
      </c>
      <c r="F16" s="105">
        <v>40</v>
      </c>
      <c r="G16" s="105">
        <v>73</v>
      </c>
      <c r="H16" s="105">
        <v>52</v>
      </c>
      <c r="I16" s="105">
        <v>52</v>
      </c>
      <c r="J16" s="105">
        <f t="shared" si="0"/>
        <v>291</v>
      </c>
      <c r="K16" s="135">
        <f t="shared" si="1"/>
        <v>0.58199999999999996</v>
      </c>
      <c r="L16" s="135" t="str">
        <f t="shared" si="2"/>
        <v>Pass</v>
      </c>
      <c r="M16" s="135" t="str" cm="1">
        <f t="array" ref="M16">_xlfn.IFS(K16&gt;=95%,"A+", K16&gt;=90%,"A", K16&gt;=85%,"A-", K16&gt;=80%,"B+", K16&gt;=75%,"B", K16&gt;=70%,"B-", K16&gt;=65%,"C+", K16&gt;=60%,"C", K16&gt;=55%,"C-", K16&gt;=50%,"PN", TRUE,"F")</f>
        <v>C-</v>
      </c>
      <c r="N16" s="135" t="str" cm="1">
        <f t="array" ref="N16">_xlfn.SWITCH(TRUE, K16&gt;=95%, "A+", K16&gt;=90%, "A", K16&gt;=85%, "A-", K16&gt;=80%, "B+", K16&gt;=75%, "B", K16&gt;=70%, "B-", K16&gt;=65%, "C+", K16&gt;=60%, "C", K16&gt;=55%, "C-", K16&gt;=50%, "PN", "F")</f>
        <v>C-</v>
      </c>
      <c r="O16" s="141" cm="1">
        <f t="array" ref="O16">_xlfn.IFS(K16&gt;=90%, 4, K16&gt;=85%, 3.67, K16&gt;=80%, 3.33, K16&gt;=75%, 3, K16&gt;=70%, 2.67, K16&gt;=65%, 2.33, K16&gt;=60%, 2, K16&gt;=55%, 1.67, K16&gt;=50%, "-", TRUE, 0)</f>
        <v>1.67</v>
      </c>
      <c r="P16" s="141" t="str" cm="1">
        <f t="array" ref="P16">_xlfn.SWITCH(M16, "A+", "Outstanding", "A", "Excellent", "A-", "Very Good", "B+", "Good", "B", "Fair", "B-", "Average", "C+", "Below Average", "C", "Satisfactory", "C-", "Pass", "PN", "Passed Non-credit", "Fail")</f>
        <v>Pass</v>
      </c>
      <c r="Q16" s="135" t="str" cm="1">
        <f t="array" ref="Q16">_xlfn.IFS(K16&gt;=95%, "Outstanding", K16&gt;=90%, "Excellent", K16&gt;=85%, "Very Good", K16&gt;=80%, "Good", K16&gt;=75%, "Fair", K16&gt;=70%, "Average", K16&gt;=65%, "Below Average", K16&gt;=60%, "Satisfactory", K16&gt;=55%, "Pass", K16&gt;=50%, "Passed Non-credit", TRUE, "Fail")</f>
        <v>Pass</v>
      </c>
    </row>
    <row r="17" spans="2:17" x14ac:dyDescent="0.25">
      <c r="B17" s="169">
        <v>14</v>
      </c>
      <c r="C17" s="105" t="s">
        <v>486</v>
      </c>
      <c r="D17" s="105">
        <v>40</v>
      </c>
      <c r="E17" s="105">
        <v>77</v>
      </c>
      <c r="F17" s="105">
        <v>69</v>
      </c>
      <c r="G17" s="105">
        <v>62</v>
      </c>
      <c r="H17" s="105">
        <v>40</v>
      </c>
      <c r="I17" s="105">
        <v>40</v>
      </c>
      <c r="J17" s="105">
        <f t="shared" si="0"/>
        <v>328</v>
      </c>
      <c r="K17" s="135">
        <f t="shared" si="1"/>
        <v>0.65600000000000003</v>
      </c>
      <c r="L17" s="135" t="str">
        <f t="shared" si="2"/>
        <v>Pass</v>
      </c>
      <c r="M17" s="135" t="str" cm="1">
        <f t="array" ref="M17">_xlfn.IFS(K17&gt;=95%,"A+", K17&gt;=90%,"A", K17&gt;=85%,"A-", K17&gt;=80%,"B+", K17&gt;=75%,"B", K17&gt;=70%,"B-", K17&gt;=65%,"C+", K17&gt;=60%,"C", K17&gt;=55%,"C-", K17&gt;=50%,"PN", TRUE,"F")</f>
        <v>C+</v>
      </c>
      <c r="N17" s="135" t="str" cm="1">
        <f t="array" ref="N17">_xlfn.SWITCH(TRUE, K17&gt;=95%, "A+", K17&gt;=90%, "A", K17&gt;=85%, "A-", K17&gt;=80%, "B+", K17&gt;=75%, "B", K17&gt;=70%, "B-", K17&gt;=65%, "C+", K17&gt;=60%, "C", K17&gt;=55%, "C-", K17&gt;=50%, "PN", "F")</f>
        <v>C+</v>
      </c>
      <c r="O17" s="141" cm="1">
        <f t="array" ref="O17">_xlfn.IFS(K17&gt;=90%, 4, K17&gt;=85%, 3.67, K17&gt;=80%, 3.33, K17&gt;=75%, 3, K17&gt;=70%, 2.67, K17&gt;=65%, 2.33, K17&gt;=60%, 2, K17&gt;=55%, 1.67, K17&gt;=50%, "-", TRUE, 0)</f>
        <v>2.33</v>
      </c>
      <c r="P17" s="141" t="str" cm="1">
        <f t="array" ref="P17">_xlfn.SWITCH(M17, "A+", "Outstanding", "A", "Excellent", "A-", "Very Good", "B+", "Good", "B", "Fair", "B-", "Average", "C+", "Below Average", "C", "Satisfactory", "C-", "Pass", "PN", "Passed Non-credit", "Fail")</f>
        <v>Below Average</v>
      </c>
      <c r="Q17" s="135" t="str" cm="1">
        <f t="array" ref="Q17">_xlfn.IFS(K17&gt;=95%, "Outstanding", K17&gt;=90%, "Excellent", K17&gt;=85%, "Very Good", K17&gt;=80%, "Good", K17&gt;=75%, "Fair", K17&gt;=70%, "Average", K17&gt;=65%, "Below Average", K17&gt;=60%, "Satisfactory", K17&gt;=55%, "Pass", K17&gt;=50%, "Passed Non-credit", TRUE, "Fail")</f>
        <v>Below Average</v>
      </c>
    </row>
    <row r="18" spans="2:17" x14ac:dyDescent="0.25">
      <c r="B18" s="169">
        <v>15</v>
      </c>
      <c r="C18" s="105" t="s">
        <v>487</v>
      </c>
      <c r="D18" s="105">
        <v>52</v>
      </c>
      <c r="E18" s="105">
        <v>81</v>
      </c>
      <c r="F18" s="105">
        <v>29</v>
      </c>
      <c r="G18" s="105">
        <v>37</v>
      </c>
      <c r="H18" s="105">
        <v>10</v>
      </c>
      <c r="I18" s="105">
        <v>10</v>
      </c>
      <c r="J18" s="105">
        <f t="shared" si="0"/>
        <v>219</v>
      </c>
      <c r="K18" s="135">
        <f t="shared" si="1"/>
        <v>0.438</v>
      </c>
      <c r="L18" s="135" t="str">
        <f t="shared" si="2"/>
        <v>Fail</v>
      </c>
      <c r="M18" s="135" t="str" cm="1">
        <f t="array" ref="M18">_xlfn.IFS(K18&gt;=95%,"A+", K18&gt;=90%,"A", K18&gt;=85%,"A-", K18&gt;=80%,"B+", K18&gt;=75%,"B", K18&gt;=70%,"B-", K18&gt;=65%,"C+", K18&gt;=60%,"C", K18&gt;=55%,"C-", K18&gt;=50%,"PN", TRUE,"F")</f>
        <v>F</v>
      </c>
      <c r="N18" s="135" t="str" cm="1">
        <f t="array" ref="N18">_xlfn.SWITCH(TRUE, K18&gt;=95%, "A+", K18&gt;=90%, "A", K18&gt;=85%, "A-", K18&gt;=80%, "B+", K18&gt;=75%, "B", K18&gt;=70%, "B-", K18&gt;=65%, "C+", K18&gt;=60%, "C", K18&gt;=55%, "C-", K18&gt;=50%, "PN", "F")</f>
        <v>F</v>
      </c>
      <c r="O18" s="141" cm="1">
        <f t="array" ref="O18">_xlfn.IFS(K18&gt;=90%, 4, K18&gt;=85%, 3.67, K18&gt;=80%, 3.33, K18&gt;=75%, 3, K18&gt;=70%, 2.67, K18&gt;=65%, 2.33, K18&gt;=60%, 2, K18&gt;=55%, 1.67, K18&gt;=50%, "-", TRUE, 0)</f>
        <v>0</v>
      </c>
      <c r="P18" s="141" t="str" cm="1">
        <f t="array" ref="P18">_xlfn.SWITCH(M18, "A+", "Outstanding", "A", "Excellent", "A-", "Very Good", "B+", "Good", "B", "Fair", "B-", "Average", "C+", "Below Average", "C", "Satisfactory", "C-", "Pass", "PN", "Passed Non-credit", "Fail")</f>
        <v>Fail</v>
      </c>
      <c r="Q18" s="135" t="str" cm="1">
        <f t="array" ref="Q18">_xlfn.IFS(K18&gt;=95%, "Outstanding", K18&gt;=90%, "Excellent", K18&gt;=85%, "Very Good", K18&gt;=80%, "Good", K18&gt;=75%, "Fair", K18&gt;=70%, "Average", K18&gt;=65%, "Below Average", K18&gt;=60%, "Satisfactory", K18&gt;=55%, "Pass", K18&gt;=50%, "Passed Non-credit", TRUE, "Fail")</f>
        <v>Fail</v>
      </c>
    </row>
    <row r="23" spans="2:17" x14ac:dyDescent="0.25">
      <c r="B23" s="167" t="s">
        <v>901</v>
      </c>
      <c r="C23" s="137" t="s">
        <v>1158</v>
      </c>
      <c r="D23" s="137" t="s">
        <v>45</v>
      </c>
      <c r="E23" s="137" t="s">
        <v>1159</v>
      </c>
      <c r="F23" s="137" t="s">
        <v>1160</v>
      </c>
      <c r="G23" s="137" t="s">
        <v>1086</v>
      </c>
      <c r="H23" s="137" t="s">
        <v>1090</v>
      </c>
      <c r="I23" s="137" t="s">
        <v>1161</v>
      </c>
    </row>
    <row r="24" spans="2:17" x14ac:dyDescent="0.25">
      <c r="B24" s="169">
        <v>1</v>
      </c>
      <c r="C24" s="105" t="s">
        <v>473</v>
      </c>
      <c r="D24" s="105">
        <v>46829</v>
      </c>
      <c r="E24" s="338">
        <f>IF(D24&gt;=70000,5,IF(D24&gt;=60000,4,IF(D24&gt;=50000,3,IF(D24&gt;=40000,2,1))))</f>
        <v>2</v>
      </c>
      <c r="F24" s="105" t="str">
        <f>IF(AND(D24&gt;=50000,E24&gt;=3),"Bonus Eligible","No Bonus")</f>
        <v>No Bonus</v>
      </c>
      <c r="G24" s="105" t="b">
        <f>AND(D24&gt;=50000,E24&gt;=3)</f>
        <v>0</v>
      </c>
      <c r="H24" s="105" t="b">
        <f>OR(D24&gt;=50000,E24&gt;=3)</f>
        <v>0</v>
      </c>
      <c r="I24" s="105" t="str">
        <f>IF(OR(D24&gt;=50000,E24&gt;=3),"Bonus Eligible","No Bonus")</f>
        <v>No Bonus</v>
      </c>
      <c r="Q24" t="s">
        <v>1200</v>
      </c>
    </row>
    <row r="25" spans="2:17" x14ac:dyDescent="0.25">
      <c r="B25" s="169">
        <v>2</v>
      </c>
      <c r="C25" s="105" t="s">
        <v>474</v>
      </c>
      <c r="D25" s="105">
        <v>52917</v>
      </c>
      <c r="E25" s="338">
        <f t="shared" ref="E25:E38" si="3">IF(D25&gt;=70000,5,IF(D25&gt;=60000,4,IF(D25&gt;=50000,3,IF(D25&gt;=40000,2,1))))</f>
        <v>3</v>
      </c>
      <c r="F25" s="105" t="str">
        <f t="shared" ref="F25:F38" si="4">IF(AND(D25&gt;=50000,E25&gt;=3),"Bonus Eligible","No Bonus")</f>
        <v>Bonus Eligible</v>
      </c>
      <c r="G25" s="105" t="b">
        <f>AND(D25&gt;=50000,E25&gt;=3)</f>
        <v>1</v>
      </c>
      <c r="H25" s="105" t="b">
        <f>OR(D25&gt;=50000,E25&gt;=3)</f>
        <v>1</v>
      </c>
      <c r="I25" s="105" t="str">
        <f>IF(OR(D25&gt;=50000,E25&gt;=3),"Bonus Eligible","No Bonus")</f>
        <v>Bonus Eligible</v>
      </c>
    </row>
    <row r="26" spans="2:17" x14ac:dyDescent="0.25">
      <c r="B26" s="169">
        <v>3</v>
      </c>
      <c r="C26" s="105" t="s">
        <v>475</v>
      </c>
      <c r="D26" s="105">
        <v>66037</v>
      </c>
      <c r="E26" s="338">
        <f t="shared" si="3"/>
        <v>4</v>
      </c>
      <c r="F26" s="105" t="str">
        <f t="shared" si="4"/>
        <v>Bonus Eligible</v>
      </c>
      <c r="G26" s="105" t="b">
        <f>AND(D26&gt;=50000,E26&gt;=3)</f>
        <v>1</v>
      </c>
      <c r="H26" s="105" t="b">
        <f>OR(D26&gt;=50000,E26&gt;=3)</f>
        <v>1</v>
      </c>
      <c r="I26" s="105" t="str">
        <f>IF(OR(D26&gt;=50000,E26&gt;=3),"Bonus Eligible","No Bonus")</f>
        <v>Bonus Eligible</v>
      </c>
    </row>
    <row r="27" spans="2:17" x14ac:dyDescent="0.25">
      <c r="B27" s="169">
        <v>4</v>
      </c>
      <c r="C27" s="105" t="s">
        <v>476</v>
      </c>
      <c r="D27" s="105">
        <v>51623</v>
      </c>
      <c r="E27" s="338">
        <f t="shared" si="3"/>
        <v>3</v>
      </c>
      <c r="F27" s="105" t="str">
        <f t="shared" si="4"/>
        <v>Bonus Eligible</v>
      </c>
      <c r="G27" s="105" t="b">
        <f>AND(D27&gt;=50000,E27&gt;=3)</f>
        <v>1</v>
      </c>
      <c r="H27" s="105" t="b">
        <f>OR(D27&gt;=50000,E27&gt;=3)</f>
        <v>1</v>
      </c>
      <c r="I27" s="105" t="str">
        <f>IF(OR(D27&gt;=50000,E27&gt;=3),"Bonus Eligible","No Bonus")</f>
        <v>Bonus Eligible</v>
      </c>
    </row>
    <row r="28" spans="2:17" x14ac:dyDescent="0.25">
      <c r="B28" s="169">
        <v>5</v>
      </c>
      <c r="C28" s="105" t="s">
        <v>477</v>
      </c>
      <c r="D28" s="105">
        <v>58370</v>
      </c>
      <c r="E28" s="338">
        <f t="shared" si="3"/>
        <v>3</v>
      </c>
      <c r="F28" s="105" t="str">
        <f t="shared" si="4"/>
        <v>Bonus Eligible</v>
      </c>
      <c r="G28" s="105" t="b">
        <f>AND(D28&gt;=50000,E28&gt;=3)</f>
        <v>1</v>
      </c>
      <c r="H28" s="105" t="b">
        <f>OR(D28&gt;=50000,E28&gt;=3)</f>
        <v>1</v>
      </c>
      <c r="I28" s="105" t="str">
        <f>IF(OR(D28&gt;=50000,E28&gt;=3),"Bonus Eligible","No Bonus")</f>
        <v>Bonus Eligible</v>
      </c>
    </row>
    <row r="29" spans="2:17" x14ac:dyDescent="0.25">
      <c r="B29" s="169">
        <v>6</v>
      </c>
      <c r="C29" s="105" t="s">
        <v>478</v>
      </c>
      <c r="D29" s="105">
        <v>48375</v>
      </c>
      <c r="E29" s="338">
        <f t="shared" si="3"/>
        <v>2</v>
      </c>
      <c r="F29" s="105" t="str">
        <f t="shared" si="4"/>
        <v>No Bonus</v>
      </c>
      <c r="G29" s="105" t="b">
        <f>AND(D29&gt;=50000,E29&gt;=3)</f>
        <v>0</v>
      </c>
      <c r="H29" s="105" t="b">
        <f>OR(D29&gt;=50000,E29&gt;=3)</f>
        <v>0</v>
      </c>
      <c r="I29" s="105" t="str">
        <f>IF(OR(D29&gt;=50000,E29&gt;=3),"Bonus Eligible","No Bonus")</f>
        <v>No Bonus</v>
      </c>
    </row>
    <row r="30" spans="2:17" x14ac:dyDescent="0.25">
      <c r="B30" s="169">
        <v>7</v>
      </c>
      <c r="C30" s="105" t="s">
        <v>479</v>
      </c>
      <c r="D30" s="105">
        <v>65352</v>
      </c>
      <c r="E30" s="338">
        <f t="shared" si="3"/>
        <v>4</v>
      </c>
      <c r="F30" s="105" t="str">
        <f t="shared" si="4"/>
        <v>Bonus Eligible</v>
      </c>
      <c r="G30" s="105" t="b">
        <f>AND(D30&gt;=50000,E30&gt;=3)</f>
        <v>1</v>
      </c>
      <c r="H30" s="105" t="b">
        <f>OR(D30&gt;=50000,E30&gt;=3)</f>
        <v>1</v>
      </c>
      <c r="I30" s="105" t="str">
        <f>IF(OR(D30&gt;=50000,E30&gt;=3),"Bonus Eligible","No Bonus")</f>
        <v>Bonus Eligible</v>
      </c>
    </row>
    <row r="31" spans="2:17" x14ac:dyDescent="0.25">
      <c r="B31" s="169">
        <v>8</v>
      </c>
      <c r="C31" s="105" t="s">
        <v>549</v>
      </c>
      <c r="D31" s="105">
        <v>69904</v>
      </c>
      <c r="E31" s="338">
        <f t="shared" si="3"/>
        <v>4</v>
      </c>
      <c r="F31" s="105" t="str">
        <f t="shared" si="4"/>
        <v>Bonus Eligible</v>
      </c>
      <c r="G31" s="105" t="b">
        <f>AND(D31&gt;=50000,E31&gt;=3)</f>
        <v>1</v>
      </c>
      <c r="H31" s="105" t="b">
        <f>OR(D31&gt;=50000,E31&gt;=3)</f>
        <v>1</v>
      </c>
      <c r="I31" s="105" t="str">
        <f>IF(OR(D31&gt;=50000,E31&gt;=3),"Bonus Eligible","No Bonus")</f>
        <v>Bonus Eligible</v>
      </c>
    </row>
    <row r="32" spans="2:17" x14ac:dyDescent="0.25">
      <c r="B32" s="169">
        <v>9</v>
      </c>
      <c r="C32" s="105" t="s">
        <v>481</v>
      </c>
      <c r="D32" s="105">
        <v>76618</v>
      </c>
      <c r="E32" s="338">
        <f t="shared" si="3"/>
        <v>5</v>
      </c>
      <c r="F32" s="105" t="str">
        <f t="shared" si="4"/>
        <v>Bonus Eligible</v>
      </c>
      <c r="G32" s="105" t="b">
        <f>AND(D32&gt;=50000,E32&gt;=3)</f>
        <v>1</v>
      </c>
      <c r="H32" s="105" t="b">
        <f>OR(D32&gt;=50000,E32&gt;=3)</f>
        <v>1</v>
      </c>
      <c r="I32" s="105" t="str">
        <f>IF(OR(D32&gt;=50000,E32&gt;=3),"Bonus Eligible","No Bonus")</f>
        <v>Bonus Eligible</v>
      </c>
    </row>
    <row r="33" spans="2:9" x14ac:dyDescent="0.25">
      <c r="B33" s="169">
        <v>10</v>
      </c>
      <c r="C33" s="105" t="s">
        <v>482</v>
      </c>
      <c r="D33" s="105">
        <v>65398</v>
      </c>
      <c r="E33" s="338">
        <f t="shared" si="3"/>
        <v>4</v>
      </c>
      <c r="F33" s="105" t="str">
        <f t="shared" si="4"/>
        <v>Bonus Eligible</v>
      </c>
      <c r="G33" s="105" t="b">
        <f>AND(D33&gt;=50000,E33&gt;=3)</f>
        <v>1</v>
      </c>
      <c r="H33" s="105" t="b">
        <f>OR(D33&gt;=50000,E33&gt;=3)</f>
        <v>1</v>
      </c>
      <c r="I33" s="105" t="str">
        <f>IF(OR(D33&gt;=50000,E33&gt;=3),"Bonus Eligible","No Bonus")</f>
        <v>Bonus Eligible</v>
      </c>
    </row>
    <row r="34" spans="2:9" x14ac:dyDescent="0.25">
      <c r="B34" s="169">
        <v>11</v>
      </c>
      <c r="C34" s="105" t="s">
        <v>550</v>
      </c>
      <c r="D34" s="105">
        <v>73129</v>
      </c>
      <c r="E34" s="338">
        <f t="shared" si="3"/>
        <v>5</v>
      </c>
      <c r="F34" s="105" t="str">
        <f t="shared" si="4"/>
        <v>Bonus Eligible</v>
      </c>
      <c r="G34" s="105" t="b">
        <f>AND(D34&gt;=50000,E34&gt;=3)</f>
        <v>1</v>
      </c>
      <c r="H34" s="105" t="b">
        <f>OR(D34&gt;=50000,E34&gt;=3)</f>
        <v>1</v>
      </c>
      <c r="I34" s="105" t="str">
        <f>IF(OR(D34&gt;=50000,E34&gt;=3),"Bonus Eligible","No Bonus")</f>
        <v>Bonus Eligible</v>
      </c>
    </row>
    <row r="35" spans="2:9" x14ac:dyDescent="0.25">
      <c r="B35" s="169">
        <v>12</v>
      </c>
      <c r="C35" s="105" t="s">
        <v>484</v>
      </c>
      <c r="D35" s="105">
        <v>45692</v>
      </c>
      <c r="E35" s="338">
        <f t="shared" si="3"/>
        <v>2</v>
      </c>
      <c r="F35" s="105" t="str">
        <f t="shared" si="4"/>
        <v>No Bonus</v>
      </c>
      <c r="G35" s="105" t="b">
        <f>AND(D35&gt;=50000,E35&gt;=3)</f>
        <v>0</v>
      </c>
      <c r="H35" s="105" t="b">
        <f>OR(D35&gt;=50000,E35&gt;=3)</f>
        <v>0</v>
      </c>
      <c r="I35" s="105" t="str">
        <f>IF(OR(D35&gt;=50000,E35&gt;=3),"Bonus Eligible","No Bonus")</f>
        <v>No Bonus</v>
      </c>
    </row>
    <row r="36" spans="2:9" x14ac:dyDescent="0.25">
      <c r="B36" s="169">
        <v>13</v>
      </c>
      <c r="C36" s="105" t="s">
        <v>551</v>
      </c>
      <c r="D36" s="105">
        <v>64141</v>
      </c>
      <c r="E36" s="338">
        <f t="shared" si="3"/>
        <v>4</v>
      </c>
      <c r="F36" s="105" t="str">
        <f t="shared" si="4"/>
        <v>Bonus Eligible</v>
      </c>
      <c r="G36" s="105" t="b">
        <f>AND(D36&gt;=50000,E36&gt;=3)</f>
        <v>1</v>
      </c>
      <c r="H36" s="105" t="b">
        <f>OR(D36&gt;=50000,E36&gt;=3)</f>
        <v>1</v>
      </c>
      <c r="I36" s="105" t="str">
        <f>IF(OR(D36&gt;=50000,E36&gt;=3),"Bonus Eligible","No Bonus")</f>
        <v>Bonus Eligible</v>
      </c>
    </row>
    <row r="37" spans="2:9" x14ac:dyDescent="0.25">
      <c r="B37" s="169">
        <v>14</v>
      </c>
      <c r="C37" s="105" t="s">
        <v>486</v>
      </c>
      <c r="D37" s="105">
        <v>60639</v>
      </c>
      <c r="E37" s="338">
        <f t="shared" si="3"/>
        <v>4</v>
      </c>
      <c r="F37" s="105" t="str">
        <f t="shared" si="4"/>
        <v>Bonus Eligible</v>
      </c>
      <c r="G37" s="105" t="b">
        <f>AND(D37&gt;=50000,E37&gt;=3)</f>
        <v>1</v>
      </c>
      <c r="H37" s="105" t="b">
        <f>OR(D37&gt;=50000,E37&gt;=3)</f>
        <v>1</v>
      </c>
      <c r="I37" s="105" t="str">
        <f>IF(OR(D37&gt;=50000,E37&gt;=3),"Bonus Eligible","No Bonus")</f>
        <v>Bonus Eligible</v>
      </c>
    </row>
    <row r="38" spans="2:9" x14ac:dyDescent="0.25">
      <c r="B38" s="169">
        <v>15</v>
      </c>
      <c r="C38" s="105" t="s">
        <v>487</v>
      </c>
      <c r="D38" s="105">
        <v>24501</v>
      </c>
      <c r="E38" s="338">
        <f t="shared" si="3"/>
        <v>1</v>
      </c>
      <c r="F38" s="105" t="str">
        <f t="shared" si="4"/>
        <v>No Bonus</v>
      </c>
      <c r="G38" s="105" t="b">
        <f>AND(D38&gt;=50000,E38&gt;=3)</f>
        <v>0</v>
      </c>
      <c r="H38" s="105" t="b">
        <f>OR(D38&gt;=50000,E38&gt;=3)</f>
        <v>0</v>
      </c>
      <c r="I38" s="105" t="str">
        <f>IF(OR(D38&gt;=50000,E38&gt;=3),"Bonus Eligible","No Bonus")</f>
        <v>No Bonus</v>
      </c>
    </row>
  </sheetData>
  <mergeCells count="2">
    <mergeCell ref="B2:E2"/>
    <mergeCell ref="F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Raw Data</vt:lpstr>
      <vt:lpstr>Formulaes</vt:lpstr>
      <vt:lpstr>Mark Sheet</vt:lpstr>
      <vt:lpstr>Clipboard</vt:lpstr>
      <vt:lpstr>Sales Data</vt:lpstr>
      <vt:lpstr>Filter</vt:lpstr>
      <vt:lpstr>Table</vt:lpstr>
      <vt:lpstr>fill</vt:lpstr>
      <vt:lpstr>Go to Special</vt:lpstr>
      <vt:lpstr>Paste Special With Find&amp;Replace</vt:lpstr>
      <vt:lpstr>Sheet1</vt:lpstr>
      <vt:lpstr>Clear</vt:lpstr>
      <vt:lpstr>Cell Referencing</vt:lpstr>
      <vt:lpstr>Text Formulas Notes</vt:lpstr>
      <vt:lpstr>Text Formulas Practice</vt:lpstr>
      <vt:lpstr>Statistical Formulas Notes</vt:lpstr>
      <vt:lpstr>Statistical Formulas Practice</vt:lpstr>
      <vt:lpstr>Date &amp; Time Formulas Notes</vt:lpstr>
      <vt:lpstr>Date &amp; Time Practice</vt:lpstr>
      <vt:lpstr>Logical Formulaes Notes</vt:lpstr>
      <vt:lpstr>Logical Formulaes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2026-10-19T18:45:35Z</dcterms:modified>
</cp:coreProperties>
</file>